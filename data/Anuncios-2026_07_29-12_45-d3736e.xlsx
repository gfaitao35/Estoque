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juda" sheetId="1" r:id="rId4"/>
    <sheet name="hidden" r:id="rId5" sheetId="2" state="veryHidden"/>
    <sheet name="Anúncios" r:id="rId6" sheetId="3"/>
  </sheets>
  <calcPr/>
</workbook>
</file>

<file path=xl/sharedStrings.xml><?xml version="1.0" encoding="utf-8"?>
<sst xmlns="http://schemas.openxmlformats.org/spreadsheetml/2006/main" count="8972" uniqueCount="3015">
  <si>
    <t>Modifique seus anúncios</t>
  </si>
  <si>
    <t>Modifique os dados dos seus produtos muito mais rápido.</t>
  </si>
  <si>
    <t>Ver anuncios</t>
  </si>
  <si>
    <t>Já preencheu os dados?</t>
  </si>
  <si>
    <t xml:space="preserve">Ao terminar, lembre-se de salvar e </t>
  </si>
  <si>
    <t>Importante...</t>
  </si>
  <si>
    <t>Basta alterar ou editar as células que estejam com fundo branco.</t>
  </si>
  <si>
    <t>A partir deste arquivo em Excel, não é possível incluir ou excluir anúncios nem imagens do produto.</t>
  </si>
  <si>
    <t>Lembre-se de manter a ordem das colunas para que possamos identificar o que você preencheu.</t>
  </si>
  <si>
    <t>O que cada cor significa nas células?</t>
  </si>
  <si>
    <t>São as que você pode preencher.</t>
  </si>
  <si>
    <t>Publicação Principal</t>
  </si>
  <si>
    <t>Você não pode alterá-las.</t>
  </si>
  <si>
    <t>Variável</t>
  </si>
  <si>
    <t>Você não pode modificá-las.</t>
  </si>
  <si>
    <t>Enviar a planilha Excel</t>
  </si>
  <si>
    <t>Faça isso antes de 05 de Agosto</t>
  </si>
  <si>
    <t>Como usar estas colunas?</t>
  </si>
  <si>
    <t>Estas são as colunas que estão agrupadas. Você pode expandi-las pressionando o sinal de [+] ou recolhê-las pressionado o sinal de [-] na parte superior.</t>
  </si>
  <si>
    <t>Título do produto</t>
  </si>
  <si>
    <t>1641a91a-42a8-43dc-8ba9-e83af0f7dde2</t>
  </si>
  <si>
    <t>FAMILY_ID</t>
  </si>
  <si>
    <t/>
  </si>
  <si>
    <t>Agrupador de variações</t>
  </si>
  <si>
    <t>ITEM_ID</t>
  </si>
  <si>
    <t>Código do anúncio</t>
  </si>
  <si>
    <t>PRODUCT_NUMBER</t>
  </si>
  <si>
    <t>Número do produto</t>
  </si>
  <si>
    <t>VARIATION_ID</t>
  </si>
  <si>
    <t>Número da variação</t>
  </si>
  <si>
    <t>SKU</t>
  </si>
  <si>
    <t>TITLE</t>
  </si>
  <si>
    <t>Título</t>
  </si>
  <si>
    <t>VARIATIONS</t>
  </si>
  <si>
    <t>Variações</t>
  </si>
  <si>
    <t>Anúncios</t>
  </si>
  <si>
    <t>QUANTITY</t>
  </si>
  <si>
    <t>Obrigatório</t>
  </si>
  <si>
    <t>Estoque no depósito</t>
  </si>
  <si>
    <t>PRICE</t>
  </si>
  <si>
    <t>Preço</t>
  </si>
  <si>
    <t>CURRENCY_ID</t>
  </si>
  <si>
    <t>Moeda</t>
  </si>
  <si>
    <t>TIERED_PRICING_PRICE_1</t>
  </si>
  <si>
    <t>Preço de cada unidade</t>
  </si>
  <si>
    <t>TIERED_PRICING_QUANTITY_1</t>
  </si>
  <si>
    <t>Quantidade mínima de compra</t>
  </si>
  <si>
    <t>TIERED_PRICING_PRICE_2</t>
  </si>
  <si>
    <t>TIERED_PRICING_QUANTITY_2</t>
  </si>
  <si>
    <t>TIERED_PRICING_PRICE_3</t>
  </si>
  <si>
    <t>TIERED_PRICING_QUANTITY_3</t>
  </si>
  <si>
    <t>TIERED_PRICING_PRICE_4</t>
  </si>
  <si>
    <t>TIERED_PRICING_QUANTITY_4</t>
  </si>
  <si>
    <t>TIERED_PRICING_PRICE_5</t>
  </si>
  <si>
    <t>TIERED_PRICING_QUANTITY_5</t>
  </si>
  <si>
    <t>Preço de atacado 5 [ML]</t>
  </si>
  <si>
    <t>Preço de atacado 4 [ML]</t>
  </si>
  <si>
    <t>Preço de atacado 3 [ML]</t>
  </si>
  <si>
    <t>Preço de atacado 2 [ML]</t>
  </si>
  <si>
    <t>Preço de atacado 1 [ML]</t>
  </si>
  <si>
    <t>CONDITION</t>
  </si>
  <si>
    <t>Condição</t>
  </si>
  <si>
    <t>DESCRIPTION</t>
  </si>
  <si>
    <t>Descrição</t>
  </si>
  <si>
    <t>Informações do produto</t>
  </si>
  <si>
    <t>SHIPPING_METHOD</t>
  </si>
  <si>
    <t>Forma de entrega</t>
  </si>
  <si>
    <t>LOCAL_PICKUP</t>
  </si>
  <si>
    <t>Retirar pessoalmente</t>
  </si>
  <si>
    <t>Condições de entrega</t>
  </si>
  <si>
    <t>LISTING_TYPE</t>
  </si>
  <si>
    <t>Tipo de anúncio</t>
  </si>
  <si>
    <t>FEE_PER_SALE</t>
  </si>
  <si>
    <t>Tarifa de venda</t>
  </si>
  <si>
    <t>STATUS</t>
  </si>
  <si>
    <t>Estado</t>
  </si>
  <si>
    <t>WARRANTY_TYPE</t>
  </si>
  <si>
    <t>Tipo de garantia</t>
  </si>
  <si>
    <t>WARRANTY_TIME</t>
  </si>
  <si>
    <t>Prazo de garantia</t>
  </si>
  <si>
    <t>WARRANTY_TIME_UNIT</t>
  </si>
  <si>
    <t>Duração da garantia</t>
  </si>
  <si>
    <t>MANUFACTURING_TIME</t>
  </si>
  <si>
    <t>Prazo de disponibilidade do produto (dias)</t>
  </si>
  <si>
    <t>CATEGORY</t>
  </si>
  <si>
    <t>Categoria</t>
  </si>
  <si>
    <t>Condições do anúncio</t>
  </si>
  <si>
    <t>SHIPPING_HEIGHT</t>
  </si>
  <si>
    <t>Altura (cm)</t>
  </si>
  <si>
    <t>SHIPPING_WIDTH</t>
  </si>
  <si>
    <t>Largura (cm)</t>
  </si>
  <si>
    <t>SHIPPING_DEPTH</t>
  </si>
  <si>
    <t>Profundidade (cm)</t>
  </si>
  <si>
    <t>SHIPPING_WEIGHT</t>
  </si>
  <si>
    <t>Peso físico (kg)
Produto dentro da embalagem.</t>
  </si>
  <si>
    <t>Evite penalizações garantindo que seus pacotes tenham as medidas e o peso que você declarar.</t>
  </si>
  <si>
    <t>Medidas e peso da embalagem de envio</t>
  </si>
  <si>
    <t>4790050766646089</t>
  </si>
  <si>
    <t>MLB4353744167</t>
  </si>
  <si>
    <t>U3654188151</t>
  </si>
  <si>
    <t>CIN001</t>
  </si>
  <si>
    <t>Cinto De Lona Poliéster Preto 1,25m, Com Fivela Plástica De Engate Rápido Liso</t>
  </si>
  <si>
    <t>-</t>
  </si>
  <si>
    <t>R$</t>
  </si>
  <si>
    <t>Novo</t>
  </si>
  <si>
    <t>Produtos de alta qualidade e tecnologia para todos os segmentos esportivos. Seus produtos possuem excelente acabamento e durabilidade, sendo desenvolvidos com matérias-primas diferenciadas para que os atletas se preocupem unicamente em seus próprios resultados. Este cinto é ideal para adultos de ambos os gêneros, com uma fivela de PVC preto de alta resistência e material de lona durável. A largura de 3.8 cm proporciona conforto e segurança durante o uso. Fabricado pela marca , conhecida por sua confiabilidade, este cinto é perfeito para quem busca um acessório sem gênero e de alta performance. Além disso, é feito de poliéster, garantindo ainda mais resistência e durabilidade.</t>
  </si>
  <si>
    <t>Mercado Envios por conta do comprador</t>
  </si>
  <si>
    <t>Não aceito</t>
  </si>
  <si>
    <t>Clássico</t>
  </si>
  <si>
    <t>Ativo</t>
  </si>
  <si>
    <t>Garantia do vendedor</t>
  </si>
  <si>
    <t>dias</t>
  </si>
  <si>
    <t>Não especificado</t>
  </si>
  <si>
    <t>Cintos</t>
  </si>
  <si>
    <t>6911430499019492</t>
  </si>
  <si>
    <t>MLB4437132006</t>
  </si>
  <si>
    <t>U610302294</t>
  </si>
  <si>
    <t>LD 0019</t>
  </si>
  <si>
    <t>Par Barra Led Drl Aux Bivolt 12/24v Carro Caminhao Trator</t>
  </si>
  <si>
    <t>Luzes diurnas LED de alta potência, carcaça totalmente em alumínio para resfriamento suficiente;
Design elaborado, boa estrutura, 100% à prova d'água, fácil instalação, economia de energia;
Lentes de silicone para melhor transparência das luzes e boa imagem luminosa, resistência à abrasão;
Melhora a iluminação em dias chuvosos e nebulosos para evitar acidentes de trânsito.
Por ser Bivolt pode ser utilizado tanto em carros quanto caminhões e tratores.
12V/24V com resistor.
#4x4LED #LuzesParaCarros #Automotivo #LedBarr #LightBarr #LedOfRoad #LED #LEDDRL #LEDTrator #LedCaminhão #ledtuning</t>
  </si>
  <si>
    <t>Garantia de fábrica</t>
  </si>
  <si>
    <t>meses</t>
  </si>
  <si>
    <t>Barras de LED para veículos</t>
  </si>
  <si>
    <t>2507345678830800</t>
  </si>
  <si>
    <t>MLB5449194024</t>
  </si>
  <si>
    <t>U3253029264</t>
  </si>
  <si>
    <t>PUL001</t>
  </si>
  <si>
    <t>Pulverizador Manual Gardenova 5l Compressão Prévia Jardim</t>
  </si>
  <si>
    <t>Laranja</t>
  </si>
  <si>
    <t>PULVERIZADOR MANUAL GARDENOVA 5 LITROS COM COMPRESSÃO PRÉVIA
EFICIÊNCIA E PRATICIDADE PARA SEU JARDIM E DEDETIZAÇÃO
Otimize a aplicação de inseticidas, adubos foliares, herbicidas e soluções de limpeza com o Pulverizador Gardenova de 5 Litros. Projetado para oferecer máxima cobertura com o mínimo esforço, este equipamento conta com sistema de compressão prévia que mantém o jato contínuo sem a necessidade de bombear a todo momento.
PRINCIPAIS BENEFÍCIOS:
Pressão Contínua: O sistema de compressão prévia permite que você pressurize o tanque e utilize o spray por um longo período, reduzindo a fadiga durante o uso.
Segurança Garantida: Equipado com válvula de segurança que alivia a pressão automaticamente ao atingir o limite de 3 bar, evitando acidentes e sobrecarga do equipamento.
Durabilidade e Resistência: Corpo em plástico robusto e haste em fibra de vidro não corrosiva, ideal para o contato frequente com produtos químicos de jardinagem e limpeza.
Precisão na Aplicação: Bico com jato regulável que permite alternar entre névoa fina (para cobertura ampla) e jato direcionado (para locais de difícil acesso).
Conforto Ergonômico: Acompanha alça ajustável para transporte no ombro, facilitando a movimentação durante o trabalho.
CARACTERÍSTICAS TÉCNICAS:
Capacidade Total: 5 Litros.
Pressão Máxima de Trabalho: 3 bar.
Material do Tanque: Plástico de alta resistência.
Haste: Fibra de vidro (30 cm).
Mangueira: 1,20 metros com gatilho de acionamento.
Escala de Medição: Marcadores de nível no próprio tanque.
Cor: Laranja (alta visibilidade).
ITENS INCLUSOS:
1 Tanque de 5 Litros com bomba de pressão integrada.
1 Haste de pulverização em fibra de vidro
1 Mangueira com gatilho.
1 Alça para transporte.
Kit de reposição (3 anéis de vedação adicionais).
COMO UTILIZAR:
Abastecimento: Desrosqueie a bomba central e encha o tanque com o líquido desejado, respeitando o limite máximo de 5 litros.
Pressurização: Feche bem a tampa e bombeie a alavanca verticalmente até sentir resistência (indicando que a pressão interna foi atingida).
Aplicação: Pressione o gatilho da mangueira para liberar o líquido. Gire a ponta do bico para ajustar o tipo de jato.
Após o Uso: Acione a válvula de segurança ou o gatilho de cabeça para baixo para liberar a pressão residual antes de abrir o tanque para limpeza.</t>
  </si>
  <si>
    <t>Mercado Envios grátis</t>
  </si>
  <si>
    <t>Não se aplica</t>
  </si>
  <si>
    <t>Pulverizadores de jardim</t>
  </si>
  <si>
    <t>45</t>
  </si>
  <si>
    <t>21</t>
  </si>
  <si>
    <t>19</t>
  </si>
  <si>
    <t>1.19</t>
  </si>
  <si>
    <t>39821783344355</t>
  </si>
  <si>
    <t>MLB3601115681</t>
  </si>
  <si>
    <t>U605639385</t>
  </si>
  <si>
    <t>F0005</t>
  </si>
  <si>
    <t>Farol De Milha Led Retangular Mini Barra 6 Leds 18w Spot</t>
  </si>
  <si>
    <t>O Farol Mini Barra Led 18 Watts possui iluminação de alto brilho e pode ser utilizado em veículos off road, caminhões, reboques, ambientes externos e internos etc.
Indicado para veículos 4×4, veículos normais, caminhões, ônibus, entre outros.
Em caso de uso em ambientes residenciais deve-se utilizar uma fonte 10 à 30v.
Iluminação de alto brilho, possui 18w e conta com 6 LEDs garantindo visualização com total nitidez em momentos noturnos.
Possui longa vida útil, além de possuir proteção contra sujeiras e poeiras.
CARACTERÍSTICAS TÉCNICAS:
- Potência total: 18 watts
- Quantidade de LEDs: 6
- Tipo de Lente: 5D (3D+4D)
- Lentes: Flood / Melhor Abertura
- Potência por LED: 3 watts - Alta intensidade
- Tipo de LED/Chip: Epistar original
- Temperatura de cor: 6000K / branco
- Fluxo luminoso (± 15%): 1080LM CADA
- Distância de iluminação: ± 200~300 metros (par)
- Tensão de funcionamento: 12VDC A 24VDC
- Grau de proteção de água: IP67
- Corpo: Alumínio fundido
- Material das lentes: Policarbonato
- Bases de fixação: Metal
- Vida útil estimada: Acima 20.000 horas
- Comprimento do Cabo: 20cm
- Medidas :
Altura 4,2cm
Profundidade 4,3cm
Largura 15,6cm
APLICAÇÃO:
- CARRO
- CAMINHÃO
- TRATOR
- Off-Road
- Modelos 4X4
- Pick-ups
- Jeep
- Modelos universais com Santo Antônio
•• ITENS INCLUSOS:
01 Farol de LED Auxiliar 6 LEDS Mini Barra (COR DA ILUMINAÇÃO BRANCA)
01 Kit de Instalação (parafusos, porcas e base)
OBS: ** Recomendamos a aplicação por profissional especializado, não nos responsabilizamos pela má aplicação do produto. **
#FarolDeMilha #LED #IluminaçãoAutomotiva #AcessóriosAutomotivos #FarolLED #FarolDeMilhaLED #FarolMini #CarroLED #Automotivo #PersonalizaçãoDeCarro</t>
  </si>
  <si>
    <t>Aceita</t>
  </si>
  <si>
    <t>Faróis de milhas para veículos</t>
  </si>
  <si>
    <t>5068045432571538</t>
  </si>
  <si>
    <t>MLB4712571067</t>
  </si>
  <si>
    <t>U4003297613</t>
  </si>
  <si>
    <t>CIN-011</t>
  </si>
  <si>
    <t>Kit 3 Cores Cintos Nylon Masculino Lona Militar Listras</t>
  </si>
  <si>
    <t>Preto Listras 1,25 Cm</t>
  </si>
  <si>
    <t>KIT 3 Cores (PRETO, DOURADO E VERDE)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na cor,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125cm de comprimento
Material: Nylon
Material Fivéla: Plástico
Bordado: Listras
Casos de Uso:
Calças Jeans
Calças Sociais
Shorts Mascuinos
Calças Sociais</t>
  </si>
  <si>
    <t>Premium</t>
  </si>
  <si>
    <t>8566474915063089</t>
  </si>
  <si>
    <t>MLB3613913775</t>
  </si>
  <si>
    <t>U608171020</t>
  </si>
  <si>
    <t>KF0007-2</t>
  </si>
  <si>
    <t>Kit 4 Barra De Luz Automotivo Strobo 4 Leds 3w Ip66</t>
  </si>
  <si>
    <t>Kit 4 unidades Barra De Luz Automotivo Strobo 4 Leds 12w Ip66
Material: Aluminio + LED
DC12-24V
4 LEDS
12W
8.6*2,8cm
IP66
Luz branca
As barras de luz são extremamente importantes para veículos como caminhões, carros de emergência, SUVs e outros veículos automotivos. Desempenham um papel crucial na segurança rodoviária, alertando os outros sobre situações de emergência e ajudando a evitar acidentes.
#BarraDeLuzDeEmergência #SegurançaRodoviária #AlertaDeEmergência #VisibilidadeMáxima #SinalizaçãoDeSegurança #VeículoDeEmergência #PrevençãoDeAcidentes #LuzEstroboscópica #ProteçãoVeicular #EmergênciaAutomotiva</t>
  </si>
  <si>
    <t>1408215988255049</t>
  </si>
  <si>
    <t>MLB4371479985</t>
  </si>
  <si>
    <t>U3680445585</t>
  </si>
  <si>
    <t>VELA-001</t>
  </si>
  <si>
    <t>Cachimbo De Vela Magnetron  Cg 150 Titan / Nxr 150 Bros E +</t>
  </si>
  <si>
    <t>Quer um produto que não te deixa na mão nos momentos que você mais precisa e ainda com o melhor custo benefício do mercado? 
O cachimbo de vela da Magnetron  têm a função de conduzir a tensão gerada na bobina de ignição até a vela de ignição. Seus principais benefícios em diferença das outras marcas é o acabamento superior que proporciona uma instalação sem adaptações, maior durabilidade e material de alta condutibilidade elétrica, aumentando assim a eficácia da peça.
Compatível com:
HONDA
NXR 125 ES BROS (2003-2005)
NXR 125 KS BROS (2003-2005)
NXR 150 ES BROS (2003-2015)
NXR 150 ESD BROS (2003-2015)
NXR 150 KS BROS (2003-2015)
CG 150 SPORT (2005-2008)
CG 150 KS TITAN (2009-2010)
CG 150 ES TITAN (2009-2010)
CG 150 EX TITAN (2009-2010)
CG 150 KS TITAN (2009-2010)
CG 150 ESD TITAN (2009-2010)
NXR 150 ES BROS (2009-2010)
NXR 150 KS BROS (2009-2010)
NXR 150 ESD BROS (2009-2010)
CG 150 ES=TITAN (2009-2015)
CG 150 ESD TITAN (2009-2015)
CG 150 ESDi CARGO (2009-2015)
CG 150 ESi FAN (2010-2015)
CG 150 ESDi FAN (2011-2015)
Conteúdo da embalagem:
01 CACHIMBO DE VELA RESISTIVO - MAGNETRON.
Especificações Técnicas e Características: 
- Equivalente a Peça Original
- Ideal para Reposição
- Alta Resistência e Durabilidade
- Tratamentos contra a oxidação
- Confeccionado com a melhor matéria-prima
- Melhor condutibilidade e maior vida útil da peça
- Material leve e resistente
- Ótimo acabamento, proporcionando uma instalação sem adaptações.
- Excelente qualidade e acabamento
- Testado e aprovado dentro das normas de segurança.
 Importante: 
- Antes de comprar, verifique o modelo compatível a sua moto, em caso de dúvidas contate algum vendedor através do campo de perguntas.</t>
  </si>
  <si>
    <t>Cachimbos de velas para veículos</t>
  </si>
  <si>
    <t>MLB4347786789</t>
  </si>
  <si>
    <t>CIN-003</t>
  </si>
  <si>
    <t>Cinto Nylon Masculino Tático Lona Militar Fivela Pvc Preto</t>
  </si>
  <si>
    <t>Preto Liso 1,25m</t>
  </si>
  <si>
    <t>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120cm de comprimento
Material: Nylon
Material Fivéla: Plástico
Casos de Uso:
Calças Jeans
Calças Sociais
Shorts Mascuinos
Calças Sociais</t>
  </si>
  <si>
    <t>6566965464211020</t>
  </si>
  <si>
    <t>MLB5552014812</t>
  </si>
  <si>
    <t>U3351130254</t>
  </si>
  <si>
    <t>PET002</t>
  </si>
  <si>
    <t>Piscina Banheira Cachorro Pets Dobrável Azul 80 X 20 Cm</t>
  </si>
  <si>
    <t>Azul</t>
  </si>
  <si>
    <t>Transforme os dias do seu melhor amigo em pura alegria com a nossa Piscina para Pets Cachorros Pet Tub 80x20cm!
Com dimensões espaçosas de 80x20cm,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</si>
  <si>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Piscinas infláveis</t>
  </si>
  <si>
    <t>1117045694462225</t>
  </si>
  <si>
    <t>MLB4355214647</t>
  </si>
  <si>
    <t>U3661546341</t>
  </si>
  <si>
    <t>CIN-007</t>
  </si>
  <si>
    <t>Kit 2 Cintos Nylon Masculino Tático Lona Militar Preto</t>
  </si>
  <si>
    <t>Preto Liso 125cm</t>
  </si>
  <si>
    <t>KIT COM 2 CINTOS DE NYLON PRETOS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120cm de comprimento
Material: Nylon
Material Fivéla: Plástico
Casos de Uso:
Calças Jeans
Calças Sociais
Shorts Mascuinos
Calças Sociais</t>
  </si>
  <si>
    <t>Cintos táticos</t>
  </si>
  <si>
    <t>8569567893633001</t>
  </si>
  <si>
    <t>MLB4176408577</t>
  </si>
  <si>
    <t>U3385553950</t>
  </si>
  <si>
    <t>KF0007-1</t>
  </si>
  <si>
    <t>Kit 2 Barra De Luz Automotivo Strobo 4 Leds 3w</t>
  </si>
  <si>
    <t>Branco</t>
  </si>
  <si>
    <t>Kit 2 unidades Barra De Luz Automotivo Strobo 4 Leds 12w Ip66
• Material: Aluminio + LED
• 4 LEDS
• Medidas8.6X2,8cm
• Grau de proteção: IP 65
• Cores : Branca
• Potência: 3,84w
• Tensão: 12v - 24v
• Tipo de LED: SMD
• Base: Encaixe universal
• Área de aplicação: Universal
• Ângulo de abertura: Foco aberto
As barras de luz são extremamente importantes para veículos como caminhões, carros de emergência, SUVs e outros veículos automotivos. Desempenham um papel crucial na segurança rodoviária, alertando os outros sobre situações de emergência e ajudando a evitar acidentes.</t>
  </si>
  <si>
    <t>7706908857972352</t>
  </si>
  <si>
    <t>MLB4240001313</t>
  </si>
  <si>
    <t>U3469539871</t>
  </si>
  <si>
    <t>F0013</t>
  </si>
  <si>
    <t>Kit 2 Barra De Luz Automotivo Strobo 4 Leds Vermelho</t>
  </si>
  <si>
    <t>Kit 2 unidades Barra De Luz Automotivo Strobo 4 Leds Vermelha
Quantidade: 2 unidade
Material: Aluminio + LED
Medidas: 8.6x2,8cm
DC12-24V
4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</si>
  <si>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Luzes de barra</t>
  </si>
  <si>
    <t>6634802495085989</t>
  </si>
  <si>
    <t>MLB5997002190</t>
  </si>
  <si>
    <t>U3652728544</t>
  </si>
  <si>
    <t>F0007</t>
  </si>
  <si>
    <t>Barra De Luz Automotivo Strobo 4 Leds Vermelha</t>
  </si>
  <si>
    <t>1 Barra De Luz Automotivo Strobo 4 Leds Vermelha
Quantidade: 1 unidade
Material: Aluminio + LED
Medidas: 8.6x2,8cm
DC12-24V
4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</si>
  <si>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602568990733878</t>
  </si>
  <si>
    <t>MLB4153165633</t>
  </si>
  <si>
    <t>U3351706572</t>
  </si>
  <si>
    <t>CN001</t>
  </si>
  <si>
    <t>Cone Sinalização Retrátil Com Pisca Led</t>
  </si>
  <si>
    <t>Descrição
Cones flexiveis e ou cones retráteis Reflexivos para transito (sistema telescopico), forças de segurança, caminhões de combustiveis e quimicos ou outro para estrada
Descrição do produto:
Cone com sistema telescópico de transito e segurança com luz de advertência de LED COM Abertura de 72 cm à prova de chuva e alta resistencia.
O cone de transito retratil é dobrável e se acondiciona em pequenos compartimentos, fácil de operar e fácil de transportar. O cone é feito de tecido de oxford reflexivo impermeável macio e equipado com cinto refletor de 150x100mm.
A parte superior é equipada com o led intermitente (Estilo pisca pisca) com freqüência de intermitencia de mais de 150 vezes/min, o Led e com força para atravessar nevoeiros, noites com chuva e outras interpéries.
Especificações:
Material: pano de oxford e base em borracha com placa PP
* Tamanho: 380*380*720mm,
* Peso cerca de 3.4kgs;
* Refletor: 2pcs, 150+100mm;
* Cor: vermelho, cinza, preto;
* Luz inferior: 1pc LED, estilo pisca pisca &amp; steady-on, alimentado por 2pcs pilhas AAA (não incluído no produto e preço unitário);
* Sem top ligh
Tamanho: aprox.230x230x40mm/9.1x9.1x1.6 polegada</t>
  </si>
  <si>
    <t>Cones de sinalização</t>
  </si>
  <si>
    <t>2992266345902946</t>
  </si>
  <si>
    <t>MLB4355551075</t>
  </si>
  <si>
    <t>U3670288308</t>
  </si>
  <si>
    <t>Kit 4 Barra De Luz Automotivo Strobo 4 Leds Vermelho</t>
  </si>
  <si>
    <t>Kit 4 unidades Barra De Luz Automotivo Strobo 4 Leds Vermelha
Quantidade: 4 unidades
Material: Aluminio + LED
Medidas: 8.6x2,8cm
DC12-24V
4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</si>
  <si>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2377349438744850</t>
  </si>
  <si>
    <t>MLB6004891882</t>
  </si>
  <si>
    <t>U3650072543</t>
  </si>
  <si>
    <t>F0008</t>
  </si>
  <si>
    <t>Barra De Luz Strobo Automotivo 6 Leds 3w</t>
  </si>
  <si>
    <t>1 Unidade Barra De Luz Strobo Automotivo 6 Leds 
Material: Aluminio + LED
DC12-24V
6 LEDS
12W
11.2*2.8cm
IP66
Luz branca
As barras de luz são extremamente importantes para veículos como caminhões, carros de emergência, SUVs e outros veículos automotivos. Desempenham um papel crucial na segurança rodoviária, alertando os outros sobre situações de emergência e ajudando a evitar acidentes.
#BarraDeLuzDeEmergência #SegurançaRodoviária #AlertaDeEmergência #VisibilidadeMáxima #SinalizaçãoDeSegurança #VeículoDeEmergência #PrevençãoDeAcidentes #LuzEstroboscópica #ProteçãoVeicular #EmergênciaAutomotiva</t>
  </si>
  <si>
    <t>6049648878878917</t>
  </si>
  <si>
    <t>MLB3613935689</t>
  </si>
  <si>
    <t>U608082662</t>
  </si>
  <si>
    <t>KF0008-2</t>
  </si>
  <si>
    <t>Kit 4 Barra De Luz Strobo Automotivo 6 Leds 3w Ip66</t>
  </si>
  <si>
    <t>Kit 4 unidades Barra De Luz Strobo Automotivo 6 Leds 
Material: Aluminio + LED
DC12-24V
6 LEDS
12W
11.2*2.8cm
IP66
Luz branca
As barras de luz são extremamente importantes para veículos como caminhões, carros de emergência, SUVs e outros veículos automotivos. Desempenham um papel crucial na segurança rodoviária, alertando os outros sobre situações de emergência e ajudando a evitar acidentes.
#BarraDeLuzDeEmergência #SegurançaRodoviária #AlertaDeEmergência #VisibilidadeMáxima #SinalizaçãoDeSegurança #VeículoDeEmergência #PrevençãoDeAcidentes #LuzEstroboscópica #ProteçãoVeicular #EmergênciaAutomotiva</t>
  </si>
  <si>
    <t>5496827346691271</t>
  </si>
  <si>
    <t>MLB4169797193</t>
  </si>
  <si>
    <t>U3371411155</t>
  </si>
  <si>
    <t>KLD0019-2</t>
  </si>
  <si>
    <t>Kit 2 Par Barra Led Aux Bivolt 12/24v Carro/caminhao/trator</t>
  </si>
  <si>
    <t>KIt 2 unidades de Luzes diurnas LED de alta potência, carcaça totalmente em alumínio para resfriamento suficiente;
Design elaborado, boa estrutura, 100% à prova d'água, fácil instalação, economia de energia;
Lentes de silicone para melhor transparência das luzes e boa imagem luminosa, resistência à abrasão;
Melhora a iluminação em dias chuvosos e nebulosos para evitar acidentes de trânsito.
Por ser Bivolt pode ser utilizado tanto em carros quanto caminhões e tratores.
12V/24V com resistor.
#4x4LED #LuzesParaCarros #Automotivo #LedBarr #LightBarr#LedOfRoad #LED #LEDDRL #LEDTrator #LedCaminhão #ledtuning</t>
  </si>
  <si>
    <t>241086834638442</t>
  </si>
  <si>
    <t>MLB4407264875</t>
  </si>
  <si>
    <t>U3708788507</t>
  </si>
  <si>
    <t>CAV-001</t>
  </si>
  <si>
    <t>500g De Caviar De Metal Unhas 1mm Prata Ou Dourado</t>
  </si>
  <si>
    <t>Dourado</t>
  </si>
  <si>
    <t>Contém:
01 - Saco com 500 Gramas de Pedrarias Caviar de Metal 1 mm
As caviar são lindas peças para decorar qualquer tipo de unhas, naturais ou artificiais, indicadas para decoração, confecção de jóias e encapsulamento de unhas em geral.
O trabalho de arte das unhas com sua imaginação pode deixar você e suas clientes glamourosas e atraentes.
Cada Caviar mede 1 mm.
- Portátil;
- Fácil aplicação;
- Resistente;
- Para uso profissional ou doméstico.
Especificações:
Material: Metal
Quantidade: 250 Gramas
Cor: Dourado</t>
  </si>
  <si>
    <t>Strass para unhas</t>
  </si>
  <si>
    <t>8906513643729844</t>
  </si>
  <si>
    <t>MLB5525297910</t>
  </si>
  <si>
    <t>U3324168069</t>
  </si>
  <si>
    <t>F0020</t>
  </si>
  <si>
    <t>Kit 2un Farol Milha Carro Jeep Lancha 16 Leds Quadrado 27w</t>
  </si>
  <si>
    <t>Kit 2 unidades Farol Milha
Material: Alumínio + LED
Tensão de trabalho: DC9-30V 
Quantidade de LED: 16pcs 
Potência de LED: 27W 
Valor do lúmen: 2000LM 
Grau à prova d'água: IP66
Aplicável a: automóveis/motocicletas/veículos off-road/caminhões/empilhadeiras/caminhões de praia/veículos de engenharia/navios 
Peso do produto: 92g
Utilizados para melhorar a iluminação do veículo, oferecendo uma luz mais brilhante e intensa em comparação com os faróis originais. Eles podem ser úteis em várias situações, como em estradas escuras ou em condições climáticas adversas, fornecendo uma melhor visibilidade para o motorista. Além disso, alguns proprietários de veículos também optam por faróis modificados por motivos estéticos, para personalizar o visual de seus carros. No entanto, é importante garantir que essas modificações estejam em conformidade com as regulamentações locais de trânsito para garantir a segurança de todos os usuários da estrada.
#IluminaçãoPotente #FaróisBrilhantes #ModificaçõesAutomotivas #PersonalizaçãoDoCarro #MelhorVisibilidade #EstiloAutomotivo #PerformanceDeIluminação #UpgradeDeFaróis #CustomizaçãoVeicular #EstradaIluminada</t>
  </si>
  <si>
    <t>MLB4407303805</t>
  </si>
  <si>
    <t>U3708790089</t>
  </si>
  <si>
    <t>CAV-002</t>
  </si>
  <si>
    <t>Prateado</t>
  </si>
  <si>
    <t>609389382602305</t>
  </si>
  <si>
    <t>MLB5613090438</t>
  </si>
  <si>
    <t>U3371263857</t>
  </si>
  <si>
    <t>GUI001</t>
  </si>
  <si>
    <t>Guincho Eletrico 12000lbs 12v Controle Remoto Jeep/barco</t>
  </si>
  <si>
    <t>12v</t>
  </si>
  <si>
    <t>Guincho Elétrico 12V 12000 LB com Cabo de Aço 25m e Controle Remoto – Suporta até 5.443 kg
Se você precisa de força, praticidade e confiabilidade para resgates off-road, reboques ou movimentação de veículos pesados, este guincho elétrico é a escolha ideal. Este guincho é uma adição essencial para proprietários de veículos 4x4, como Jeep Rural, F75, Troller, L200, Hilux, e Bandeirante, proporcionando uma solução poderosa para situações de recuperação e reboque.
Com uma capacidade de carga de 12000 libras, este guincho é capaz de lidar com uma variedade de tarefas, desde puxar veículos emperrados até movimentar cargas pesadas
Com capacidade de tração de até 12.000 libras (5.443 kg) e motor de 7,8 HP , ele oferece alto desempenho mesmo nas situações mais exigentes.
Acompanha:
1 - Controle Remoto c/ Fio
1 - Controle Remoto s/ Fio
1 - Cabo Sintético 10MM 
1 - Guia do Cabo em Alumínio</t>
  </si>
  <si>
    <t>Guinchos elétricos para veículos</t>
  </si>
  <si>
    <t>34554242965396</t>
  </si>
  <si>
    <t>MLB4355137205</t>
  </si>
  <si>
    <t>U3661533235</t>
  </si>
  <si>
    <t>CIN-004</t>
  </si>
  <si>
    <t>Kit 5 Cintos Nylon Masculino Tático Lona Militar Preto</t>
  </si>
  <si>
    <t>Preto Sem Desenho 125cm</t>
  </si>
  <si>
    <t>29</t>
  </si>
  <si>
    <t>24</t>
  </si>
  <si>
    <t>9</t>
  </si>
  <si>
    <t>0.57</t>
  </si>
  <si>
    <t>1657041273527526</t>
  </si>
  <si>
    <t>MLB4374846753</t>
  </si>
  <si>
    <t>U3683808005</t>
  </si>
  <si>
    <t>TAP-003</t>
  </si>
  <si>
    <t>Tapete Gelado Pet Estampa Frutas Redondo 60cm</t>
  </si>
  <si>
    <t>Verde-limão Kiwi</t>
  </si>
  <si>
    <t>O Tapete Gelado Pet Estampa Frutas Redondo de 60cm é a escolha ideal para proporcionar conforto e frescor ao seu animal de estimacao. Com um design alegre e vibrante, este tapete é perfeito para caes e gatos que buscam um espaco agradável para relaxar, especialmente em dias quentes.
Feito de polietileno, o tapete é resistente e fácil de limpar, garantindo praticidade no dia a dia. Além disso, sua característica a prova d'água permite que voce o utilize em diferentes ambientes, sem se preocupar com acidentes. 
Com um tamanho grande de 60cm, ele se adapta facilmente a diversos espacos, tornando-se um acessório versátil para a sua casa. O material lavável facilita a manutencao, permitindo que voce mantenha o ambiente do seu pet sempre limpo e agradável. 
Invista no bem-estar do seu animal de estimacao com este tapete que combina funcionalidade e estilo. Proporcione a ele um lugar especial para descansar e brincar, enquanto voce desfruta da facilidade de cuidar do seu espaco.</t>
  </si>
  <si>
    <t>Camas para gatos e cães</t>
  </si>
  <si>
    <t>3543790796862161</t>
  </si>
  <si>
    <t>MLB6002056714</t>
  </si>
  <si>
    <t>U3656119140</t>
  </si>
  <si>
    <t>KF0008-1</t>
  </si>
  <si>
    <t>Kit 2 Barra De Luz Strobo Automotivo 6 Leds 3w Ip66</t>
  </si>
  <si>
    <t>Kit 2 unidades Barra De Luz Strobo Automotivo 6 Leds 
Material: Aluminio + LED
DC12-24V
6 LEDS
12W
11.2*2.8cm
IP66
Luz branca
As barras de luz são extremamente importantes para veículos como caminhões, carros de emergência, SUVs e outros veículos automotivos. Desempenham um papel crucial na segurança rodoviária, alertando os outros sobre situações de emergência e ajudando a evitar acidentes.
#BarraDeLuzDeEmergência #SegurançaRodoviária #AlertaDeEmergência #VisibilidadeMáxima #SinalizaçãoDeSegurança #VeículoDeEmergência #PrevençãoDeAcidentes #LuzEstroboscópica #ProteçãoVeicular #EmergênciaAutomotiva</t>
  </si>
  <si>
    <t>18</t>
  </si>
  <si>
    <t>14</t>
  </si>
  <si>
    <t>5</t>
  </si>
  <si>
    <t>0.12</t>
  </si>
  <si>
    <t>7735417542033493</t>
  </si>
  <si>
    <t>MLB6006115584</t>
  </si>
  <si>
    <t>U3658730448</t>
  </si>
  <si>
    <t>Farol Milha Carro Jeep Lancha 16 Leds Quadrado 27w</t>
  </si>
  <si>
    <t>Farol Milha Carro Jeep Lancha 16 Leds Quadrado 27w
Material: Alumínio + LED
Tensão de trabalho: DC9-30V 
Quantidade de LED: 16pcs 
Potência de LED: 27W 
Valor do lúmen: 2000LM 
Grau à prova d'água: IP66
Aplicável a: automóveis/motocicletas/veículos off-road/caminhões/empilhadeiras/caminhões de praia/veículos de engenharia/navios 
Peso do produto: 92g
Utilizados para melhorar a iluminação do veículo, oferecendo uma luz mais brilhante e intensa em comparação com os faróis originais. Eles podem ser úteis em várias situações, como em estradas escuras ou em condições climáticas adversas, fornecendo uma melhor visibilidade para o motorista. Além disso, alguns proprietários de veículos também optam por faróis modificados por motivos estéticos, para personalizar o visual de seus carros. No entanto, é importante garantir que essas modificações estejam em conformidade com as regulamentações locais de trânsito para garantir a segurança de todos os usuários da estrada.
#IluminaçãoPotente #FaróisBrilhantes #ModificaçõesAutomotivas #PersonalizaçãoDoCarro #MelhorVisibilidade #EstiloAutomotivo #PerformanceDeIluminação #UpgradeDeFaróis #CustomizaçãoVeicular #EstradaIluminada</t>
  </si>
  <si>
    <t>8245675984555842</t>
  </si>
  <si>
    <t>MLB4344732021</t>
  </si>
  <si>
    <t>U3650078057</t>
  </si>
  <si>
    <t>Kit 2 Barra De Luz Strobo Automotivo 6 Leds 3w</t>
  </si>
  <si>
    <t>2 Unidade Barra De Luz Strobo Automotivo 6 Leds 
Material: Aluminio + LED
DC12-24V
6 LEDS
11.2*2.8cm
IP66
Luz branca
As barras de luz são extremamente importantes para veículos como caminhões, carros de emergência, SUVs e outros veículos automotivos. Desempenham um papel crucial na segurança rodoviária, alertando os outros sobre situações de emergência e ajudando a evitar acidentes.
#BarraDeLuzDeEmergência #SegurançaRodoviária #AlertaDeEmergência #VisibilidadeMáxima #SinalizaçãoDeSegurança #VeículoDeEmergência #PrevençãoDeAcidentes #LuzEstroboscópica #ProteçãoVeicular #EmergênciaAutomotiva</t>
  </si>
  <si>
    <t>2225644699017920</t>
  </si>
  <si>
    <t>MLB6144534984</t>
  </si>
  <si>
    <t>U3680386465</t>
  </si>
  <si>
    <t>CAB-002</t>
  </si>
  <si>
    <t>Cabo Usb Original Xiaomi Tipo C E Micro Usb 30cm Branco</t>
  </si>
  <si>
    <t>Transmissão de dados de alta velocidade, clean, cabe no bolso. 
O cabo USB da Xiaomi se destaca pela alta qualidade e compatibilidade com vários smartphones que utilizam o padrão micro USB e tipo C. 
Carregue e sincronize seu dispositivo micro USB e também os que são tipo C usando apenas um cabo. Basta conectar a qualquer entrada USB, escolher o conector correto para o seu dispositivo para que o carregamento se inicie imediatamente e a sincronização de dados também.</t>
  </si>
  <si>
    <t>Cabos e adaptadores de dados</t>
  </si>
  <si>
    <t>MLB6910894382</t>
  </si>
  <si>
    <t>Pulverizador Manual Gardenova 5l Compressão Prévia Jardim Laranja</t>
  </si>
  <si>
    <t>1537614657597266</t>
  </si>
  <si>
    <t>MLB6766769976</t>
  </si>
  <si>
    <t>U3958749267</t>
  </si>
  <si>
    <t>BOL-001</t>
  </si>
  <si>
    <t>Bolas De Padel Dh Pro Alta Pressão Kit Com 3 Tubos(9 Bolas)</t>
  </si>
  <si>
    <t>Amarelo</t>
  </si>
  <si>
    <t>As bolas de Padel DH Pro foram desenvolvidas para entregar máxima performance, velocidade e consistência em quadra.
Com pressão profissional, garantem quique preciso e jogabilidade rápida, essenciais para o padel moderno.
Diferenciais DH Pro:
•	Pressurização de alta qualidade 
•	Durabilidade superior 
•	Desempenho consistente durante o jogo 
Conteúdo:
•	3 tubo com 9 bolas de padel DH Pro 
Indicação:
•	Jogos recreativos 
•	Treinos 
•	Competições</t>
  </si>
  <si>
    <t>Bolas de tênis</t>
  </si>
  <si>
    <t>2007594610865519</t>
  </si>
  <si>
    <t>MLB6206772738</t>
  </si>
  <si>
    <t>U3765649620</t>
  </si>
  <si>
    <t>LMB002</t>
  </si>
  <si>
    <t>Bloqueio De Vaga Estacionamento Articulado Dobrável</t>
  </si>
  <si>
    <t>O Bloqueio de Vaga Estacionamento Articulado Dobrável é a solução ideal para quem busca segurança e praticidade ao estacionar. Com um design inovador, este produto se adapta facilmente a diferentes tipos de veículos, como carros e caminhonetes, garantindo que sua vaga esteja sempre protegida.
Fabricado com materiais de alta qualidade, o bloqueio é resistente e durável, proporcionando uma experiência de uso confiável. Sua estrutura articulada permite que seja dobrado quando não está em uso, facilitando o armazenamento e o transporte.
A instalação é simples e rápida, tornando-o acessível para qualquer pessoa. Com este bloqueio, você pode ter a tranquilidade de saber que sua vaga está segura, evitando ocupações indevidas e garantindo que seu veículo esteja sempre em um local reservado.</t>
  </si>
  <si>
    <t>Acessórios para motos</t>
  </si>
  <si>
    <t>4502183845493787</t>
  </si>
  <si>
    <t>MLB6293442362</t>
  </si>
  <si>
    <t>U3804286083</t>
  </si>
  <si>
    <t>CIN-067</t>
  </si>
  <si>
    <t>Kit 6  Cintos Nylon Tático Lona Militar Preto Borda</t>
  </si>
  <si>
    <t>Preto Listras 125</t>
  </si>
  <si>
    <t>KIT 6 Cores Bordados (PRETO)
O Cinto Longo Nylon Masculino Tático Lona Militar Fivela PVC com Bordados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Variádos 115 a 125cm de comprimento
Material: Nylon
Material Fivéla: Plástico
Casos de Uso:
Calças Jeans
Calças Sociais
Shorts Mascuinos
Calças Sociais
Garantia do vendedor: 30 dias</t>
  </si>
  <si>
    <t>5839601669621208</t>
  </si>
  <si>
    <t>MLB4446161516</t>
  </si>
  <si>
    <t>U607800259</t>
  </si>
  <si>
    <t>F0004</t>
  </si>
  <si>
    <t>Farol De Milha Quadrado Lâmpada 9 Leds 27w</t>
  </si>
  <si>
    <t>O Farol LED 27W possui iluminação de alto brilho e pode ser utilizado em veículos off road, caminhões, reboques, ambientes externos e internos etc.
É indicado para veículos 4×4, veículos normais, caminhões, ônibus, entre outros.
Em caso de uso em ambientes residenciais deve-se utilizar uma fonte 10 a 30v.
ESPECIFICAÇÃO:
- Formato: Quadrado
- Potência: 27W
- Voltagem: 9-30V DC
- Diâmetro: (L) 10,8cm (A) 2cm
- Proteção: IP66
- Temperatura de Cor: 6500K
#FarolDeMilhaLED #IluminaçãoPotente #MiniFarolLED #EstiloEficaz #VisibilidadeNoturna #BrilhoIntenso #SegurançaRodoviária #UpgradeDeIluminação #EconomiaDeEnergia #TecnologiaLED #EstiloCustomizado #EstradaIluminada #PerformanceLED</t>
  </si>
  <si>
    <t>3310312262442046</t>
  </si>
  <si>
    <t>MLB6011713724</t>
  </si>
  <si>
    <t>U3662214494</t>
  </si>
  <si>
    <t>CIN-009</t>
  </si>
  <si>
    <t>Cinto Nylon Masculino Tático Militar Fivela Preto Bordado</t>
  </si>
  <si>
    <t>Preto Bordado Pontinhado 125</t>
  </si>
  <si>
    <t>O Cinto Longo Nylon Masculino Tático Lona Militar Fivela PVC com Bordados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Garantia do vendedor: 30 dias</t>
  </si>
  <si>
    <t>2060573678600239</t>
  </si>
  <si>
    <t>MLB4198565265</t>
  </si>
  <si>
    <t>U3408693899</t>
  </si>
  <si>
    <t>BLO001</t>
  </si>
  <si>
    <t>Cama De Faquir Bloqueador De Fuga - Perfurador Pneu</t>
  </si>
  <si>
    <t>O bloqueador de estrada perfurante e de deflação utiliza perfis de liga de alumínio para formar uma estrutura telescópica. O comprimento telescópico pode ser estendido livremente. A estrutura é equipada com 150 agulhas afiadas de três arestas, com ranhuras de exaustão nas bordas. Quando o veículo passa sobre os espigões da barreira, eles penetram o pneu, causando murchamento imediato e paralisando o veículo, impossibilitando a condução.
- Estrutura: composta por uma base metálica e agulhas metálicas triangulares
- Comprimento efetivo do bloqueador: 8 m
- Comprimento dos espigões: 48,0 mm
- Distância efetiva entre os espigões: 50 mm
- Dimensões gerais: 480 × 460 × 90 mm (comprimento × largura × altura)
- Quantidade de espigões: 150
- Peso: 10,1 kg</t>
  </si>
  <si>
    <t>Válvulas de retenção para drenagem</t>
  </si>
  <si>
    <t>1249753859453554</t>
  </si>
  <si>
    <t>MLB4355566387</t>
  </si>
  <si>
    <t>U3670320926</t>
  </si>
  <si>
    <t>CIN-005</t>
  </si>
  <si>
    <t>Kit 3 Cintos Nylontático Militar Fivela - Preto/marrom/prata</t>
  </si>
  <si>
    <t>Preto Marrom E Prateado 125cm</t>
  </si>
  <si>
    <t>kit 3 unidade
Cor: 1 preto, 1 marrom, 1 prata - no mesmo kit.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t>
  </si>
  <si>
    <t>6028570198024867</t>
  </si>
  <si>
    <t>MLB4371455255</t>
  </si>
  <si>
    <t>U3680457513</t>
  </si>
  <si>
    <t>Kit 10 Cachimbo De Vela Magnetron 01 Cg 150 Titan/nxr 150bro</t>
  </si>
  <si>
    <t>KIT COM 10 UNIDADES
Quer um produto que não te deixa na mão nos momentos que você mais precisa e ainda com o melhor custo benefício do mercado? 
O cachimbo de vela da Magnetron  têm a função de conduzir a tensão gerada na bobina de ignição até a vela de ignição. Seus principais benefícios em diferença das outras marcas é o acabamento superior que proporciona uma instalação sem adaptações, maior durabilidade e material de alta condutibilidade elétrica, aumentando assim a eficácia da peça.
Compatível com:
HONDA
NXR 125 ES BROS (2003-2005)
NXR 125 KS BROS (2003-2005)
NXR 150 ES BROS (2003-2015)
NXR 150 ESD BROS (2003-2015)
NXR 150 KS BROS (2003-2015)
CG 150 SPORT (2005-2008)
CG 150 KS TITAN (2009-2010)
CG 150 ES TITAN (2009-2010)
CG 150 EX TITAN (2009-2010)
CG 150 KS TITAN (2009-2010)
CG 150 ESD TITAN (2009-2010)
NXR 150 ES BROS (2009-2010)
NXR 150 KS BROS (2009-2010)
NXR 150 ESD BROS (2009-2010)
CG 150 ES=TITAN (2009-2015)
CG 150 ESD TITAN (2009-2015)
CG 150 ESDi CARGO (2009-2015)
CG 150 ESi FAN (2010-2015)
CG 150 ESDi FAN (2011-2015)
Conteúdo da embalagem:
01 CACHIMBO DE VELA RESISTIVO - MAGNETRON.
Especificações Técnicas e Características: 
- Equivalente a Peça Original
- Ideal para Reposição
- Alta Resistência e Durabilidade
- Tratamentos contra a oxidação
- Confeccionado com a melhor matéria-prima
- Melhor condutibilidade e maior vida útil da peça
- Material leve e resistente
- Ótimo acabamento, proporcionando uma instalação sem adaptações.
- Excelente qualidade e acabamento
- Testado e aprovado dentro das normas de segurança.
 Importante: 
- Antes de comprar, verifique o modelo compatível a sua moto, em caso de dúvidas contate algum vendedor através do campo de perguntas.</t>
  </si>
  <si>
    <t>MLB4374911395</t>
  </si>
  <si>
    <t>U3683807747</t>
  </si>
  <si>
    <t>TAP-004</t>
  </si>
  <si>
    <t>Vermelho Melancia</t>
  </si>
  <si>
    <t>436144863534224</t>
  </si>
  <si>
    <t>MLB4894533383</t>
  </si>
  <si>
    <t>U4326519240</t>
  </si>
  <si>
    <t>AR-001</t>
  </si>
  <si>
    <t>Kit Reparo Câmara De Ar Fox 32 Float Na2 Original 803-00-962</t>
  </si>
  <si>
    <t>Schrader Preto</t>
  </si>
  <si>
    <t>Kit de Reparo e Vedação Original Fox Racing Shox - 32mm Float NA2 Rebuild
Mantenha a performance original da sua suspensão Fox com o kit de reposição genuíno. Desenvolvido especificamente para a manutenção preventiva ou corretiva da câmara de ar (Air Spring - lado esquerdo), este conjunto de vedações previne e soluciona vazamentos de ar, garantindo a leitura perfeita do terreno e o funcionamento suave do garfo.
ESPECIFICAÇÕES TÉCNICAS:
•	Marca: Fox Racing Shox (Original)
•	Código da Peça (Part Number): 803-00-962
•	Origem: Importado (Made in Taiwan)
•	Compatibilidade: Suspensões Fox Float com hastes de 32mm que utilizam o sistema pneumático NA2 (modelos fabricados a partir de 2016 em diante).
•	Aplicação: Reconstrução interna e vedação da mola de ar.
CONTEÚDO DA EMBALAGEM:
•	01 Kit completo de O-rings, retentores internos e anéis guia originais Fox (exatamente como ilustrado nas fotos).
POR QUE FAZER ESSA MANUTENÇÃO?
A Fox recomenda a revisão e troca das vedações da câmara de ar a cada 125 horas de uso ou 1 ano para evitar o desgaste prematuro dos componentes internos e a perda de pressão durante o pedal.
 FICHA TÉCNICA 
•	Marca: Fox
•	Modelo: Seal Kit: 32 FLOAT NA2 Rebuild
•	Número de peça: 803-00-962
•	Tipo de suspensão: Garfo pneumático de bicicleta (MTB)
•	Condição do item: Novo</t>
  </si>
  <si>
    <t>Câmaras de pneus para veículos</t>
  </si>
  <si>
    <t>812878550364477</t>
  </si>
  <si>
    <t>MLB5525525806</t>
  </si>
  <si>
    <t>U3324521875</t>
  </si>
  <si>
    <t>PET006</t>
  </si>
  <si>
    <t>Tapete Colchonete Refrescante Para Pets Cães Cachorro 44x60</t>
  </si>
  <si>
    <t>O Tapete Colchonete Gelado REFRESCANTE é a solução perfeita para manter seu pet confortável e fresco em dias quentes. Com um tamanho médio de 60x45, este tapete é ideal para cães de PEQUENO OU MÉDIO porte.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COMO USAR?
1 - Coloque no chão
2 - Espere o PET deitar em qualquer parte do tapete
3 - Quando o pet deita ou faz peso em cima do tapete, o gel interior é ativado e começa a fazer a troca de calor, deixando a superfície do tapete mais fria
4 - Após o uso, deixe o gel descansar por 1h a 2 horas, depois estará pronto para o próximo uso
- Não precisa congelar ou colocar na geladeira
- A temperatura do tapete fica em torno de 5 a 10 graus abaixo da temperatura ambiente, proporcionando frescor ao seu PET em dias quentes.
MEDIDAS:
TAPETE 60X45: COMPRIMENTO: 60CM LARGURA: 45CM ALTURA: 3CM</t>
  </si>
  <si>
    <t>7938225305080803</t>
  </si>
  <si>
    <t>MLB4152855623</t>
  </si>
  <si>
    <t>U3345283921</t>
  </si>
  <si>
    <t>PET003</t>
  </si>
  <si>
    <t>Piscina Banheira Cachorro Pets Dobrável Azul 160 X 30 Cm</t>
  </si>
  <si>
    <t>Transforme os dias do seu melhor amigo em pura alegria com a nossa Piscina para Pets Cachorros Pet Tub 160x30cm!
Com dimensões espaçosas de 160x30cm,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</si>
  <si>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3595694954082665</t>
  </si>
  <si>
    <t>MLB4345639979</t>
  </si>
  <si>
    <t>U3651201615</t>
  </si>
  <si>
    <t>FITA-0001</t>
  </si>
  <si>
    <t>Fita De Led 5050 3500k 5m 300 Leds Dupla Face Silicone 24v</t>
  </si>
  <si>
    <t>Branco-neutro 24v</t>
  </si>
  <si>
    <t>A Fita de LED 5050 3500k 5m 300 Leds Dupla Face Silicone 24v Branco-neutro é a solucao ideal para quem busca versatilidade e eficiencia em iluminacao. Com 60 LEDs por metro, proporciona uma luz branca-neutra que se adapta perfeitamente a diversas aplicacoes, desde a decoracao de ambientes até a iluminacao de móveis e luminárias.
Com grau de protecao IP-65, esta fita é resistente a água e poeira, tornando-a adequada para uso interno e externo. Seu design em silicone dupla face facilita a instalacao em diferentes superfícies, garantindo durabilidade e um acabamento estético.
Ideal para faróis de carro, construcao e backlights, a Fita de LED é uma escolha inteligente para quem deseja criar ambientes acolhedores e funcionais. Aproveite a flexibilidade de um produto que se encaixa em suas necessidades de iluminacao, sem complicacoes.</t>
  </si>
  <si>
    <t>Fitas de LED</t>
  </si>
  <si>
    <t>MLB4374911393</t>
  </si>
  <si>
    <t>U3683805855</t>
  </si>
  <si>
    <t>TAP-002</t>
  </si>
  <si>
    <t>Amarelo Laranja</t>
  </si>
  <si>
    <t>5187622782070698</t>
  </si>
  <si>
    <t>MLB5527264942</t>
  </si>
  <si>
    <t>U3325556403</t>
  </si>
  <si>
    <t>LD0019</t>
  </si>
  <si>
    <t>Kit 6 Par Barra Led Aux Bivolt 12/24v Carro/caminhao/trator</t>
  </si>
  <si>
    <t>KIt 6 unidades de Luzes diurnas LED de alta potência, carcaça totalmente em alumínio para resfriamento suficiente;
Design elaborado, boa estrutura, 100% à prova d'água, fácil instalação, economia de energia;
Lentes de silicone para melhor transparência das luzes e boa imagem luminosa, resistência à abrasão;
Melhora a iluminação em dias chuvosos e nebulosos para evitar acidentes de trânsito.
Por ser Bivolt pode ser utilizado tanto em carros quanto caminhões e tratores.
12V/24V com resistor.
#4x4LED #LuzesParaCarros #Automotivo #LedBarr #LightBarr#LedOfRoad #LED #LEDDRL #LEDTrator #LedCaminhão #ledtuning</t>
  </si>
  <si>
    <t>2652057161260554</t>
  </si>
  <si>
    <t>MLB6001974528</t>
  </si>
  <si>
    <t>U3648195331</t>
  </si>
  <si>
    <t>FIO-001</t>
  </si>
  <si>
    <t>Linha Cortador Grama Thorxx 1,6mm Redonda 424m Vermelha</t>
  </si>
  <si>
    <t>Vermelho</t>
  </si>
  <si>
    <t>Fio de Nylon Monofilamento Vermelho para aparadores de grama
Diametro do fio : 1,6mm
Perfil do fio : redondo
Quantidade de metros por kilo : 424m aprox.
Material de alta qualidade, polimeros da marca BASF
Compativel com aparadores eletricos
- Nao despedaca ou quebra facilmente
- Devido ao polimero de alta qualidade ,o fio THORXX possui mais elasticidade e flexibilidade que seus similares.
- Alto poder de corte</t>
  </si>
  <si>
    <t>Linhas para máquinas de jardim</t>
  </si>
  <si>
    <t>8979968004648463</t>
  </si>
  <si>
    <t>MLB6801013176</t>
  </si>
  <si>
    <t>U3985675328</t>
  </si>
  <si>
    <t>CAP-002</t>
  </si>
  <si>
    <t>Placa De Captura De Vídeo Externa Hdmi Usb 3.0 Full Hd 1080p</t>
  </si>
  <si>
    <t>Preto</t>
  </si>
  <si>
    <t>Placa de Captura de Vídeo HDMI para USB 3.0 – Full HD 1080p a 60 FPS Reais
Procurando uma forma fácil e barata de transmitir suas gameplays ou transformar sua câmera profissional em uma webcam de alta qualidade? Esta placa é a escolha perfeita!
Diferente dos modelos antigos que limitam a imagem a 30 FPS, esta versão atualizada suporta transmissão e gravação fluida em Full HD 1080p a 60 frames por segundo. Ideal para jogos de ação rápida, streams e videoconferências sem travamentos.
PRINCIPAIS BENEFÍCIOS:
•	60 FPS Reais em Full HD: Imagens muito mais fluidas e profissionais para suas transmissões.
•	Plug and Play: Não precisa instalar nenhum driver. Basta plugar no USB e começar a usar.
•	Compatibilidade Máxima: Funciona perfeitamente no OBS Studio, Streamlabs, PotPlayer, YouTube, Twitch e TikTok.
•	Multiplataforma: Compatível com Windows, Mac OS, Linux e Android.
O QUE VOCÊ PODE CONECTAR NELA?
•	Consoles de Videogame: PS4, PS3, Nintendo Switch, Xbox One, Xbox Series, etc.
•	Câmeras Fotográficas/Filmadoras: DSLRs que possuem saída HDMI limpa (Canon, Sony, Nikon).
•	Outros Dispositivos: Computadores, notebooks, decodificadores de TV e gravadores de DVD.
ESPECIFICAÇÕES TÉCNICAS:
•	Interface de Entrada: HDMI (Suporta resoluções de entrada até 1080p a 60Hz).
•	Interface de Saída: USB 3.0 (Gravação estável em até 1080p @ 60fps).
•	Material: Plástico ABS de alta resistência com cabo integrado.
•	Requisito do Sistema: Recomendado PC/Notebook com processador i5 ou superior, 8GB de RAM e porta USB 3.0.
•	Nota importante: Este dispositivo não suporta entrada de sinal em resolução 4K ou cabos HDMI 2.0. Configure seu console/câmera para saída em 1080p ou 720p.
 CONTEÚDO DA EMBALAGEM:
•	01 Placa de Captura de Vídeo HDMI para USB
•	01 Manual do Usuário</t>
  </si>
  <si>
    <t>Placas de captura de vídeo</t>
  </si>
  <si>
    <t>4462317812732626</t>
  </si>
  <si>
    <t>MLB3592453811</t>
  </si>
  <si>
    <t>U605582965</t>
  </si>
  <si>
    <t>LD 0012</t>
  </si>
  <si>
    <t>Par Barra Led Drl Farol Auxiliar Carro 20cm Decorativo Fita</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</si>
  <si>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
#fitaLed #Led #automotivoled #LEDDRL</t>
  </si>
  <si>
    <t>8276704240742864</t>
  </si>
  <si>
    <t>MLB3592896513</t>
  </si>
  <si>
    <t>U608145258</t>
  </si>
  <si>
    <t>LD 0013</t>
  </si>
  <si>
    <t>Par Barra Led Drl Farol Aux Carro 20cm Aut Fita Formato Onda</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</si>
  <si>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
#LED #DRL #IluminaçãoAutomotiva #CarroLED #EstiloAutomotivo #TuningDeCarro #AcessóriosAutomotivos #ModificaçõesAutomotivas #EstiloPersonalizado #CarrosModernos #UpgradeDeCarro #CarroPersonalizado #fitaLed #automotivoled #UpgradeCar</t>
  </si>
  <si>
    <t>8862696101311271</t>
  </si>
  <si>
    <t>MLB4451654983</t>
  </si>
  <si>
    <t>U3758345233</t>
  </si>
  <si>
    <t>50 G Caviar Para Unhas De Aço Carbono Dourado Ou Prata</t>
  </si>
  <si>
    <t>Contém:
01 - Saco com 50 Gramas de Pedrarias Caviar de Metal Aço carbono
b de 1 mm
As caviar são lindas peças para decorar qualquer tipo de unhas, naturais ou artificiais, indicadas para decoração, confecção de jóias e encapsulamento de unhas em geral.
O trabalho de arte das unhas com sua imaginação pode deixar você e suas clientes glamourosas e atraentes.
Cada Caviar mede 1 mm.
- Portátil;
- Fácil aplicação;
- Resistente;
- Para uso profissional ou doméstico.
Especificações:
Material: Metal
Quantidade: 50 Gramas
Cor: Dourado ou Prata</t>
  </si>
  <si>
    <t>8293283152524079</t>
  </si>
  <si>
    <t>MLB4454283866</t>
  </si>
  <si>
    <t>U610279268</t>
  </si>
  <si>
    <t>F0003</t>
  </si>
  <si>
    <t>Farol De Milha Redondo Lâmpada 9 Leds 27w 6500k Ip66</t>
  </si>
  <si>
    <t>Temperatura de Cor: 6500K     
Potência: 27W  
Tensão: 9-30V DC  
Fator Potência: &gt;0.8  
Grau de Proteção: IP66 
Quantidade de LED: 9pcs
#FarolRedondo #IluminaçãoClássica #EstiloRetro #VisibilidadeNoturna #FarolDeMilha #DesignVintage #EstiloClássico #EstradaIluminada #RetrovisorRetro #CarrosClássicos #ModaVintage #RestauraçãoAutomotiva #EstiloRetrô #FarolDeNeblina #CustomizaçãoAutomotiva</t>
  </si>
  <si>
    <t>4382755391131422</t>
  </si>
  <si>
    <t>MLB4454297957</t>
  </si>
  <si>
    <t>U3760847099</t>
  </si>
  <si>
    <t>BLO002</t>
  </si>
  <si>
    <t>Cama De Faquir Bloqueador De Fuga - Perfurador Pneu 70 Pinos</t>
  </si>
  <si>
    <t>O bloqueador de estrada perfurante e de deflação utiliza perfis de liga de alumínio para formar uma estrutura telescópica. O comprimento telescópico pode ser estendido livremente. A estrutura é equipada com 70 agulhas afiadas de três arestas, com ranhuras de exaustão nas bordas. Quando o veículo passa sobre os espigões da barreira, eles penetram o pneu, causando murchamento imediato e paralisando o veículo, impossibilitando a condução.
- Estrutura: composta por uma base metálica e agulhas metálicas triangulares
- Comprimento efetivo do bloqueador: 7 m
- Comprimento dos espigões: 5 mm
- Distância efetiva entre os espigões: 10 cm
- Dimensões gerais: 450 × 450 × 90 mm (comprimento × largura × altura)
- Quantidade de espigões: 70
- Peso: 6,2 kg</t>
  </si>
  <si>
    <t>7525440703315</t>
  </si>
  <si>
    <t>MLB4478301013</t>
  </si>
  <si>
    <t>U3803195278</t>
  </si>
  <si>
    <t>CHA-001</t>
  </si>
  <si>
    <t>Chave Seletora 2 Posições Com Bloco De Contato 1na Zb2-be101</t>
  </si>
  <si>
    <t>Garanta a precisão e segurança dos seus painéis elétricos com o Bloco de Contato ZB2-BE101. Este componente é essencial para reposição ou montagem de novos comandos, compatível com a grande maioria dos botões e chaves seletoras do padrão industrial de 22mm.
Produto robusto, de fácil instalação e alta durabilidade elétrica.
ESPECIFICAÇÕES TÉCNICAS:
Modelo: ZB2-BE101
Função: Contato Auxiliar
Configuração: 1 NA (Normalmente Aberto - 3 e 4)
Corrente Térmica (Ith): 10A
Tensão Máxima (Ui): 600V
Norma: IEC/EN 60947-5-1
Fixação: Traseira (encaixe no cabeçote do botão/chave)
Conexão: Terminais com parafuso e arruela (fácil fixação dos cabos)
COMPATIBILIDADE:
Ideal para botões de pulso, botões cogumelo, chaves seletoras e sinalizadores da linha XB2 e similares com furação de 22mm.
CONTEÚDO DA EMBALAGEM:
01x Bloco de Contato ZB2-BE101 (1NA)
Dúvidas? Deixe sua pergunta no campo abaixo, temos equipe técnica pronta para atender!</t>
  </si>
  <si>
    <t>Indisponível</t>
  </si>
  <si>
    <t>Interruptores eletrônicos</t>
  </si>
  <si>
    <t>6323910043013265</t>
  </si>
  <si>
    <t>MLB4676583087</t>
  </si>
  <si>
    <t>U3958811329</t>
  </si>
  <si>
    <t>Bolas De Padel Dh Pro Alta Pressão Tubo 3 Unidades</t>
  </si>
  <si>
    <t>As bolas de Padel DH Pro foram desenvolvidas para entregar máxima performance, velocidade e consistência em quadra.
Com pressão profissional, garantem quique preciso e jogabilidade rápida, essenciais para o padel moderno.
Diferenciais DH Pro:
•	Pressurização de alta qualidade 
•	Durabilidade superior 
•	Desempenho consistente durante o jogo 
Conteúdo:
•	1 tubo com 3 bolas de padel DH Pro 
Indicação:
•	Jogos recreativos 
•	Treinos 
•	Competições</t>
  </si>
  <si>
    <t>2325961118547901</t>
  </si>
  <si>
    <t>MLB5484517144</t>
  </si>
  <si>
    <t>U3284665496</t>
  </si>
  <si>
    <t>Kit 4 Par Barra Led Aux Bivolt 12/24v Carro/caminhao/trator</t>
  </si>
  <si>
    <t>KIt 4 unidades de Luzes diurnas LED de alta potência, carcaça totalmente em alumínio para resfriamento suficiente;
Design elaborado, boa estrutura, 100% à prova d'água, fácil instalação, economia de energia;
Lentes de silicone para melhor transparência das luzes e boa imagem luminosa, resistência à abrasão;
Melhora a iluminação em dias chuvosos e nebulosos para evitar acidentes de trânsito.
Por ser Bivolt pode ser utilizado tanto em carros quanto caminhões e tratores.
12V/24V com resistor.
#4x4LED #LuzesParaCarros #Automotivo #LedBarr #LightBarr#LedOfRoad #LED #LEDDRL #LEDTrator #LedCaminhão #ledtuning</t>
  </si>
  <si>
    <t>6583948439732467</t>
  </si>
  <si>
    <t>MLB5552349084</t>
  </si>
  <si>
    <t>U3351276296</t>
  </si>
  <si>
    <t>PET001</t>
  </si>
  <si>
    <t>Piscina Banheira Cachorro Pets Dobrável Azul 120 X 30 Cm</t>
  </si>
  <si>
    <t>Transforme os dias do seu melhor amigo em pura alegria com a nossa Piscina para Pets Cachorros Pet Tub 120x30cm!
Com dimensões espaçosas de 120x30cm,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</si>
  <si>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4003986156956915</t>
  </si>
  <si>
    <t>MLB6068254210</t>
  </si>
  <si>
    <t>U3688212426</t>
  </si>
  <si>
    <t>CIN-018</t>
  </si>
  <si>
    <t>Cinto Tatico Militar Poliéster Fivela Poliacetal Preto Tamanho 1,15 Liso 115</t>
  </si>
  <si>
    <t>O Cinto Tático Militar em Poliéster com Fivela de Poliacetal é a escolha ideal para quem busca durabilidade e funcionalidade. Com uma largura de 3.8 cm, este cinto é projetado para se adaptar confortavelmente a diferentes tipos de vestuário, tornando-se um acessório versátil para o dia a dia ou atividades ao ar livre.
Disponível nas cores azul, verde, cinza, marrom e preto, o cinto atende a todos os gostos e estilos. Sua fivela de poliacetal garante segurança e resistência, permitindo que você se mova livremente sem preocupações. Este produto é unissex, ideal para adultos que valorizam a praticidade e a estética.
Feito em poliéster, o cinto é leve e fácil de limpar, perfeito para quem está sempre em movimento. Além disso, sua construção respeita padrões de sustentabilidade, contribuindo para um consumo mais consciente. Escolha o Cinto Tático Militar e experimente a combinação perfeita de estilo e funcionalidade.</t>
  </si>
  <si>
    <t>6976877000187174</t>
  </si>
  <si>
    <t>MLB6293480420</t>
  </si>
  <si>
    <t>U3814068146</t>
  </si>
  <si>
    <t>CIN-066</t>
  </si>
  <si>
    <t>Kit 5 Cores Cintos Nylon Tático Lona Militar Preto Borda</t>
  </si>
  <si>
    <t>KIT 5 Cores Bordados (Preto)
O Cinto Longo Nylon Masculino Tático Lona Militar Fivela PVC com Bordados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Variádos de 115 a 125cm de comprimento
Material: Nylon
Material Fivéla: Plástico
Casos de Uso:
Calças Jeans
Calças Sociais
Shorts Mascuinos
Calças Sociais
Garantia do vendedor: 30 dias</t>
  </si>
  <si>
    <t>3015067144638929</t>
  </si>
  <si>
    <t>MLB6519074148</t>
  </si>
  <si>
    <t>U3870921606</t>
  </si>
  <si>
    <t>GUI003</t>
  </si>
  <si>
    <t>Guincho Elétrico 20000lbs 9071kg 12v Controle Jeep Troller</t>
  </si>
  <si>
    <t>Guincho Elétrico 20000lbs 9071kg 12v
Apresentamos o Guincho Elétrico de 20.000 Libras (9.071 kg), um equipamento de alta performance projetado para situações extremas de resgate, veículos pesados, pranchas e uso off-road. Este modelo combina força bruta com um sistema de redução eficiente, garantindo segurança e durabilidade.
Diferenciais deste Modelo:
Capacidade Real de 20.000 lbs: Um dos mais fortes da categoria, ideal para quem não pode ficar na mão.
Motor de Alta Potência: 7.1 hp (5.2 kw) Series Wound, proporcionando torque máximo.
Kit Completo 12V: Já acompanha caixa de solenoide blindada, Controle com fio, controle com fio e cabos de bateria prontos para instalação.
Guia de Roletes (Roller Fairlead): Inclusa para preservar a vida útil do cabo de aço e facilitar o enrolamento.
Especificações Técnicas :
Tração Nominal: 20.000 lbs (9.090 kg)
Motor: 12V DC - 7.1 hp / 5.2 kw
Redução : 358:1 (Foco em força extrema)
Trem de Engrenagens: Planetária de 3 Estágios
Cabo de Aço: Diâmetro de 11,5 mm x 26 metros de comprimento
Dimensões do Tambor: 88 mm x 266 mm
Dimensões Totais: 620 mm x 200 mm x 254 mm
Padrão de Furação para Fixação: 253 mm x 114 mm
Peso Líquido: 48 kg
Conteúdo da Embalagem (Conforme Fotos):
01 Guincho Elétrico 20.000 lbs.
01 Cabo de Aço (já instalado no tambor).
01 Guia de Roletes (Roller Fairlead).
01 Gancho Reforçado com Trava.
01 Controle sem fio.
01 Controle Remoto com Cabo.
- Cabos de Alimentação de Bateria.
- Kit de Parafusos para Fixação.</t>
  </si>
  <si>
    <t>3696026025549969</t>
  </si>
  <si>
    <t>MLB6768266644</t>
  </si>
  <si>
    <t>U3971552078</t>
  </si>
  <si>
    <t>Bolas De Padel Dh Pro Alta Pressão Kit 5 Tubos 15 (unidades)</t>
  </si>
  <si>
    <t>As bolas de Padel DH Pro foram desenvolvidas para entregar máxima performance, velocidade e consistência em quadra.
Com pressão profissional, garantem quique preciso e jogabilidade rápida, essenciais para o padel moderno.
Diferenciais DH Pro:
•	Pressurização de alta qualidade 
•	Durabilidade superior 
•	Desempenho consistente durante o jogo 
Conteúdo:
•	5 tubo com 15 bolas de padel DH Pro 
Indicação:
•	Jogos recreativos 
•	Treinos 
•	Competições</t>
  </si>
  <si>
    <t>6406136758309394</t>
  </si>
  <si>
    <t>MLB6838485736</t>
  </si>
  <si>
    <t>U3997988389</t>
  </si>
  <si>
    <t>2039521432872400</t>
  </si>
  <si>
    <t>MLB3592705795</t>
  </si>
  <si>
    <t>U605577323</t>
  </si>
  <si>
    <t>LD 0021</t>
  </si>
  <si>
    <t>Par Fita Decorativa Para Carro Led Drl Farol 20cm Luz Aux</t>
  </si>
  <si>
    <t>7691442210684832</t>
  </si>
  <si>
    <t>MLB4152870077</t>
  </si>
  <si>
    <t>U3351340176</t>
  </si>
  <si>
    <t>PET005</t>
  </si>
  <si>
    <t>Piscina Banheira Cachorro Pets Dobrável Azul 100 X 30 Cm</t>
  </si>
  <si>
    <t>Transforme os dias do seu melhor amigo em pura alegria com a nossa Piscina para Pets Cachorros Pet Tub 100x30cm!
Com dimensões espaçosas de 100x30cm,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</si>
  <si>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3264487778145943</t>
  </si>
  <si>
    <t>MLB4355152379</t>
  </si>
  <si>
    <t>U3661559991</t>
  </si>
  <si>
    <t>CIN-010</t>
  </si>
  <si>
    <t>Kit 10 Cintos Nylon Masculino Tático Lona Militar Preto</t>
  </si>
  <si>
    <t>Preto 125cm</t>
  </si>
  <si>
    <t>KIT COM 10 CINTOS DE NYLON PRETOS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120cm de comprimento
Material: Nylon
Material Fivéla: Plástico
Casos de Uso:
Calças Jeans
Calças Sociais
Shorts Mascuinos
Calças Sociais</t>
  </si>
  <si>
    <t>817361698580439</t>
  </si>
  <si>
    <t>MLB4371454827</t>
  </si>
  <si>
    <t>U3680452501</t>
  </si>
  <si>
    <t>Kit 5 Cachimbo De Vela Magnetron 01 Cg 150 Titan/nxr 150bros</t>
  </si>
  <si>
    <t>4136086173154667</t>
  </si>
  <si>
    <t>MLB4421368389</t>
  </si>
  <si>
    <t>U3726307139</t>
  </si>
  <si>
    <t>CIN-015</t>
  </si>
  <si>
    <t>Kit 30 Cintos Nylon Masculino Tático Lona Militar Preto</t>
  </si>
  <si>
    <t>Preto Lisa 125</t>
  </si>
  <si>
    <t>KIT COM 30 UNIDADES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125cm OU 110cm de comprimento
Material: Nylon
Material Fivéla: Plástico
Casos de Uso:
Calças Jeans
Calças Sociais
Shorts Mascuinos
Calças Sociais</t>
  </si>
  <si>
    <t>4675099149669309</t>
  </si>
  <si>
    <t>MLB4436717058</t>
  </si>
  <si>
    <t>U607775147</t>
  </si>
  <si>
    <t>LD 0023</t>
  </si>
  <si>
    <t xml:space="preserve">Par Barra Led Drl Farol Fita Flexivel 17cm Aut Luz Diurna </t>
  </si>
  <si>
    <t>MLB4451473575</t>
  </si>
  <si>
    <t>U3767622344</t>
  </si>
  <si>
    <t>3862079910718588</t>
  </si>
  <si>
    <t>MLB4462163265</t>
  </si>
  <si>
    <t>U3779373586</t>
  </si>
  <si>
    <t>ARM-001</t>
  </si>
  <si>
    <t>Sirene Eletronica Cjb-100-y-bd 100w 12v</t>
  </si>
  <si>
    <t>A Sirene CJB 100YBD é um equipamento de sinalização sonora de alto desempenho, projetado para oferecer confiabilidade e potência em veículos de serviço. Com uma potência nominal de saída de 100 W, este dispositivo opera através de uma tensão de 12 V DC, sendo gerenciado por um sistema de controle via microchip que assegura a estabilidade da frequência sonora, garantindo que os alertas sejam emitidos com clareza e precisão constantes.
Modelo: Sirene CJB 100YBD
Potência Nominal de Saída: 100 W
Tecnologia: Controle por Microchip e estabilidade de frequência
Interface: Interruptores eletrônicos de toque (Touch) – Com função de controle de luzes
Tensão de Operação: 12 V DC (Corrente Contínua)
Tons: 7 Sons
Nível de Pressão Sonora (Compressão): 115-124 dB
Dimensões (C x L x A): 153 mm x 172 mm x 40 mm
O equipamento destaca-se pela sua capacidade acústica, oferecendo uma variedade de 7 tons distintos e atingindo um nível de pressão sonora (compressão) que varia entre 115 e 124 dB, o que proporciona excelente audibilidade mesmo em ambientes ruidosos. Além da parte sonora, a sirene conta com uma interface moderna composta por interruptores eletrônicos de toque (touch switches). Esta interface não apenas comanda os sons, mas também possui uma função integrada para o controle de iluminação, permitindo o acionamento de luzes auxiliares ou giroflex diretamente pelo painel da sirene.
Fisicamente, a unidade é compacta e projetada para facilitar a instalação em espaços limitados, apresentando dimensões de 153 mm de comprimento, 172 mm de largura e apenas 40 mm de altura. É uma solução completa que une tecnologia digital, alta potência sonora e controle versátil de sinalização visual.</t>
  </si>
  <si>
    <t>Segurança veicular</t>
  </si>
  <si>
    <t>3517418711552082</t>
  </si>
  <si>
    <t>MLB4462271060</t>
  </si>
  <si>
    <t>U610287966</t>
  </si>
  <si>
    <t>LD 0003</t>
  </si>
  <si>
    <t xml:space="preserve">Par Barra Led Drl Farol Aux Carro 20cm Aut Fita Formato </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</si>
  <si>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
#LED #DRL #IluminaçãoAutomotiva #CarroLED #EstiloAutomotivo #TuningDeCarro #AcessóriosAutomotivos #ModificaçõesAutomotivas #EstiloPersonalizado #CarrosModernos #UpgradeDeCarro #CarroPersonalizado #fitaLed #automotivoled #UpgradeCar</t>
  </si>
  <si>
    <t>2608247967977129</t>
  </si>
  <si>
    <t>MLB4587784446</t>
  </si>
  <si>
    <t>U1164568561</t>
  </si>
  <si>
    <t>F0009</t>
  </si>
  <si>
    <t>Farol Auxiliar Retangular Led 12v 24v 8 Leds Farol Milha</t>
  </si>
  <si>
    <t>Tensão de trabalho: 12V DC ~ 74V DC (Pico e contínuo);
Potência: 24W;
Configuração: 8 LEDs;
Cor: 6000K (Branco);
Conexão: Fio positivo e negativo;
Certificação: IP67 – Resistente a água (Não é aprova d’água).
A linha de Faróis Auxiliares Agrícolas se destacam por entregar grande projeção e potência de iluminação, aumentando a visibilidade do motorista do veículo a uma longa distância. Além disso, todos os produtos contam com kit de instalação completo com a quantidade específica para a instalação correta e apresentam selo IP67, ou seja, são desenvolvidos com resistência à água, poeira e eventuais arranhões, o que ajuda a prolongar a vida útil do produto.
Designado Para:
Tratores;
Pulverizadores;
Adubadoras;
Semeadoras;
Colhedoras;
Arados;
Demais Maquinas Agrícolas.
#Agricultura #MáquinasAgrícolas #IluminaçãoAgrícola #FarolLED #EficiênciaEnergética #TrabalhoNoturno #EquipamentoAgrícola #TecnologiaLED #ProdutividadeRural #FerramentasAgrícolas</t>
  </si>
  <si>
    <t>6995004981061671</t>
  </si>
  <si>
    <t>MLB4590573896</t>
  </si>
  <si>
    <t>U610890796</t>
  </si>
  <si>
    <t>LD0102</t>
  </si>
  <si>
    <t>4 Estroboscópios De 4 Leds Luz Estroboscópica De 12v</t>
  </si>
  <si>
    <t>4 painéis, 4 LEDs: 4 LEDs por painel
Tensão: 12V-24V
Modelo de chip: 3030
Grau à prova d'água: IPX-4
Contém:
4 x luz de flash 1 x controle principal caixa
4 x almofada de borracha
1 x adesivo dupla face (para interruptor)
1 x cabo de alimentação
8 x parafusos de montagem
A operação é simples, basta pressionar o botão para alterar o modo de luz.
As luzes LED de longa duração têm uma vida útil de mais de 50.000 horas. O
LED com lente óptica foi redesenhado para permitir que uma luz mais brilhante seja vista a maiores distâncias.
#Estroboscópio #Sinalização #Segurança #Veículos #LED #Emergência #PrevençãoDeAcidentes #Visibilidade #EstroboscópioLED #EquipamentoDeEmergência</t>
  </si>
  <si>
    <t>Correias de transmissão para veículos</t>
  </si>
  <si>
    <t>8951219532542864</t>
  </si>
  <si>
    <t>MLB4712863683</t>
  </si>
  <si>
    <t>U4003891433</t>
  </si>
  <si>
    <t>CON-001</t>
  </si>
  <si>
    <t>Cone Flexível Deholog A 109 Sinalização Segurança 7 Un</t>
  </si>
  <si>
    <t>Descrição
7 UNIDADES - Cones flexiveis e ou cones retráteis Reflexivos para transito (sistema telescopico), forças de segurança, caminhões de combustiveis e quimicos ou outro para estrada
Descrição do produto:
Cone com sistema telescópico de transito e segurança com luz de advertência de LED COM Abertura de 72 cm à prova de chuva e alta resistencia.
O cone de transito retratil é dobrável e se acondiciona em pequenos compartimentos, fácil de operar e fácil de transportar. O cone é feito de tecido de oxford reflexivo impermeável macio e equipado com cinto refletor de 150x100mm.
A parte superior é equipada com o led intermitente (Estilo pisca pisca) com freqüência de intermitencia de mais de 150 vezes/min, o Led e com força para atravessar nevoeiros, noites com chuva e outras interpéries.
Especificações:
Quqntidade: 7 unidades
Material: pano de oxford e base em borracha com placa PP
* Tamanho: 380*380*720mm,
* Peso cerca de 3.4kgs;
* Refletor: 2pcs, 150+100mm;
* Cor: vermelho, cinza, preto;
* Luz inferior: 1pc LED, estilo pisca pisca &amp; steady-on, alimentado por 2pcs pilhas AAA (não incluído no produto e preço unitário);
* Sem top ligh
Tamanho: aprox.230x230x40mm/9.1x9.1x1.6 polegada
#SegurançaViária #ConesFlexíveis #SinalizaçãoEficiente #TráfegoSeguro #ConesDeSegurança #VisibilidadeNoTrânsito #MobilidadeUrbana #SinalizaçãoFlexível #ConeDeTrânsito #SegurançaNasEstradas #ConesRefletivos #AlertaNoTrânsito #ManutençãoDeEstradas #TrabalhoSeguro</t>
  </si>
  <si>
    <t>5683568563559568</t>
  </si>
  <si>
    <t>MLB5540858352</t>
  </si>
  <si>
    <t>U3339263637</t>
  </si>
  <si>
    <t>PET007</t>
  </si>
  <si>
    <t>Tapete Colchonete Gelado Para Pets Cães Cachorro 40x30</t>
  </si>
  <si>
    <t>Azul Liso</t>
  </si>
  <si>
    <t>O Tapete Colchonete Gelado da CassPet é a solução perfeita para manter seu pet confortável e fresco em dias quentes. Com um tamanho médio de 40x30,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40X30: COMPRIMENTO:40CM LARGURA:30CM ALTURA: 3CM</t>
  </si>
  <si>
    <t>8303362409907375</t>
  </si>
  <si>
    <t>MLB5541166226</t>
  </si>
  <si>
    <t>U3340146383</t>
  </si>
  <si>
    <t>PET013</t>
  </si>
  <si>
    <t>Tapete Gelado Refrescante Para Cães  100x80 Cm</t>
  </si>
  <si>
    <t>O Tapete Colchonete Gelado é a solução perfeita para manter seu pet confortável e fresco em dias quentes. Com um tamanho médio de 100x80,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100X80: 
COMPRIMENTO:100CM LARGURA:80CM ALTURA: 3CM</t>
  </si>
  <si>
    <t>5382595652259888</t>
  </si>
  <si>
    <t>MLB5545572528</t>
  </si>
  <si>
    <t>U3348027396</t>
  </si>
  <si>
    <t>PET018</t>
  </si>
  <si>
    <t>Tapete Piscina Chafariz Inflável Para Pet E Crianças 150cm</t>
  </si>
  <si>
    <t>Azul Lisa</t>
  </si>
  <si>
    <t>Piscina Chafariz Inflável para Pets e Crianças – Diversão Refrescante no Verão!
Ideal para dias quentes, este tapete com chafariz é uma maneira divertida e refrescante de entreter seus pets e crianças no jardim, camping ou quintal. Uma combinação perfeita de fonte de água e piscina rasa, pensada para garantir diversão com segurança.
REFRESCÂNCIA GARANTIDA PARA SEUS COMPANHEIROS:
Projetado para proporcionar alívio nos dias de calor, este tapete com jatos d’água transforma qualquer ambiente externo em um espaço de lazer para cães, gatos e crianças.
DIVERSÃO SEGURA E INTELIGENTE:
A superfície do tapete possui textura antiderrapante, minimizando riscos de escorregões enquanto os pequenos – humanos ou de quatro patas – brincam com os jatos de água. Segurança e alegria em um só produto!
FÁCIL DE MONTAR E GUARDAR:
Conecte facilmente a uma mangueira comum e regule a pressão da água para ajustar a altura dos jatos. Quando terminar, é só esvaziar, dobrar e guardar. Leve e compacto para transporte.
DICA IMPORTANTE:
Antes de usar, corte as unhas do seu pet para evitar perfurações no material e garantir uma brincadeira tranquila.
Presenteie com diversão neste verão!
Perfeito para transformar os dias quentes em momentos inesquecíveis com seus filhos e animais de estimação
Características
Cor: Azul
Material: PVC Ecológico
Design Antiderrapante
Fácil de montar
Fácil de usar
Fácil de guardar
Dobrável
Divertido
Ampla Aplicação
Brincadeira
Dimensões Aproximadas
Largura/Diâmetro: 1,5 Metro
Altura: 14cm
Conteúdo da Embalagem:
1 Fonte Piscina
1 Bico Conector (Da mangueira ou tubo à fonte)</t>
  </si>
  <si>
    <t>Piscinas estruturais</t>
  </si>
  <si>
    <t>339561772887300</t>
  </si>
  <si>
    <t>MLB6001049508</t>
  </si>
  <si>
    <t>U3655166208</t>
  </si>
  <si>
    <t>CAMA-001</t>
  </si>
  <si>
    <t>Cama Pet Gelada Redonda Premium 65cm - Estampa Frutas</t>
  </si>
  <si>
    <t>Azul-claro Frutas</t>
  </si>
  <si>
    <t>A Cama Pet Gelada Redonda Premium é a cama perfeita para seu pet. Ela é feita de um material gelado que ajuda a manter seu pet fresco e confortável, mesmo nos dias mais quentes. A cama também é muito macia, seu pet vai adorar dormir nela.
A Cama Pet Gelada Redonda Premium está disponível em vários tamanhos, para que você possa encontrar o tamanho perfeito para seu pet. Ela também está disponível em várias cores. A Cama Pet Gelada Redonda Premium é a melhor cama para seu pet. Ela é macia, confortável, fresca e durável. Seu pet vai adorar dormir nela.
Ajuda pets que tem problemas nas juntas, pois é um material macio, a refrescância desse item ajuda o seu pet a controlar o calor do corpo, principalmente para os pets mais peludos. 
Benefícios da Cama Pet Gelada Redonda Premium
- Mantém seu pet fresco e confortável, mesmo nos dias mais quentes.
- Muito macia e confortável
- Disponível em vários tamanhos e cores.
- Durável.
- Fácil de limpar.
- Feito de um material gelado que ajuda a manter seu pet fresco em dias quentes.
- Ajuda o pet a ficar refrescado.
- Gel atóxico.
Características:
- Tamanho: 65cm.
- Perfeito para refrescar os pets nos dias mais quentes.
- Ideal para pets peludos.
- Temperatura de 5 a 10 Graus abaixo da ambiente.
Produto composto por um gel refrescante e atóxico que se ativa pelo peso e pressão do pet, a almofada fica refrigerada por um período de 3 a 4 horas e posteriormente deve ser deixada descansando em ambiente coberto ou com sombra por cerca de 30 minutos.
Especificações: 
 Enchimento 100% Poliester 
 Cor FRUTAS
 Tamanho 65cm 
 Composição/Material Nylon||Espuma e Gel</t>
  </si>
  <si>
    <t>5607194998144913</t>
  </si>
  <si>
    <t>MLB6168325350</t>
  </si>
  <si>
    <t>U3733733408</t>
  </si>
  <si>
    <t>CIN-019</t>
  </si>
  <si>
    <t>Kit 15 Cintos Nylon Masculino Tático Lona Militar Preto</t>
  </si>
  <si>
    <t>Preto Liso 125</t>
  </si>
  <si>
    <t>KIT COM 15 UNIDADES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125cm OU 110cm de comprimento
Material: Nylon
Material Fivéla: Plástico
Casos de Uso:
Calças Jeans
Calças Sociais
Shorts Mascuinos
Calças Sociais</t>
  </si>
  <si>
    <t>4251484077040965</t>
  </si>
  <si>
    <t>MLB6184453812</t>
  </si>
  <si>
    <t>U3747334040</t>
  </si>
  <si>
    <t>DIF-003</t>
  </si>
  <si>
    <t>Difusor E Umidificador De Aromas Holdmay 400ml Led</t>
  </si>
  <si>
    <t>Marrom-escuro 127/220v</t>
  </si>
  <si>
    <t>Maravilhoso difusor que funciona também como aromatizador, umidificador de ar e 7 cores de luz de led no mesmo aparelho. Tem CAPACIDADE para 400ml de água, funcionando a noite toda e desligando sozinho. Por ser ultrassônico, não faz nenhum barulho durante o uso.
O material de plástico imita madeira e tem um design elegante e inovador, combinando com todos os ambientes.
Ele é elétrico, funciona ligado na tomada 110v ou 220v (Bivolt).Não Necessita de filtro de reposição.
Possui temporizador de 1, 3 e 6 horas com desligamento automático. A luz pode ser desligada, deixando apenas o aromatizador. Pode fixar a cor da luz ou deixar trocando automaticamente. Pode ser utilizado somente essências a base de água.
PRINCIPAIS CARACTERÍSTICAS:
- Próprio para óleos essenciais, proporcionando os efeitos da aromaterapia
- Difusão ultrassônica a frio, mantém as propriedades originais do óleo essencial
- Umidifica o ambiente, auxilia em dias com baixa umidade do ar
- Lindo objeto decorativo, com 7 cores de luz em led
- Pode ser usado a noite durante o sono e quando a água acabar ele desliga sozinho
INFORMAÇÕES TÉCNICAS
-Alimentação: Fonte Bivolt (110v e 220v)
-Desligamento de Proteção por Falta de Água: Sim
-Aplicação: 20m²
-Composição: PP/ABS/PC
-Ruído: 36db
-Capacidade: 400ml
-Potência: 9W
-Frequência: 2.4 MHZ
DIMENSÕES DO PRODUTO:
-Diâmetro: 17cm
-Altura: 21cm
-Peso: 375g
CONTEÚDO DA EMBALAGEM:
-01 Aparelho Difusor De Ambiente Elétrico
-01 Manual
-01 Fonte 110/220 Bivolt (Cabo 1,5m)</t>
  </si>
  <si>
    <t>Difusores de aromas elétricos, umidificadores e vaporizadores</t>
  </si>
  <si>
    <t>5896379952358739</t>
  </si>
  <si>
    <t>MLB6201069724</t>
  </si>
  <si>
    <t>U3751951637</t>
  </si>
  <si>
    <t>Dilacerador De Pneus Retrátil Sanfonado Com Corda</t>
  </si>
  <si>
    <t>Ideal para operações policiais e de segurança, este dilacerador de pneus retrátil sanfonado oferece máxima eficiência na imobilização de veículos. Fabricado em metal resistente, possui pontas afiadas e sistema retrátil para fácil transporte e instalação.
ESPECIFICAÇÕES
- Material: Metal reforçado
- Sistema: Retrátil sanfonado
- Inclui corda para recolhimento rápido
- Pontas afiadas para perfuração de pneus
RECOMENDAÇÕES DE USO
Recomendado para barreiras policiais, controle de acesso e operações táticas. Utilize com cautela e apenas em situações autorizadas.
SEGURANÇA
Manuseie com cuidado para evitar acidentes. Mantenha fora do alcance de crianças.</t>
  </si>
  <si>
    <t>Pneus e rodas para veículos</t>
  </si>
  <si>
    <t>4173905620316478</t>
  </si>
  <si>
    <t>MLB6248419740</t>
  </si>
  <si>
    <t>U3792409740</t>
  </si>
  <si>
    <t>ELE-001</t>
  </si>
  <si>
    <t>2 Un Capacitor Filme Polipropileno Kemet 310vac X2f861</t>
  </si>
  <si>
    <t>2 UNIDADES CAPACITOR DE FILME POLIPROPILENO METALIZADO KEMET SÉRIE F861 - 22µF / 310VAC
Produto novo, original KEMET. A série F861 oferece excelente supressão de interferência eletromagnética (EMI) e segurança para aplicações conectadas à rede elétrica (Classe X2).
PRINCIPAIS APLICAÇÕES:
Supressão de ruído EMI (Filtro de Linha).
Fontes de alimentação chaveadas.
Drivers de LED e reatores eletrônicos.
Eletrodomésticos e eletrônicos de consumo.
Aplicações "Across-the-line" (Fase-Neutro).
ESPECIFICAÇÕES TÉCNICAS:
Fabricante: KEMET
Série: F861 (Safety X2)
Capacitância: 22 µF (microfarads)
Tensão Nominal: 310 VAC / 630 VDC
Tolerância: ±10% (Padrão K) ou ±20% (Padrão M) - Confirmar no corpo da peça
Classe de Segurança: X2 (IEC 60384-14)
Dielectrico: Polipropileno Metalizado
Temperatura de Operação: -40°C a +110°C
Espaçamento entre Pinos (Lead Pitch): 27.5 mm (Padrão para 1.5uF, verifique sua peça)
Encapsulamento: Resina autoextinguível (UL 94 V-0)
CERTIFICAÇÕES:
ENEC, UL, cUL, CQC
CONTEÚDO DA EMBALAGEM:
01x Capacitor Kemet F861 1.5µF 310VAC X2
Ficha Técnica (Campos do ML)
Marca: KEMET
Linha: F861 Series
Modelo: F861 (X2 Safety)
Capacitância: 1.5 µF
Voltagem máxima: 310V AC
Temperatura máxima de operação: 110 °C
Material: Polipropileno</t>
  </si>
  <si>
    <t>Acessórios e peças eletrônicas</t>
  </si>
  <si>
    <t>3799193761712402</t>
  </si>
  <si>
    <t>MLB6545308314</t>
  </si>
  <si>
    <t>U3869669125</t>
  </si>
  <si>
    <t>DIN-001</t>
  </si>
  <si>
    <t>Porta Cédulas E Moedas Menno Mg 40 - 5 Notas 8 Moedas C/clip</t>
  </si>
  <si>
    <t>O Porta Cédulas e Moedas MG 40 é o acessório indispensável para quem busca agilidade e segurança no ponto de venda. Desenvolvido em poliestireno de alto impacto, ele é extremamente durável e ideal para uso intenso em balcões ou dentro de gavetas de dinheiro.
Diferenciais do Modelo MG 40:
•	Prendedores Metálicos: Garante que as notas fiquem firmes no lugar, mesmo com movimentação rápida.
•	Divisões Inteligentes: São 5 repartições para notas e 8 para moedas, permitindo organizar todas as denominações do Real (preparado para as cédulas novas).
•	Material Premium: Fabricado em poliestireno de alto impacto (PSAI), muito superior às niqueleiras plásticas comuns.
Especificações Técnicas:
•	Marca: Menno
•	Modelo: MG 40
•	Cor: Preto
•	Dimensões: 35,1 cm (Largura) x 31,4 cm (Profundidade) x 5,5 cm (Altura)
•	Peso: Aproximadamente 800g
Ideal para:
Supermercados, farmácias, padarias, lojas de conveniência e qualquer estabelecimento que precise de organização no fluxo de caixa.
Ficha Técnica (Campos do Mercado Livre):
•	Marca: Menno
•	Modelo: MG 40
•	Material: Poliestireno de alto impacto
•	Quantidade de divisórias para notas: 5
•	Quantidade de divisórias para moedas: 8
•	Com prendedores de nota: Sim (Metálicos)</t>
  </si>
  <si>
    <t>Antiguidades</t>
  </si>
  <si>
    <t>6503637621566607</t>
  </si>
  <si>
    <t>MLB6774830094</t>
  </si>
  <si>
    <t>U3973921420</t>
  </si>
  <si>
    <t>BOL-002</t>
  </si>
  <si>
    <t>Bolas Beach Tennis Dh Pro Kit 12 Unidades Profissional</t>
  </si>
  <si>
    <t>As bolas de Beach Tennis DH Pro foram desenvolvidas para oferecer o melhor equilíbrio entre controle, durabilidade e desempenho na areia.
Com baixa pressão, proporcionam jogadas mais precisas, menos impacto no braço e maior tempo de reação — ideal tanto para iniciantes quanto jogadores experientes.
Diferenciais DH Pro:
•	Feltro resistente que aumenta a vida útil 
•	Excelente visibilidade em qualquer condição de luz 
•	Padrão utilizado em treinos e partidas 
Conteúdo da embalagem:
•	12 Bolas Beach Tennis DH Pro 
Indicação:
•	Jogos recreativos 
•	Treinos 
•	Competições</t>
  </si>
  <si>
    <t>1340039388588944</t>
  </si>
  <si>
    <t>MLB6857459978</t>
  </si>
  <si>
    <t>U4015838643</t>
  </si>
  <si>
    <t>INT-001</t>
  </si>
  <si>
    <t>Interruptor Digital 4 Canais Com Controle Remoto Techlic</t>
  </si>
  <si>
    <t>Transforme a iluminação do seu ambiente com praticidade e tecnologia!
O Interruptor Digital Techlic (Modelo TC-HW-4B) substitui o seu interruptor convencional de parede, permitindo que você controle até 4 circuitos de lâmpadas independentes de forma local ou à distância, utilizando o controle remoto incluso.
Ideal para residências, lojas, escritórios, hotéis e salões de exposição.
PRINCIPAIS BENEFÍCIOS:
•	Controle Total na Mão: Ligue ou desligue lâmpadas individualmente ou todas de uma vez só através dos botões "ON/ALL" e "OFF/ALL".
•	Design Moderno: Painel com acabamento elegante que valoriza o ambiente.
•	Fácil Substituição: Desenvolvido no padrão de caixas de embutir comuns (Tipo 86).
•	Bivolt Automático: Funciona com total segurança tanto em redes 110V quanto em 220V.
ESPECIFICAÇÕES TÉCNICAS:
•	Marca: Techlic
•	Modelo: TC-HW-4B (Exhibition Hall-Type)
•	Quantidade de Canais: 4 canais independentes
•	Tensão de Operação: Bivolt (AC 90V – 260V | 50/60Hz)
•	Tecnologia do Controle: Infravermelho (IR)
•	Distância de Alcance: Até 5 metros (sem barreiras)
•	Ângulo de Recepção: 30° (requer direcionamento do controle)
•	Capacidade de Carga: Até 400W por canal para cargas indutivas / 1500W de potência máxima total.
ESQUEMA DE INSTALAÇÃO (Bornes):
•	N (Zero-wire): Entrada para o fio Neutro da rede (Obrigatório)
•	L (Fire-wire): Entrada para o fio Fase da rede
•	1, 2, 3, 4: Saídas de retorno para cada uma das lâmpadas
CONTEÚDO DA EMBALAGEM:
•	01 Interruptor de Parede Digital Techlic 4 Canais
•	01 Controle Remoto Infravermelho
•	01 Manual de Instruções Original</t>
  </si>
  <si>
    <t>3429548014649874</t>
  </si>
  <si>
    <t>MLB6977751772</t>
  </si>
  <si>
    <t>U4102236899</t>
  </si>
  <si>
    <t>SIN-002</t>
  </si>
  <si>
    <t>Kit 6 Sinalizador Led Emergência Recarregável  Portátil Ímã</t>
  </si>
  <si>
    <t>Preto 127/220v</t>
  </si>
  <si>
    <t>Garanta a segurança máxima em situações de emergência viária com o Kit de 6 Balizas de LED Recarregáveis!
PRINCIPAIS DIFERENCIAIS:
•	VISIBILIDADE EM 360°: Equipado com LEDs de alta intensidade, visíveis a centenas de metros de distância, mesmo sob forte chuva, neblina ou escuridão total.
•	BASE MAGNÉTICA POTENTE: Fixa-se instantaneamente na lataria, teto ou caçamba de qualquer veículo sem riscar a pintura.
•	9 MODOS DE ILUMINAÇÃO: Alterne facilmente entre luz estroboscópica, rotação (tipo giroflex), SOS em código Morse, lanterna contínua e muito mais.
•	RESISTÊNCIA EXTREMA (ULTRA DURÁVEL): Corpo emborrachado resistente a impactos. À prova d'água (IP67) e suporta o esmagamento caso um veículo passe por cima.
•	MALETA DE RECARGA INTELIGENTE: Funciona como uma estação de carga por contato magnético. Basta guardar as balizas no estojo e conectar na tomada ou no veículo para carregar todas ao mesmo tempo.
 O QUE VEM NA EMBALAGEM?
•	06 x Balizas Circulares de LED Emergência (Cor: Vermelha)
•	01 x Maleta Estojo de Armazenamento e Recarga Magnética
•	01 x Carregador Veicular (Plugue 12V/24V para Acendedor de Cigarros)
•	01 x Fonte de Alimentação de Parede (Tomada Residencial Bivolt)
•	Alimentação do estojo: 110V/220V (Bivolt) ou 12V/24V (Veicular)
•	Grau de Proteção: IP67 (À prova d'água e poeira)
•	Fixação: Magnética (Ímã integrado na base)
•	Padrões de luz: 9 funções de piscada + modo lanterna
•	Tipo de bateria: Lítio recarregável</t>
  </si>
  <si>
    <t>Luzes de emergência</t>
  </si>
  <si>
    <t>1479347501457604</t>
  </si>
  <si>
    <t>MLB3591523839</t>
  </si>
  <si>
    <t>U1141061335</t>
  </si>
  <si>
    <t>LD 0014</t>
  </si>
  <si>
    <t>Par Barra Led Drl Farol Aux Carro 20cm Formato Decorativo</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</si>
  <si>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Ângulo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t>
  </si>
  <si>
    <t>Acessórios para linha leviana</t>
  </si>
  <si>
    <t>2562891500084814</t>
  </si>
  <si>
    <t>MLB3612061139</t>
  </si>
  <si>
    <t>U1142786613</t>
  </si>
  <si>
    <t>Farol Milha Para Carro 16 Leds Quadrado 48w 6500k Ip66 -azul</t>
  </si>
  <si>
    <t>Material: Alumínio + LED
Cor: Azul
Tensão de trabalho: DC9-30V 
Quantidade de LED: 16pcs 
Potência de LED: 48W 
Valor do lúmen: 3000LM 
Temperatura de cor: 6500K 
Grau à prova d'água: IP66
Aplicável a: automóveis/motocicletas/veículos off-road/caminhões/empilhadeiras/caminhões de praia/veículos de engenharia/navios 
Peso do produto: 92g
Utilizados para melhorar a iluminação do veículo, oferecendo uma luz mais brilhante e intensa em comparação com os faróis originais. Eles podem ser úteis em várias situações, como em estradas escuras ou em condições climáticas adversas, fornecendo uma melhor visibilidade para o motorista. Além disso, alguns proprietários de veículos também optam por faróis modificados por motivos estéticos, para personalizar o visual de seus carros. No entanto, é importante garantir que essas modificações estejam em conformidade com as regulamentações locais de trânsito para garantir a segurança de todos os usuários da estrada.
#IluminaçãoPotente #FaróisBrilhantes #ModificaçõesAutomotivas #PersonalizaçãoDoCarro #MelhorVisibilidade #EstiloAutomotivo #PerformanceDeIluminação #UpgradeDeFaróis #CustomizaçãoVeicular #EstradaIluminada</t>
  </si>
  <si>
    <t>2449167698053246</t>
  </si>
  <si>
    <t>MLB4342995733</t>
  </si>
  <si>
    <t>U3648051075</t>
  </si>
  <si>
    <t>CAMA-002</t>
  </si>
  <si>
    <t>Cama Pet Gelada Redonda Premium 55cm - Estampa Sorvetes</t>
  </si>
  <si>
    <t>Amarelo Sorvetes</t>
  </si>
  <si>
    <t>A Cama Pet Gelada Redonda Premium é a cama perfeita para seu pet. Ela é feita de um material gelado que ajuda a manter seu pet fresco e confortável, mesmo nos dias mais quentes. A cama também é muito macia, seu pet vai adorar dormir nela.
A Cama Pet Gelada Redonda Premium está disponível em vários tamanhos, para que você possa encontrar o tamanho perfeito para seu pet. Ela também está disponível em várias cores. A Cama Pet Gelada Redonda Premium é a melhor cama para seu pet. Ela é macia, confortável, fresca e durável. Seu pet vai adorar dormir nela.
Ajuda pets que tem problemas nas juntas, pois é um material macio, a refrescância desse item ajuda o seu pet a controlar o calor do corpo, principalmente para os pets mais peludos. 
Benefícios da Cama Pet Gelada Redonda Premium
- Mantém seu pet fresco e confortável, mesmo nos dias mais quentes.
- Muito macia e confortável
- Disponível em vários tamanhos e cores.
- Durável.
- Fácil de limpar.
- Feito de um material gelado que ajuda a manter seu pet fresco em dias quentes.
- Ajuda o pet a ficar refrescado.
- Gel atóxico.
Características:
- Tamanho: 55cm.
- Perfeito para refrescar os pets nos dias mais quentes.
- Ideal para pets peludos.
- Temperatura de 5 a 10 Graus abaixo da ambiente.
Produto composto por um gel refrescante e atóxico que se ativa pelo peso e pressão do pet, a almofada fica refrigerada por um período de 3 a 4 horas e posteriormente deve ser deixada descansando em ambiente coberto ou com sombra por cerca de 30 minutos.
Especificações: 
 Enchimento 100% Poliester 
 Cor SORVETES
 Tamanho 55cm 
 Composição/Material Nylon||Espuma e Gel</t>
  </si>
  <si>
    <t>4956605785450660</t>
  </si>
  <si>
    <t>MLB4353416243</t>
  </si>
  <si>
    <t>U3659650015</t>
  </si>
  <si>
    <t>CHIP-001</t>
  </si>
  <si>
    <t>2000 Chips Sunlord R2r Swpa6028s2r2mt</t>
  </si>
  <si>
    <t>Os 2000 Chips Sunlord R2R SWPA6028S2R2MT sao a escolha ideal para quem busca qualidade e eficiencia em suas aplicacoes eletronicas. Fabricados pela renomada marca Sunlord, esses chips oferecem desempenho superior e confiabilidade, atendendo as necessidades de projetos variados.
Com um design otimizado, os chips R2R garantem uma excelente performance em circuitos digitais, sendo perfeitos para engenheiros e entusiastas da eletronica. Sua compatibilidade com diversas plataformas os torna uma solucao versátil para diferentes tipos de projetos.
A utilizacao desses chips pode resultar em melhorias significativas na eficiencia energética e na precisao dos circuitos. Invista em tecnologia de ponta e eleve a qualidade dos seus projetos com os Chips Sunlord R2R SWPA6028S2R2MT.</t>
  </si>
  <si>
    <t>MLB4371376743</t>
  </si>
  <si>
    <t>Cabo Usb 2 Em 1 Mi Micro Usb Para Tipo C (30 Cm) Branco</t>
  </si>
  <si>
    <t>O Cabo USB 2 em 1 Mi Micro USB para Tipo C da Xiaomi é a solucao ideal para quem busca praticidade e eficiencia no carregamento e transferencia de dados. Com um comprimento de 30 cm, este cabo é perfeito para uso em casa, no escritório ou em movimento, permitindo que voce conecte seus dispositivos de forma rápida e fácil.
Equipado com um conector de entrada USB Tipo C e um conector de saída Micro-USB, este modelo SJX01ZM é versátil e atende a diversas necessidades. A qualidade da marca Xiaomi garante durabilidade e desempenho, tornando este cabo uma escolha confiável para o dia a dia.
Seja para carregar seu smartphone ou transferir arquivos, o Cabo USB 2 em 1 oferece uma conexao estável e eficiente. Sua construcao compacta facilita o armazenamento e o transporte, tornando-o um acessório indispensável para quem valoriza a funcionalidade e a praticidade.</t>
  </si>
  <si>
    <t>288144556563041</t>
  </si>
  <si>
    <t>MLB4417088167</t>
  </si>
  <si>
    <t>U3730075246</t>
  </si>
  <si>
    <t>HD-001</t>
  </si>
  <si>
    <t>Fita Super Dlt I 320gb - C7980a - Hp</t>
  </si>
  <si>
    <t>Fita Super DLT I 320GB - C7980A - HP
Tapes de dados HP SuperDLTtape I para o melhor desempenho em cópia de segurança e restauro. 
A nova tecnologia de LGMR (gravação magnética guiada por laser) assegura uma capacidade mais elevada, aumentando substancialmente o número de faixas de gravação e densidade da gravação na superfície de dados da tape. 
As Tapes HP SDLT são testadas para além das normas da indústria, para assegurar um desempenho óptimo e fiabilidade com bibliotecas e drives HP StorageWorks de 220 e 320 GB. 
Armazena até 320 GB de dados comprimidos em uma tape.</t>
  </si>
  <si>
    <t>Sem garantia</t>
  </si>
  <si>
    <t>Fitas de dados</t>
  </si>
  <si>
    <t>MLB4417240425</t>
  </si>
  <si>
    <t>Fita Super DLT I 320GB - C7980A - HP
Tapes de dados HP SuperDLTtape I para o melhor desempenho em cópia de segurança e restauro.
A nova tecnologia de LGMR (gravação magnética guiada por laser) assegura uma capacidade mais elevada, aumentando substancialmente o número de faixas de gravação e densidade da gravação na superfície de dados da tape.
As Tapes HP SDLT são testadas para além das normas da indústria, para assegurar um desempenho óptimo e fiabilidade com bibliotecas e drives HP StorageWorks de 220 e 320 GB.
Armazena até 320 GB de dados comprimidos em uma tape.</t>
  </si>
  <si>
    <t>1608349000772502</t>
  </si>
  <si>
    <t>MLB4417423925</t>
  </si>
  <si>
    <t>U3730218750</t>
  </si>
  <si>
    <t>SOM-001</t>
  </si>
  <si>
    <t>Auto Falante Soundtube Cm42-ezs-ii Para Teto</t>
  </si>
  <si>
    <t>O Auto Falante Soundtube CM42-EZs-II Para Teto é a solução ideal para quem busca qualidade sonora em ambientes internos. Com um design discreto e elegante, este modelo se integra perfeitamente ao teto, proporcionando uma experiência auditiva imersiva sem comprometer a estética do espaço.
Desenvolvido pela renomada marca Soundtube, o CM42-EZs-II oferece um som claro e potente, ideal para apresentações, eventos ou simplesmente para desfrutar de sua música favorita. Sua construção robusta garante durabilidade, enquanto a tecnologia avançada proporciona uma reprodução sonora de alta fidelidade.
Este auto falante é perfeito para ambientes comerciais e residenciais, permitindo que você crie a atmosfera desejada com facilidade. A instalação é simplificada, tornando-o uma escolha prática para quem deseja qualidade sem complicações.
Experimente a diferença que um som de alta qualidade pode fazer em seu espaço. O Soundtube CM42-EZs-II é a escolha certa para quem valoriza performance e design em um único produto.</t>
  </si>
  <si>
    <t>8200386745481665</t>
  </si>
  <si>
    <t>MLB4419943697</t>
  </si>
  <si>
    <t>U3733756094</t>
  </si>
  <si>
    <t>CIN-012</t>
  </si>
  <si>
    <t>Kit 20 Cintos Nylon Masculino Tático Lona Militar Preto</t>
  </si>
  <si>
    <t>Preto Liso 110</t>
  </si>
  <si>
    <t>KIT COM 20 UNIDADES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125cm OU 110cm de comprimento
Material: Nylon
Material Fivéla: Plástico
Casos de Uso:
Calças Jeans
Calças Sociais
Shorts Mascuinos
Calças Sociais</t>
  </si>
  <si>
    <t>MLB4421320719</t>
  </si>
  <si>
    <t>U3726307141</t>
  </si>
  <si>
    <t>CIN-013</t>
  </si>
  <si>
    <t>Preto Lisa 120</t>
  </si>
  <si>
    <t>959496622113921</t>
  </si>
  <si>
    <t>MLB4422258075</t>
  </si>
  <si>
    <t>U3736381922</t>
  </si>
  <si>
    <t>15 Unidades De Conector Wire-to-wire Molex Mizu-p25</t>
  </si>
  <si>
    <t>Os conectores Wire-to-Wire Molex Mizu-P25 são a solução ideal para quem busca eficiência e confiabilidade em suas conexões elétricas. Com um design compacto e leve, pesando apenas 3 g, cada unidade é projetada para garantir uma conexão segura e duradoura, essencial para diversos projetos eletrônicos.
Este pacote contém 15 unidades, cada uma com 1 conector de entrada e 1 conector de saída, permitindo uma fácil integração em sistemas que exigem alta performance. A marca Molex é reconhecida mundialmente pela qualidade de seus produtos, oferecendo a confiança necessária para suas aplicações.
Seja em projetos de automação, eletrônica de consumo ou em qualquer outra área que exija conectores de alta qualidade, os conectores Mizu-P25 são a escolha certa. Invista em conectividade superior e assegure o sucesso de suas montagens com este produto de excelência.</t>
  </si>
  <si>
    <t>Cabos molex</t>
  </si>
  <si>
    <t>1104322905083037</t>
  </si>
  <si>
    <t>MLB4431086614</t>
  </si>
  <si>
    <t>U607776843</t>
  </si>
  <si>
    <t>LD 0009</t>
  </si>
  <si>
    <t>Par Barra Led Drl Farol Aux Carro Aut Fita Decorativo 20cm</t>
  </si>
  <si>
    <t>Performance y tuning para veículos</t>
  </si>
  <si>
    <t>8954172055277014</t>
  </si>
  <si>
    <t>MLB4435797558</t>
  </si>
  <si>
    <t>U607787919</t>
  </si>
  <si>
    <t>LD 0002</t>
  </si>
  <si>
    <t>Par Barra Led Drl Farol Aux Carro 17cm Aut Fita Cores</t>
  </si>
  <si>
    <t>1072372504645671</t>
  </si>
  <si>
    <t>MLB4453807433</t>
  </si>
  <si>
    <t>U3769657632</t>
  </si>
  <si>
    <t>LAMP-001</t>
  </si>
  <si>
    <t>Senken Sjh130l Peça Performance E Tuning Veículos</t>
  </si>
  <si>
    <t>O SENKEN SJH130L é um holofote de busca profissional com tecnologia LED, projetado para operações de iluminação móvel em ambientes críticos . Este equipamento robusto é amplamente utilizado em construção ferroviária, fornecimento de energia elétrica, segurança viária, comando de prevenção a enchentes, resgate em desastres naturais, investigações de cena de crime e acidentes de trânsito .
Características Técnicas
Fonte de luz LED atualizada com carcaça em plástico ABS de alto impacto resistente
Alta potência de iluminação alcançando 8.000 lux a 5 metros de distância
Rotação horizontal de 360° para cobertura completa da área
Controle sem fio com alcance de até 30 metros
Proteção contra poeira e água (dustproof e waterproof)
Tampa de vidro policarbonato (PC) para o farol LED
Base com fixação magnética
Design de feixe concentrado (spot beam)</t>
  </si>
  <si>
    <t>2627757417910655</t>
  </si>
  <si>
    <t>MLB4462180561</t>
  </si>
  <si>
    <t>U3770091813</t>
  </si>
  <si>
    <t>CNC-001</t>
  </si>
  <si>
    <t>Módulo De Entrada General Electric Ic694mdl645d Cnc 24v</t>
  </si>
  <si>
    <t>Módulo de entrada de tensão em CC RX3i, 24 V, 16 pontos
O RX3i de E/S foi desenvolvido para aplicações de missões críticas discretas e processos. A E/S com base em rack oferece diagnóstico avançado e flexibilidade extraordinários, com uma ampla gama de E/S padrão e avançada.
Número da peça: IC694MDL645D
Quantidade, tipo e velocidade das entradas: 16 pontos; lógica pos/neg; 7 ms On/7 ms Off
Tensão de alimentação e tensão on/off: 24 V CC; intervalo de 20~30 V; On &gt;11,5
Consumo de corrente na backplane: 80 mA a 5 V CC e 125 mA a 24 V CC
Aprovações e normas para locais ordinários: UL 508, equivalente ao padrão CSA C22.2 n. 142M1987
Aprovações e normas para locais perigosos: Classe I, Div. 2, grupos A, B, C e D
Formato da montagem: Em painel/sobre trilho DIN</t>
  </si>
  <si>
    <t>Controladores para CNC</t>
  </si>
  <si>
    <t>8395598030887812</t>
  </si>
  <si>
    <t>MLB4469984431</t>
  </si>
  <si>
    <t>U3780322877</t>
  </si>
  <si>
    <t>CNC-002</t>
  </si>
  <si>
    <t>Timer Digital Programador Horário Grässlin Talento Smart S25</t>
  </si>
  <si>
    <t>O Talento Smart S25 da Grasslin é a solução profissional definitiva para automação de sistemas elétricos. Com 2 canais independentes e conectividade Bluetooth, este programador horário permite o controle total da iluminação, bombas, vitrines e sistemas de irrigação diretamente pelo seu smartphone, sem a necessidade de navegar por menus complexos em telas pequenas.
PRINCIPAIS CARACTERISTICAS
Conexão Bluetooth 4.0: Programe, edite e envie configurações facilmente através do aplicativo gratuito (disponível para Android e iOS).
2 Canais Independentes: Controle dois circuitos ou cargas diferentes com apenas um dispositivo.
Tecnologia Zero-Crossing: Comutação inteligente que protege os relés e aumenta significativamente a vida útil de lâmpadas LED, evitando picos de corrente.
Bateria de Longa Duração: Reserva de marcha de até 8 anos. Se faltar energia, o relógio e a programação permanecem salvos.
Memória Extensa: Capacidade para até 800 espaços de memória e 50 programas.
Modos Variados: Programação Diária, Semanal, Anual, Ciclo, Impulso e Aleatório (simulação de presença).
Segurança: Proteção por código PIN e possibilidade de lacrar o equipamento.
FICHA TECNICA
Modelo: Talento Smart S25 (Grasslin)
Tensão de Operação: 110V a 230V AC (Bivolt Automático)
Frequência: 50–60 Hz
Instalação: Trilho DIN (Ocupa 2 módulos de largura)
Capacidade de Carga (Resistiva): 16 A / 250 V
Capacidade de Carga (Indutiva cos phi 0.6): 10 A
Carga para Lâmpadas LED: Até 600W (maior que 2W) ou 100W (menor que 2W)
Tempo Mínimo de Comutação: 1 minuto (ON/OFF) ou 1 segundo (Ciclo/Impulso)
Grau de Proteção: IP 20
Temperatura de Operação: -20 graus C a +55 graus C
Contato: Reversível (NA/NF)
APLICAÇÕES IDEAIS
Iluminação comercial e residencial (vitrines, outdoors, jardins).
Controle de bombas de piscina e filtros.
Sistemas de irrigação e hidroponia.
Simulação de presença em residências para segurança.
Controle de portões e acessos.
CONTEUDO DA EMBALAGEM
01 Programador Horário Talento Smart S25
Manual de Instruções
PERGUNTAS FREQUENTES
O produto é bivolt? Sim, funciona automaticamente em 110V e 220V.
Consigo programar sem o celular? Sim, é possível programar manualmente pelos botões do aparelho, mas o uso do App via Bluetooth torna o processo muito mais rápido e intuitivo.
Se acabar a bateria do celular, o timer para? Não. A conexão Bluetooth serve apenas para configurar. Uma vez programado, o timer funciona de forma autônoma.</t>
  </si>
  <si>
    <t>Temporizadores elétricos</t>
  </si>
  <si>
    <t>6078769346805590</t>
  </si>
  <si>
    <t>MLB4470140419</t>
  </si>
  <si>
    <t>U3780337483</t>
  </si>
  <si>
    <t>CNC-003</t>
  </si>
  <si>
    <t>Módulo De Comunicação Lan Grasslin Talento Smart</t>
  </si>
  <si>
    <t>ulo Talento Smart LAN permite a transmissão de dados rápida e fácil via rede local (LAN). Ele facilita significativamente o trabalho dos instaladores, permitindo criar diferentes modelos de programação em um PC e conectá-los a até cinco temporizadores Talento Smart S25 sem complicações. É a ponte entre o computador e os temporizadores no quadro elétrico.
Dados Técnicos Específicos do Módulo LAN:
Tensão de operação: 230 V AC (Nota: Verificar compatibilidade com a rede local, especificado como 230V).
Frequência: 50–60 Hz.
Largura: 2 módulos (Calha DIN).
Consumo em stand-by: 4 W.
Tipo de proteção: IP 20.
Temperatura ambiente: –20 °C … +55 °C.
Conectividade: Permite controlar até 5 dispositivos Talento Smart S25.</t>
  </si>
  <si>
    <t>3217941401216634</t>
  </si>
  <si>
    <t>MLB4475195607</t>
  </si>
  <si>
    <t>U3787460295</t>
  </si>
  <si>
    <t>CNC-005</t>
  </si>
  <si>
    <t>Comando De Cenário Sem Fio Bticino Living Now K4574cw Smart</t>
  </si>
  <si>
    <t>Automação de Luxo e Conforto na palma da sua mão!
O comando de cenário sem fio Bticino Living Now (K4574CW) é o componente que faltava para transformar sua casa em uma Smart Home de alto padrão. Com design minimalista e tecnologia de ponta, ele permite controlar múltiplos dispositivos com apenas um toque.
POR QUE ESCOLHER O LIVING NOW K4574CW?
Cenários Personalizados: Configure os botões "Dia" (Wake Up) e "Noite" (Sleep) pelo aplicativo Home + Control para apagar todas as luzes, fechar persianas e desligar aparelhos simultaneamente.
Instalação Sem Obras: Por ser wireless (sem fio), você pode fixá-lo em qualquer parede com fita dupla face (inclusa) ou parafusar em caixas 4x2 sem precisar passar cabos.
Design Premiado: A linha Living Now é referência mundial em estética e inovação, adaptando-se perfeitamente a projetos de arquitetura modernos.
Ecosistema /Bticino: Integração total com o sistema Netatmo, Alexa, Google Home e Apple HomeKit.
ESPECIFICAÇÕES TÉCNICAS:
Marca: Bticino (Legrand)
Modelo: K4574CW
Linha: Living Now with Netatmo
Alimentação: Bateria CR2032 (inclusa) - Longa duração.
Conectividade: Radiofrequência 2.4GHz Zigbee.
Cor do Módulo: Cinza (Requer capa de acabamento vendida separadamente).
CONTEÚDO DA EMBALAGEM:
01 Módulo de Comando de Cenário Sem Fio K4574CW.
01 Bateria CR2032.
Adesivos para fixação.
IMPORTANTE: Este produto requer um Gateway (Pacote Inicial) da linha Living Now with Netatmo para funcionar. Não acompanha capa frontal, suporte ou placa de acabamento.</t>
  </si>
  <si>
    <t>Insumos elétricos</t>
  </si>
  <si>
    <t>1641055364838286</t>
  </si>
  <si>
    <t>MLB4475354255</t>
  </si>
  <si>
    <t>U3797165612</t>
  </si>
  <si>
    <t>Interruptor De Persiana Conectado Bticino Living Now K4027c</t>
  </si>
  <si>
    <t>127/220v</t>
  </si>
  <si>
    <t>O Interruptor de Persiana Conectado Bticino Living Now K4027c é a solução ideal para quem busca modernidade e praticidade em sua casa. Com um design elegante e funcional, este interruptor permite o controle remoto das persianas, proporcionando conforto e conveniência no seu dia a dia.
Compatível com sistemas de automação residencial, o modelo K4027c se integra facilmente a outros dispositivos inteligentes, permitindo que você ajuste a iluminação e a privacidade de cada ambiente com apenas um toque no seu smartphone. Sua instalação é simples e rápida, tornando-o uma escolha perfeita para quem deseja otimizar o espaço e a estética da casa.
Além disso, a tecnologia de ponta da Bticino garante durabilidade e eficiência, assegurando que você tenha um produto que atenda às suas necessidades por muito tempo. Transforme sua casa em um lar inteligente e aproveite a praticidade que o Interruptor de Persiana Conectado Bticino Living Now K4027c pode oferecer.</t>
  </si>
  <si>
    <t>Artigos de iluminação para a casa</t>
  </si>
  <si>
    <t>7047392694221195</t>
  </si>
  <si>
    <t>MLB4475386929</t>
  </si>
  <si>
    <t>U3787359805</t>
  </si>
  <si>
    <t>TOL-002</t>
  </si>
  <si>
    <t>Toldo Retrátil Motorizado 3x2m Alumínio Retrátil Cinza</t>
  </si>
  <si>
    <t>Cinza</t>
  </si>
  <si>
    <t>Transforme seu espaço externo com o Toldo Retrátil Motorizado 3x2m da marca Toldos Lona. Com um design elegante na cor cinza, este toldo é ideal para quem busca funcionalidade e estilo. Sua estrutura em alumínio garante durabilidade, enquanto a proteção UV proporciona segurança contra os raios solares.
Com dimensões práticas, o toldo se abre e fecha facilmente, ocupando apenas 50 cm de altura quando fechado. A profundidade de 2 m oferece uma cobertura ampla, perfeita para varandas, pátios ou áreas de lazer. Além disso, é à prova d'água, permitindo que você aproveite seu espaço mesmo em dias de chuva.
O motor integrado facilita o manuseio, tornando a experiência ainda mais conveniente. Com um peso de 100 kg, o toldo é robusto e estável, ideal para diversas condições climáticas. Invista em conforto e proteção para o seu ambiente externo com este toldo retrátil.</t>
  </si>
  <si>
    <t>Não faço envios</t>
  </si>
  <si>
    <t>Toldos e beirais para portas e janelas</t>
  </si>
  <si>
    <t>113</t>
  </si>
  <si>
    <t>27</t>
  </si>
  <si>
    <t>12</t>
  </si>
  <si>
    <t>8.74</t>
  </si>
  <si>
    <t>8595996908080498</t>
  </si>
  <si>
    <t>MLB4475419437</t>
  </si>
  <si>
    <t>U3787547691</t>
  </si>
  <si>
    <t>Interruptor De Persiana Conectado Bticino Living Now K4003c</t>
  </si>
  <si>
    <t>O Interruptor de Persiana Conectado Bticino Living Now K4003c é a solução ideal para quem busca modernidade e praticidade em sua casa. Com um design elegante e funcional, este interruptor permite o controle remoto das persianas, proporcionando conforto e conveniência no seu dia a dia.
Compatível com sistemas de automação residencial, o modelo K4003c oferece uma interface intuitiva, facilitando a integração com outros dispositivos inteligentes. Sua instalação é simples, permitindo que você aproveite rapidamente todas as suas funcionalidades.
Além de otimizar a iluminação natural, o interruptor contribui para a eficiência energética, permitindo programar horários para abrir e fechar as persianas. Transforme seu espaço com tecnologia de ponta e desfrute de um ambiente mais agradável e personalizado.</t>
  </si>
  <si>
    <t>1006837959410420</t>
  </si>
  <si>
    <t>MLB4477057311</t>
  </si>
  <si>
    <t>U3790887459</t>
  </si>
  <si>
    <t>PIS-001</t>
  </si>
  <si>
    <t>Pistão Do Motor Marca Zayima 3.00mm Novo</t>
  </si>
  <si>
    <t>Recupere a potência do seu motor com o Pistão Zayima. Peça de reposição de alta qualidade, ideal para retíficas e ajustes de motor na medida 3.00.
Recomendamos consultar seu mecânico de confiança para confirmar a compatibilidade da medida 3.00 com o cilindro da sua moto.
ESPECIFICAÇÕES TÉCNICAS:
Marca: Zayima
Medida de Sobremedida: 3.00mm
Material: Liga de alumínio de alta resistência
Acabamento: Alta precisão para garantir compressão ideal
Condição: Produto Novo
CONTEÚDO DA EMBALAGEM:
01 Pistão Zayima 3.00MM</t>
  </si>
  <si>
    <t>Pistões de motor para veículos</t>
  </si>
  <si>
    <t>5938358658961576</t>
  </si>
  <si>
    <t>MLB4477108755</t>
  </si>
  <si>
    <t>U3800563260</t>
  </si>
  <si>
    <t>PIS-002</t>
  </si>
  <si>
    <t>Pistão Do Motor Marca Zayima 3.50mm Novo</t>
  </si>
  <si>
    <t>Recupere a potência do seu motor com o Pistão Zayima. Peça de reposição de alta qualidade, ideal para retíficas e ajustes de motor na medida 3.50.
Recomendamos consultar seu mecânico de confiança para confirmar a compatibilidade da medida 3.50 com o cilindro da sua moto.
ESPECIFICAÇÕES TÉCNICAS:
Marca: Zayima
Medida de Sobremedida: 3.50mm
Material: Liga de alumínio de alta resistência
Acabamento: Alta precisão para garantir compressão ideal
Condição: Produto Novo
CONTEÚDO DA EMBALAGEM:
01 Pistão Zayima 3.50MM</t>
  </si>
  <si>
    <t>7440916340278694</t>
  </si>
  <si>
    <t>MLB4478230261</t>
  </si>
  <si>
    <t>U3793366915</t>
  </si>
  <si>
    <t>PET-022</t>
  </si>
  <si>
    <t>Tapete Chafariz Infantil Pet 100cm Piscina De Água Verão</t>
  </si>
  <si>
    <t>Azul-celeste 100 Cm</t>
  </si>
  <si>
    <t>DIVERSÃO REFRESCANTE GARANTIDA PARA SEU FILHO OU SEU PET! 
Transforme o quintal da sua casa em um parque aquático instantâneo! O Tapete Chafariz "Hello Summer" é a solução perfeita para os dias quentes, garantindo horas de diversão segura e muito frescor para crianças e animais de estimação.
POR QUE ESCOLHER ESTE TAPETE CHAFARIZ?
 Fácil de Instalar: Basta conectar a uma mangueira de jardim comum e abrir a torneira. A pressão da água enche a borda e cria o efeito chafariz automaticamente.
 Tamanho Ideal (100cm): Espaço suficiente para bebês, crianças pequenas ou cachorros se deitarem e brincarem.
 Seguro e Durável: Feito em PVC de alta qualidade, resistente e atóxico. A superfície é texturizada para reduzir escorregões.
 Portátil: Quando vazio, dobra-se ficando do tamanho de um livro. Leve para a casa de praia, sítio ou casa da vovó!
 Estampa Exclusiva: Design "Hello Summer" vibrante que fica lindo nas fotos de verão.
COMO FUNCIONA?
Estenda o tapete em uma superfície plana (gramado ou piso).
Conecte sua mangueira na entrada de água (anel amarelo).
Abra a torneira devagar. A borda irá encher e começar a esguichar água pelos furos!
Dica: Controle a altura dos jatos abrindo ou fechando mais a torneira.
ESPECIFICAÇÕES TÉCNICAS:
Diâmetro: 1 metro (100cm)
Material: PVC Ecológico
Cor: Azul Turquesa com estampa tropical
Indicação: Crianças, Bebês (com supervisão) e Pets (Cães e Gatos)
O QUE VEM NA CAIXA:
01 Tapete Chafariz 100cm
01 Conector para mangueira (com vedação)</t>
  </si>
  <si>
    <t>Tapetes de água</t>
  </si>
  <si>
    <t>1044786181790162</t>
  </si>
  <si>
    <t>MLB4478571969</t>
  </si>
  <si>
    <t>U3794255615</t>
  </si>
  <si>
    <t>CNC-006</t>
  </si>
  <si>
    <t>Módulo Conversor Dc-dc Vicor Vi-241-cu 72v Para 12v 200w</t>
  </si>
  <si>
    <t>O Módulo Conversor DC-DC Vicor Vi-241-CU é a solução ideal para quem busca eficiência e confiabilidade em sistemas de conversão de energia. Com uma tensão de entrada fixa de 72V, este conversor oferece uma saída estável de 12V, permitindo uma operação segura e eficaz em diversas aplicações.
Com uma potência máxima de operação de 250W e capacidade de pico de até 400W, o Vicor Vi-241-CU é projetado para atender às demandas mais exigentes. Seu design compacto, com apenas 3 mm de altura e 400 g de peso, facilita a integração em projetos onde o espaço é limitado.
O módulo conta com um indicador LED que proporciona visibilidade do status de operação, garantindo que você esteja sempre ciente do funcionamento do dispositivo. Ideal para aplicações industriais e de automação, este conversor é uma escolha confiável para profissionais que buscam qualidade e desempenho.</t>
  </si>
  <si>
    <t>Inversores de corrente</t>
  </si>
  <si>
    <t>193328788425666</t>
  </si>
  <si>
    <t>MLB4478594973</t>
  </si>
  <si>
    <t>U3794167139</t>
  </si>
  <si>
    <t>BAT-001</t>
  </si>
  <si>
    <t>Bateria Ni-mh 2250mah 10.8v Hitachi Vsp Pn: 3289081-a</t>
  </si>
  <si>
    <t>A bateria Ni-MH 2250mAh 10.8V Hitachi Vsp PN: 3289081-A da marca FDK é a solução ideal para quem busca desempenho e confiabilidade. Com uma capacidade de 2250 mAh, esta bateria recarregável garante uma longa duração, permitindo que você utilize seus dispositivos por mais tempo sem interrupções.
Seu formato retangular é projetado para se encaixar perfeitamente em uma variedade de equipamentos, oferecendo versatilidade e praticidade. A voltagem nominal de 10,8V proporciona a energia necessária para o funcionamento eficiente de suas ferramentas e aparelhos.
A composição em Ni-MH assegura uma performance estável e sustentável, contribuindo para um uso mais consciente dos recursos. Invista em qualidade e eficiência com esta bateria, que atende às suas necessidades diárias com excelência.</t>
  </si>
  <si>
    <t>Pilhas</t>
  </si>
  <si>
    <t>1989221835202923</t>
  </si>
  <si>
    <t>MLB4479410873</t>
  </si>
  <si>
    <t>U3805917110</t>
  </si>
  <si>
    <t>BOT-001</t>
  </si>
  <si>
    <t>Chave Botão Redonda Sem Trava R13-507 Com 100 Peças Amarelo</t>
  </si>
  <si>
    <t>CARACTERÍSTICAS E ESPECIFICAÇÕES TÉCNICAS
-Modelo: R13-507
-Terminais: 2
-Posições: 1
-Amperagem: 3A
-Tensão: 250v
-Amperagem: 6A
-Tensão: 125v
-Largura: 2,0 cm
-Altura: 1,8 cm
-Profundidade: 2,0 cm</t>
  </si>
  <si>
    <t>271937517980808</t>
  </si>
  <si>
    <t>MLB4486616271</t>
  </si>
  <si>
    <t>U3806417437</t>
  </si>
  <si>
    <t>Cabo Chicote Ge Fanuc Ic695crh008 Pacsystems Rx3i Original</t>
  </si>
  <si>
    <t>O GE Fanuc IC695CRH008 é um chicote de fiação (wiring harness) de alta performance, componente essencial para a integração de sistemas de automação industrial que utilizam a plataforma PACSystems RX3i.
Este cabo é projetado para garantir a integridade dos sinais e facilitar a conexão entre módulos de E/S (Entrada/Saída) e dispositivos de campo, reduzindo o tempo de montagem e manutenção em painéis elétricos.
Especificações Técnicas:
Marca: GE Fanuc / Emerson (Original) Emerson Industrial Automation
Código da Peça: IC695CRH008
Compatibilidade: Linha PACSystems RX3i
Conectores: Terminal de alta densidade (latch) para sub-D.
Aplicação: Automação industrial, controle de processos e PLCs.
Destaques:
Cabo blindado para proteção contra interferências eletromagnéticas (EMI).
Conexão robusta para ambientes industriais severos.
Item crítico para reposição ou expansão de racks RX3i.</t>
  </si>
  <si>
    <t>3203549477298176</t>
  </si>
  <si>
    <t>MLB4486718013</t>
  </si>
  <si>
    <t>U3806617561</t>
  </si>
  <si>
    <t>EST-002</t>
  </si>
  <si>
    <t>Par Estribo Lateral Mitsubishi L200 Triton 4x4 Pick-up</t>
  </si>
  <si>
    <t>Acessorio ideal para a sua L200 Triton. O estribo lateral melhora o acesso ao veiculo, facilita embarque e desembarque e ajuda a proteger a lateral contra barro, pedras e pequenos impactos do dia a dia.
Compatibilidade
Mitsubishi L200 Triton 4x4 pick up
Conteudo da embalagem
1 par de estribos laterais, lado direito e lado esquerdo, modelo J119S06</t>
  </si>
  <si>
    <t>Estribos para veículos</t>
  </si>
  <si>
    <t>1061544240005144</t>
  </si>
  <si>
    <t>MLB4487064585</t>
  </si>
  <si>
    <t>U3806832183</t>
  </si>
  <si>
    <t>FIO-008</t>
  </si>
  <si>
    <t>Conector 2 Pinos Passo 5 Mm Kit Com 100 Peças  Preto</t>
  </si>
  <si>
    <t>Conector elétrico de 2 pinos com passo de 5 mm, ideal para reparos, projetos eletrônicos e automação. Compatível com placas, fontes e chicotes que utilizam espaçamento de 5 mm entre os terminais.
Tipo: conector elétrico 2 pinos
Passo entre pinos: 5 mm
Quantidade: 50 peças (kit)
Cor: preto
Estado: produto novo, sem uso
Indicado para: placas eletrônicas, fontes, módulos, chicotes e projetos DIY
Benefícios:
Encaixe firme, reduzindo risco de mau contato.
Tamanho compacto, ideal para espaços reduzidos.
Fácil de instalar, basta crimpar ou soldar os fios e encaixar.
Antes de comprar, confira se o conector e o passo de 5 mm são compatíveis com o seu equipamento.</t>
  </si>
  <si>
    <t>Conectores de áudio e vídeo</t>
  </si>
  <si>
    <t>5744715120341842</t>
  </si>
  <si>
    <t>MLB4555939263</t>
  </si>
  <si>
    <t>U3866761800</t>
  </si>
  <si>
    <t>PAI-001</t>
  </si>
  <si>
    <t>Painel De Operação Flsmidth Pfister Flp 891.464.00.00 - 24v</t>
  </si>
  <si>
    <t>Painel de Operação Industrial FLSmidth Pfister FLP (Feeder Local Panel)
Equipamento original de alta precisão, utilizado para controle local de sistemas de pesagem e dosagem industrial (Balanças de Rotor Pfister® DRW e similares). Hardware robusto fabricado pela Phoenix Contact para ambientes industriais severos.
Especificações Técnicas:
Marca: FLSmidth Pfister
Modelo: FLP (Feeder Local Panel)
Código da Peça (P/N): 891.464.00.00 / 81243-502-01
Hardware: Phoenix Contact (Ref: 2401340-00)
Alimentação: 24V DC / 0.25A
Ano de Fabricação: 2020
Conectividade: 1x Porta Ethernet (RJ45) + 1x Porta USB Host
Proteção: Certificação ATEX (Zona 2/22) e UL (Classe I, Div 2) – ideal para áreas classificadas.
Diferenciais:
Equipamento em excelente estado de conservação (conforme fotos).
Interface intuitiva com botões de atalho (SYS, PRC, PRM, FLP) e botões de comando (ON/OFF/STOP).
Ideal para reposição em fábricas de cimento, mineração e usinas que utilizam tecnologia de dosagem Pfister.
Conteúdo da Embalagem:
01 Unidade do Painel FLP Pfister.
Acompanha kit de porcas/fixadores originais (conforme imagem).</t>
  </si>
  <si>
    <t>Painéis de controle de reposição para impressoras</t>
  </si>
  <si>
    <t>106535703410324</t>
  </si>
  <si>
    <t>MLB4592044607</t>
  </si>
  <si>
    <t>U3883013039</t>
  </si>
  <si>
    <t>DEN-001</t>
  </si>
  <si>
    <t>Dentsply Sirona Neo Sentalloy 16x22 160g Fio Odontológico</t>
  </si>
  <si>
    <t>PRODUTO ORIGINAL DENTSPLY SIRONA – TECNOLOGIA TERMOATIVADA DE PONTA
O arco Neo Sentalloy é a escolha definitiva para ortodontistas que buscam excelência e previsibilidade. Graças à sua liga de NiTi superelástica com ativação térmica, ele proporciona movimentações precisas com o máximo de conforto biológico para o paciente.
Especificações Técnicas (Conforme Imagem):
•	Marca: Dentsply Sirona (GAC)
•	Modelo: Neo Sentalloy
•	Seção: Retangular 16x22
•	Força: 160G (Gramas)
•	Arcada: Lower (Inferior)
•	Formato do Arco: Accuform Medium
•	Quantidade: 1 Unidade (Embalagem lacrada)
Diferenciais do Neo Sentalloy 160G:
•	Força Constante: A carga de 160g é liberada de forma contínua, ideal para a fase de alinhamento e nivelamento avançado, garantindo controle sem picos de pressão.
•	Ativação Térmica: O fio torna-se ativo apenas na temperatura bucal, facilitando a inserção nos bráquetes mesmo em casos de apinhamento severo.
•	Superelasticidade: Alta resistência à deformação permanente, mantendo a memória de forma por muito mais tempo.
•	Qualidade GAC: Reconhecida pela precisão dimensional e acabamento de superfície que reduz o atrito.</t>
  </si>
  <si>
    <t>Equipamento odontológico</t>
  </si>
  <si>
    <t>600179489024916</t>
  </si>
  <si>
    <t>MLB4592498021</t>
  </si>
  <si>
    <t>U3883512341</t>
  </si>
  <si>
    <t>FIL-001</t>
  </si>
  <si>
    <t>Conjunto De Filamento Delta Xp Tungstênio 0.15mm</t>
  </si>
  <si>
    <t>PRODUTO NOVO 
Este anúncio refere-se ao Conjunto de Filamento Delta XP, peça de reposição original de alta precisão utilizada em sistemas de Espectrometria de Massa (MS) e IRMS da marca Thermo Fisher Scientific.
Especificações Técnicas:
•	Material: Tungstênio (Tungsten) de alta pureza
•	Diâmetro Externo (OD): 0.15mm
•	Condição: Novo, na embalagem original protetora.
Compatibilidade:
Este filamento é compatível com os seguintes espectrômetros de massa:
•	Série Delta: Delta V (Plus / Advantage), Delta S, Delta XL e Delta XP.
•	Sistemas Auxiliares: Gas Bench e outros equipamentos IRMS que utilizam a série 1027920.
Diferenciais:
•	Qualidade OEM: Garante a estabilidade da corrente de emissão e maior vida útil do cátodo.
•	Pronta Entrega: Item disponível para envio imediato no Brasil (evite meses de espera por importação direta).</t>
  </si>
  <si>
    <t>Frete grátis por conta própria</t>
  </si>
  <si>
    <t>Equipamento médico</t>
  </si>
  <si>
    <t>20</t>
  </si>
  <si>
    <t>17</t>
  </si>
  <si>
    <t>0.23</t>
  </si>
  <si>
    <t>919966510222353</t>
  </si>
  <si>
    <t>MLB4661083843</t>
  </si>
  <si>
    <t>U3953147790</t>
  </si>
  <si>
    <t>FIO-006</t>
  </si>
  <si>
    <t>Fio/linha Cortador Grama Thorxx 2,7mm Redonda 152m Vermelha</t>
  </si>
  <si>
    <t>Fio de Nylon Monofilamento Vermelho para aparadores de grama
Diametro do fio : 2,7mm
Perfil do fio : redondo
Quantidade de metros por kilo : 152m aprox.
Material de alta qualidade, polimeros da marca BASF
Compativel com aparadores eletricos
- Nao despedaca ou quebra facilmente
- Devido ao polimero de alta qualidade ,o fio THORXX possui mais elasticidade e flexibilidade que seus similares.
- Alto poder de corte</t>
  </si>
  <si>
    <t>1595332280816402</t>
  </si>
  <si>
    <t>MLB4661136985</t>
  </si>
  <si>
    <t>U3941335901</t>
  </si>
  <si>
    <t>FIO-007</t>
  </si>
  <si>
    <t>Fio/linha Cortador Grama Thorxx 2,4mm Redonda 192m Vermelha</t>
  </si>
  <si>
    <t>Fio de Nylon Monofilamento Vermelho para aparadores de grama
Diametro do fio : 2,4mm
Perfil do fio : redondo
Quantidade de metros por kilo : 192m aprox.
Material de alta qualidade, polimeros da marca BASF
Compativel com aparadores eletricos
- Nao despedaca ou quebra facilmente
- Devido ao polimero de alta qualidade ,o fio THORXX possui mais elasticidade e flexibilidade que seus similares.
- Alto poder de corte</t>
  </si>
  <si>
    <t>8050532298360592</t>
  </si>
  <si>
    <t>MLB4661222591</t>
  </si>
  <si>
    <t>U3953330068</t>
  </si>
  <si>
    <t>CAB-001</t>
  </si>
  <si>
    <t>Lanterna Cabeça Led Trilha Pesca Camping Usb Recarregável</t>
  </si>
  <si>
    <t>DESCRIÇÃO DO PRODUTO
Ilumine seus caminhos com as mãos totalmente livres!
Seja para uma trilha noturna, uma pescaria com os amigos ou para trabalhos de manutenção que exigem precisão, a nossa Lanterna de Cabeça LED Inteligente é a parceira ideal. Com design leve e resistente, ela oferece o equilíbrio perfeito entre potência e conforto.
DIFERENCIAIS:
•	SENSOR DE MOVIMENTO: Ligue e desligue a lanterna apenas passando a mão na frente. Ideal para quando as mãos estão sujas ou ocupadas!
•	RECARREGÁVEL USB: Economize com pilhas! Acompanha cabo USB para carregar no computador, power bank ou carregador de celular.
•	MODOS DE LUZ VERSÁTEIS: Ajuste a intensidade conforme a sua necessidade (Luz Forte, Econômica ou Alerta).
•	DESIGN ERGONÔMICO: Cinta elástica ajustável e super leve, você nem vai sentir que está usando.
IDEAL PARA:
•	Camping e Acampamento
•	Pesca Noturna
•	Ciclismo e Corridas de Aventura
•	Exploração de Cavernas (Caving)
•	Manutenções Mecânicas e Residenciais
ESPECIFICAÇÕES TÉCNICAS:
•	Tipo de LED: Alta potência e baixo consumo
•	Carregamento: Micro USB (incluso)
•	Certificações: CE, FCC, UKCA (Segurança garantida)
•	Ajuste: Fita elástica confortável e regulável
O QUE VEM NA CAIXA?
•	01 Lanterna de Cabeça LED Inteligente
•	01 Cinta de Cabeça Ajustável
•	01 Cabo de Carregamento USB</t>
  </si>
  <si>
    <t>Lanternas</t>
  </si>
  <si>
    <t>9006679157379154</t>
  </si>
  <si>
    <t>MLB4693478783</t>
  </si>
  <si>
    <t>U3986550034</t>
  </si>
  <si>
    <t>Bolas Beach Tennis Dh Pro Kit 60 Unidades Profissional</t>
  </si>
  <si>
    <t>As bolas de Beach Tennis DH Pro foram desenvolvidas para oferecer o melhor equilíbrio entre controle, durabilidade e desempenho na areia.
Com baixa pressão, proporcionam jogadas mais precisas, menos impacto no braço e maior tempo de reação — ideal tanto para iniciantes quanto jogadores experientes.
Diferenciais DH Pro:
•	Feltro resistente que aumenta a vida útil 
•	Excelente visibilidade em qualquer condição de luz 
•	Padrão utilizado em treinos e partidas 
Conteúdo da embalagem:
•	60 Bolas Beach Tennis DH Pro 
Indicação:
•	Jogos recreativos 
•	Treinos 
•	Competições</t>
  </si>
  <si>
    <t>3268471110796112</t>
  </si>
  <si>
    <t>MLB4693548585</t>
  </si>
  <si>
    <t>U3986611872</t>
  </si>
  <si>
    <t>Bolas Beach Tennis Dh Pro Kit 3 Unidades Profissional</t>
  </si>
  <si>
    <t>As bolas de Beach Tennis DH Pro foram desenvolvidas para oferecer o melhor equilíbrio entre controle, durabilidade e desempenho na areia.
Com baixa pressão, proporcionam jogadas mais precisas, menos impacto no braço e maior tempo de reação — ideal tanto para iniciantes quanto jogadores experientes.
Diferenciais DH Pro:
•	Feltro resistente que aumenta a vida útil 
•	Excelente visibilidade em qualquer condição de luz 
•	Padrão utilizado em treinos e partidas 
Conteúdo da embalagem:
•	3 Bolas Beach Tennis DH Pro 
Indicação:
•	Jogos recreativos 
•	Treinos 
•	Competições</t>
  </si>
  <si>
    <t>4709757246429073</t>
  </si>
  <si>
    <t>MLB4696214015</t>
  </si>
  <si>
    <t>U3977253653</t>
  </si>
  <si>
    <t>Controle Comando Remoto Para Câmeras Sony Rm-1bp</t>
  </si>
  <si>
    <t>CONTROLE REMOTO SONY RM-1BP REMOTE COMMANDER ORIGINAL
Se você busca precisão, suavidade e total controle nas suas produções de vídeo, o Sony RM-1BP é o acessório indispensável para o seu tripé. Projetado especificamente para cinegrafistas profissionais, ele permite operar as principais funções da sua filmadora diretamente da manopla do tripé, evitando trepidações na imagem.
PRINCIPAIS FUNÇÕES:
•	Controle de Zoom Preciso: Alavanca com 3 níveis de velocidade (Slow, Mid com 4 estágios e Fast com 8 estágios de sensibilidade).
•	Foco Manual Remoto: Botão dedicado para ajuste fino de foco (distante/próximo) sem tocar na lente.
•	Gravador Integrado: Botão REC Start/Stop de fácil acesso.
•	Rec Review: Assista aos últimos segundos gravados com apenas um clique.
ESPECIFICAÇÕES TÉCNICAS:
•	Conexão: Cabo LANC padrão (Plugue de 2,5 mm) com 1 metro de comprimento.
•	Fixação: Presilha integrada ajustável para qualquer manopla de tripé de vídeo padrão.
•	Peso: Super leve, apenas 100g.
•	Alimentação: Direto pela câmera (não usa pilhas ou baterias).
COMPATIBILIDADE:
Compatível com uma ampla gama de filmadoras profissionais e semiprofissionais da Sony e Canon que possuem entrada LANC (Ex: Sony PXW-Z90, Z150, Z190, Z280, HXR-NX100, NX80, linhas HDV e DVCAM).
Ficha Técnica (Campos do Mercado Livre)
•	Marca: Sony
•	Modelo: RM-1BP
•	Tipo de controle: Com fio (LANC)
•	Dispositivos compatíveis: Filmadoras profissionais</t>
  </si>
  <si>
    <t>Controles remotos para câmeras</t>
  </si>
  <si>
    <t>1333623558968080</t>
  </si>
  <si>
    <t>MLB4698711739</t>
  </si>
  <si>
    <t>U3979534363</t>
  </si>
  <si>
    <t>SYM-001</t>
  </si>
  <si>
    <t>Symetrix Symnet  Xin 12 Dante Audio Input Expander</t>
  </si>
  <si>
    <t>Expansor de áudio profissional de alta performance da renomada marca Symetrix, ideal para grandes instalações corporativas, auditórios, estúdios, teatros e templos religiosos.
PRINCIPAIS CARACTERÍSTICAS TÉCNICAS:
• Condição: Novo na caixa (com berço de proteção original).
• Canais: 12 canais analógicos de alta qualidade via conectores Euroblock (Mic/Line).
• Conectividade: Integração total via protocolo de rede Dante (Áudio sobre IP).
• Configuração: Totalmente programável de forma gráfica via software SymNet Composer.
• Formato: Padrão rack 1U, construção extremamente robusta e profissional.
O QUE COMPÕE A EMBALAGEM:
• 01 Expansor de Áudio Symetrix SymNet (Módulo xIn 12 ou xOut 
12)
• 12 Conectores terminais Euroblock de 3.81 mm originais
• 01 CD-ROM original contendo o software SymNet Composer
• 01 Cabo de força padrão
• Guias e manuais de início rápido originais de fábrica</t>
  </si>
  <si>
    <t>Interfaces de áudio</t>
  </si>
  <si>
    <t>1194871680013331</t>
  </si>
  <si>
    <t>MLB4698896715</t>
  </si>
  <si>
    <t>U3992403520</t>
  </si>
  <si>
    <t>COM-001</t>
  </si>
  <si>
    <t>Phoenix Contact Vl2-bpc-9000 Computador Industrial</t>
  </si>
  <si>
    <t>KIT DE AUTOMAÇÃO E MEDIÇÃO INDUSTRIAL PHOENIX CONTACT - SISTEMA ZERO-OFFSET-TOOL (ZOT) COMPLETO
kit completo de hardware industrial de alta confiabilidade da marca alemã Phoenix Contact. O sistema faz parte da solução "Zero-Offset-Tool (ZOT)", ideal para integração em redes de comunicação CAN Bus, sistemas de calibração, medição automotiva ou monitoramento de sensores em ambientes fabris severos.
Todos os itens são originais, de padrão industrial robusto, prontos para instalação em painel ou bancada de testes.
O QUE ESTÁ INCLUSO NO KIT:
1.	Computador Industrial (Box PC) Phoenix Contact Valueline
o	Chassi robusto aletado em alumínio (dissipação passiva, sem ventoinha).
o	Alimentação industrial padrão: 24V DC.
o	Dimensões compactas para montagem em painel: 286mm x 130mm x 50mm.
2.	Módulo ZOT SenseHub
o	Interface de comunicação inteligente entre a rede de sensores e o computador industrial via conexão USB (M8 para USB Tipo A).
3.	Fonte de Alimentação Chaveada 24V DC
o	Já equipada com o conector industrial verde de engate rápido e parafusos para alimentação direta do Box PC.
4.	Kit de Cabeamento Estruturado CAN Bus (Cabos Roxos Industriais Blindados):
o	1x Cabo Mestre (Cabo #1): Comprimento de 10 metros, conector M12 e terminação em Y.
o	2x Cabos de Extensão (Cabos #2): Comprimento de 5 metros cada, com conectores circulares M12.
o	1x Kit de Cabos Finais HDSCS (Lacrado): Inclui 2 cabos com conectores industriais/automotivos HDSCS Pretos (Cabo #3) e 1 cabo com conector HDSCS Cinza (Cabo #4), todos com travas de segurança amarelas de alta vibração.
5.	Manuais Técnicos Originais: Diagrams de ligação elétrica, diagramas de topologia de rede CAN e guias de instalação detalhados em múltiplos idiomas (incluindo Português).
ESPECIFICAÇÕES TÉCNICAS E COMPATIBILIDADE:
•	Fabricante: Phoenix Contact GmbH &amp; Co. KG (Alemanha)
•	Modelos de IPC Suportados no Manual: Linhas VL2 BPC 2000 / VL2 BPC 3000 / VL2 BPC 7000 / VL2 BPC 9000
•	Protocolo de Comunicação dos Cabos: CAN Bus (Padrão de alta imunidade a ruídos elétricos)
•	Conectores de Campo: Padrão M12 e HDSCS com vedação contra poeira e umidade.
Ficha Técnica 
•	Marca: Phoenix Contact
•	Linha: Valueline / Zero-Offset-Tool
•	Modelo: VL2 BPC / ZOT SenseHub Kit
•	Tipo de estrutura: Box PC / Módulo de Comunicação
•	Portas de portas de entrada/saída: USB, CAN Bus, M12, HDSCS
•	Alimentação: 24V DC</t>
  </si>
  <si>
    <t>675020570561235</t>
  </si>
  <si>
    <t>MLB4718750939</t>
  </si>
  <si>
    <t>U4014805339</t>
  </si>
  <si>
    <t>REG-001</t>
  </si>
  <si>
    <t>Mr Tapcon® 230 Expert Regulador Automático Tensão</t>
  </si>
  <si>
    <t>REGULADOR AUTOMÁTICO DE TENSÃO MASCHINENFABRIK REINHAUSEN (MR) TAPCON® 230 EXPERT
Equipamento Completo na caixa com todos os acessórios originais de fábrica e documentação técnica inclusa. Item de altíssima confiabilidade e padrão internacional, homologado e testado originalmente para projetos de transformadores de grande porte da WEG.
O TAPCON® 230 expert oferece a solução definitiva para o controle, estabilização e monitoramento inteligente de tensão em transformadores de potência equipados com comutadores de derivação sob carga (OLTC).
 ESPECIFICAÇÕES TÉCNICAS
•	Fabricante: Maschinenfabrik Reinhausen GmbH (Alemanha)
•	Modelo: TAPCON® 230 expert
•	Tensão de Alimentação Auxiliar: Bivolt Amplo (88–265 V AC / 40–250 V DC)
•	Entrada de Medição de Tensão (TP): 0 a 170 V AC
•	Entrada de Medição de Corrente (TC): Ajustável para 1A ou 5A (ideal para compensação de queda de linha)
•	Protocolos e Comunicação: Porta frontal serial COM 1 (DB9), barramento de comunicação CAN-BUS para paralelismo de transformadores e suporte a fibras ópticas.
CONTEÚDO DA EMBALAGEM 
•	01 Painel Regulador de Tensão TAPCON® 230 expert integrado em gabinete metálico robusto com visor protetor transparente e tranca.
•	01 Par de chaves para o gabinete.
•	01 Kit de cabos de comunicação e conectores originais de fábrica (incluindo adaptadores de fibra óptica ST/LC e conversores seriais).
•	01 Protocolo oficial de testes de rotina MR de aprovação em fábrica (Testes AOI, ICT e isolamento superados com sucesso).
•	01 Manual técnico de introdução original.
•	01 Guia de referência rápida ("Instrucciones resumidas") em espanhol para parametrização em campo.
APLICAÇÕES RECOMENDADAS
•	Controle automático de comutadores sob carga (OLTC) em subestações de energia.
•	Regulação dinâmica de tensão para mitigação de flutuações geradas por fontes renováveis (Solar/Eólica).
•	Operação de transformadores industriais em paralelo via rede de comunicação dedicada.
•	Modernização (Retrofit) de painéis de controle analógicos ou obsoletos.
Ficha Técnica 
•	Marca: MR / Maschinenfabrik Reinhausen
•	Modelo: TAPCON 230 expert
•	Número de peça: TAPCON 230 expert / Lote WEG
•	Condição do item: Novo
•	Tipo de painel: Regulador Automático de Tensão / Relé de Controle</t>
  </si>
  <si>
    <t>Acessórios e peças para ferramentas</t>
  </si>
  <si>
    <t>33</t>
  </si>
  <si>
    <t>22</t>
  </si>
  <si>
    <t>11</t>
  </si>
  <si>
    <t>0.51</t>
  </si>
  <si>
    <t>6354832478241679</t>
  </si>
  <si>
    <t>MLB4752301217</t>
  </si>
  <si>
    <t>U4075359850</t>
  </si>
  <si>
    <t>REL-002</t>
  </si>
  <si>
    <t>Kit 10 Un - Relé Auxiliar Automotivo 12v 5 Pinos Qun Ying</t>
  </si>
  <si>
    <t>Relé Auxiliar Automotivo Universal 12V 40A de 5 Pinos – Alta Qualidade e Durabilidade!
Precisa substituir o relé do seu veículo ou instalar um novo acessório elétrico com total segurança? O Relé Automotivo Qun Ying Q16-12VDC-B é a escolha ideal. Com capacidade de até 40 Amperes, ele garante excelente condutividade e proteção para o sistema elétrico do seu carro, moto ou caminhão leve.
Destaques do Produto:
•	Suporte de Fixação Integrado: Facilita a instalação física no cofre do motor ou painel.
•	Sistema Reversor de 5 Pinos: Possui saídas Normalmente Aberta (NA) e Normalmente Fechada (NF), oferecendo total versatilidade para esquemas elétricos.
•	Alta Capacidade: Suporta picos de corrente de até 40A em 14VDC.
Aplicações Comuns:
•	Instalação de faróis de milha, neblina ou barra de LED.
•	Sistemas de buzinas marítimas ou paquistanesas.
•	Adaptação de ventoinhas elétricas e bombas de combustível.
•	Bloqueadores, alarmes e som automotivo de alta potência.
Especificação dos Pinos (Diagrama na Carcaça):
•	Pinos 85 e 86: Comando / Bobina
•	Pino 30: Entrada Principal / Positivo
•	Pino 87: Saída Normalmente Aberta (NA)
•	Pino 87a: Saída Normalmente Fechada (NF)
Conteúdo da Embalagem:
•	01x Relé Auxiliar Automotivo 12V 40A 5 Pinos Q16-12VDC-B.</t>
  </si>
  <si>
    <t>Contatores e relés para eletrodomésticos</t>
  </si>
  <si>
    <t>4643983956838928</t>
  </si>
  <si>
    <t>MLB4753059509</t>
  </si>
  <si>
    <t>U4062176135</t>
  </si>
  <si>
    <t>BAT-004</t>
  </si>
  <si>
    <t>Kit Bateria De Lítio 36v Bike Elétrica+carregador Shc-8100l</t>
  </si>
  <si>
    <t>36v Preto</t>
  </si>
  <si>
    <t>KIT COMPLETO DE ENERGIA PARA SUA BICICLETA ELÉTRICA: BATERIA DE LÍTIO 48V + CARREGADOR INTELIGENTE SHC-8100LD 
Substitua seu sistema antigo ou garanta muito mais força e autonomia para as suas pedaladas com este kit de alta performance! Projetado especificamente para bicicletas elétricas modernas, este conjunto entrega eficiência, leveza e recargas totalmente seguras.
DETALHES DA BATERIA (ÍON DE LÍTIO) 
• Tensão Nominal: 48V (Proporciona mais torque em subidas e melhor rendimento para o motor) 
• Tipo de Células: Íon de Lítio (Tecnologia premium que não vicia e oferece excelente vida útil) 
• Design Inteligente: Gabinete aerodinâmico tipo Dolphin/Shark com mecanismo de liberação rápida ("PUSH").
• Indicador de Carga Integrado: Botão com indicador LED para verificar o nível de energia instantaneamente.
• Sistema de Segurança: Fechadura com chave integrada na lateral para travamento antifurto diretamente no suporte da bicicleta.
DETALHES DO CARREGADOR (MODELO SHC-8100LD)
• Marca: Kunshan ST Electronics
• Modelo: SHC-8100LD (Carregador Inteligente de alta precisão)
• Tensão de Entrada: 100-240V AC (Bivolt Automático)
• Tensão de Saída: +48V DC — 2.0A (Corrente perfeita para preservar a saúde e a vida útil da sua bateria de 48V)
• Pinagem do Conector: Conector circular com guia detalhada de polaridade no rótulo (Pino 1 Positivo / Pino 2 Negativo).
• LEDs de Diagnóstico Inteligente:
• Luz Vermelha (Red): Bateria em processo de carregamento ativo.
• Luz Verde (Green): Carga 100% concluída (Sistema inteligente que corta a corrente automaticamente para proteção contra sobrecarga).
O QUE VEM NA EMBALAGEM?
1. 01 Módulo de Bateria de Lítio 48V Dolphin/Shark (com travas e indicador).
2. 01 Fonte Carregadora Inteligente Kunshan ST SHC-8100LD.
3. 02 Chaves de segurança para o sistema antifurto.
4. 01 Cabo de força AC padrão nacional.
________________________________________</t>
  </si>
  <si>
    <t>Carregadores de bateria para veículos de brinquedo</t>
  </si>
  <si>
    <t>MLB4753155599</t>
  </si>
  <si>
    <t>U4076953488</t>
  </si>
  <si>
    <t>36v Branco</t>
  </si>
  <si>
    <t>3353878126842831</t>
  </si>
  <si>
    <t>MLB4806740289</t>
  </si>
  <si>
    <t>U4152117830</t>
  </si>
  <si>
    <t>GIR-004</t>
  </si>
  <si>
    <t>Giroflex Barra Led Ambar Seta Sirene Mp3 Bluetooth Kzq66</t>
  </si>
  <si>
    <t>BARRA SINALIZADORA GIROFLEX PROFISSIONAL BIVOLT COM PAINEL DE LED MATRICIAL, SIRENE INTEGRADA, MEGAFONE E CONTROLE SEM FIO BLUETOOTH – MODELO KZQ66
Diferente dos modelos comuns do mercado, este sistema conta com um Painel de LED Matricial Integrado que permite exibir textos, setas direcionais de tráfego e avisos luminosos personalizados através de um incrível Controle Remoto Sem Fio via Bluetooth recarregável!
PRINCIPAIS DIFERENCIAIS DO PRODUTO:
• TECNOLOGIA WIRELESS (SEM FIO): Chega de passar fios grossos e complicados por dentro da cabine! O controle se comunica com a barra via Bluetooth de forma automática e estável.
• PAINEL MATRICIAL DE LED: Exiba setas direcionais (esquerda/direita) para controle de fluxo ou programe frases/alertas personalizados na tela central.
• SISTEMA DE SOM COMPLETO: Alto-falante integrado de alta potência com funções de Sirene profissional, efeito Apito (Whistle), Buzina Grave (Airhorn/Bass) e função Megafone para falar em tempo real.
• REPRODUÇÃO DE ÁUDIO MP3: Entrada para atualizar o sistema e reproduzir faixas de áudio gravadas diretamente na barra sinalizadora.
• LUZES DE BECO AUXILIARES (TAKEDOWN): Módulos de 3 LEDs de alta potência nas extremidades inferiores para iluminação lateral de calçada ou foco específico de trabalho.
• MÁXIMA DURABILIDADE: Chassi estrutural feito em calha de alumínio aletado (que dissipa o calor dos LEDs) e cúpula externa em policarbonato ultra resistente com proteção UV.
ESPECIFICAÇÕES TÉCNICAS:
• Modelo: KZQ66 / TBDA6
• Tensão de Operação: Bivolt Automático (Compatível com 12V e 24V DC)
• Cor da Iluminação Principal: Âmbar (Amarelo Automotivo)
• Conectividade do Controle: Bluetooth (Conexão automática ao ligar)
• Bateria do Controle: Interna e recarregável via cabo USB Tipo-C (incluso)
• Ajuste de Volume: 5 níveis independentes para sirene, MP3 e megafone
• Fixação: Suportes metálicos laterais (garras/ganchos) reguláveis com coxins de borracha anti-risco para proteção da lataria do veículo.
O QUE VEM NA EMBALAGEM (PACKING LIST):
1. 01 Barra Sinalizadora com Painel de LED Integrado (Modelo TBDA6)
2. 01 Controle Remoto Sem Fio Bluetooth (Modelo KZQ66)
3. 01 Cabo de Carregamento USB Tipo-C
4. 01 Par de Garras/Ganchos de Fixação Ajustáveis
5. 01 Kit de Acessórios (Parafusos, suportes e conexões de montagem)
6. 01 Manual de Instruções Original de Fábrica
FICHA TÉCNICA (Para preencher nos campos obrigatórios do Mercado Livre):
• Marca: [Insira a marca fabricante, ex: Signal Tech / Importado]
• Modelo: KZQ66 / TBDA6
• Cor do LED: Âmbar
• Tipo de luz: LED Estroboscópico / Strobo / Matricial
• É à prova d'água: Sim
• Comprimento: 1,20 cm</t>
  </si>
  <si>
    <t>8494372870116687</t>
  </si>
  <si>
    <t>MLB4807358423</t>
  </si>
  <si>
    <t>U4136434945</t>
  </si>
  <si>
    <t>GIR-005</t>
  </si>
  <si>
    <t>Giroflex Sinalizador Barra De Led Automotivo Tbda3 12v 120cm</t>
  </si>
  <si>
    <t>Barra de Sinalização Visual LED Lightbar TBD-A3 – Alta Intensidade e Durabilidade
Se você busca máxima visibilidade, segurança e tecnologia para o seu veículo de serviço, a Barra de LED TBD-A3 é a escolha ideal. Com 120 cm de comprimento e um painel de controle digital completo, este equipamento garante sinalização eficiente em qualquer condição climática.
Perfeito para guinchos, ambulâncias, viaturas de segurança privada, veículos de apoio rodoviário e frotas de obras.
PRINCIPAIS DIFERENCIAIS:
•	Painel de Controle Digital Completo: Controle total na cabine. Ligue/desligue, altere os efeitos e direcione o fluxo de tráfego com botões dedicados e emborrachados.
•	Direcionador de Fluxo Integrado: Botões de seta integrados que indicam para qual lado o tráfego deve desviar (Esquerda, Direita ou pelas Laterais).
•	Iluminação Lateral e Frontal Estática: Funções Take Down (farol de caça frontal) e Alley Light (faróis de beco laterais) para iluminação focada.
•	35 Padrões de Flash: Diversas combinações de strobo na memória para se adaptar à sua necessidade.
•	Alta Resistência (IP65): Estrutura resistente à água, poeira e fortes impactos, construída sobre uma base sólida de alumínio extrudado.
ESPECIFICAÇÕES TÉCNICAS:
•	Modelo: TBD-A3 / DKQ-F01
•	Tensão de Operação: 12V DC (Atenção: Não ligar em 24V)
•	Comprimento: 120 cm (1,20 metros)
•	Largura: 34 cm
•	Peso aproximado: 8,9 kg
•	Grau de Proteção: IP65 (Resistente à chuva e poeira)
•	Fixação: Suportes reguláveis em nylon injetado com trilho de alumínio ajustável e ganchos laterais para calha.
CONTEÚDO DA EMBALAGEM:
•	01 Barra de Sinalização LED TBD-A3 (120cm) com chicote elétrico
•	01 Painel de Controle Digital de Cabine com cabo espiralado
•	01 Kit de Suportes de Fixação e Ganchos para o teto
•	01 Kit Porta-Fusível Inline com 02 fusíveis de lâmina (20A)
•	01 Manual do Usuário
FICHA TÉCNICA 
•	Modelo: TBD-A3 / DKQ-F01
•	Número de peça: TBD-A3-12V
•	Tipo de luz: LED
•	Quantidade de LEDs: Multi-LED
•	Cor da luz: Âmbar / Azul e Vermelho</t>
  </si>
  <si>
    <t>Sinalizadores de segurança eletrônicos</t>
  </si>
  <si>
    <t>120</t>
  </si>
  <si>
    <t>30</t>
  </si>
  <si>
    <t>2124804522581522</t>
  </si>
  <si>
    <t>MLB4807481055</t>
  </si>
  <si>
    <t>U4136709221</t>
  </si>
  <si>
    <t>GIR-006</t>
  </si>
  <si>
    <t>Giroflex De Teto Barra Sinalizadora Led Completa Kazun Kzq51</t>
  </si>
  <si>
    <t>Barra Sinalizadora de LED Profissional de Alto Desempenho (Giroflex de Teto)
Kit completo de sinalização visual e sonora ideal para veículos de emergência, viaturas de segurança particular, guinchos, ambulâncias e veículos oficiais. Equipamento robusto de perfil baixo, projetado com tecnologia de ponta para máxima visibilidade diurna e noturna.
O conjunto inclui a barra de luzes modular, o avançado painel de controle digital Kazun modelo KZQ51 e microfone para anúncios de voz externa (P.A.).
O QUE VEM NA EMBALAGEM:
• 01 Barra de Luzes LED de Alta Potência (Série TBD705142 / TBD705144).
• 01 Painel de Controle Digital Inteligente Kazun KZQ51 com suporte.
• 01 Microfone de Redirecionamento de Rádio (PA) com cancelamento de ruído.
• 01 Conjunto de Suportes e Ganchos Laterais para fixação mecânica no teto.
• Chicote de fiação completo para instalação (Cabos de ~4,1 metros).
ESPECIFICAÇÕES TÉCNICAS:
• Marca: Kazun / Senken Line
• Modelo da Barra: Série TBD705142 / TBD705144
• Modelo do Controlador: KZQ51
• Tensão de Operação: DC 12V / 24V (Compatível com linha leve e pesada)
• Corrente Máxima de Operação: 22A
• Quantidade de Efeitos: 45 padrões de flashes e piscas estroboscópicos
• Funções do Painel: Botões dedicados para 3 níveis de luz (Light 1, 2, 3), Modo Econômico (Low Power), Luz Auxiliar (Take Down) e Sirene Multifunção (Wail, Yelp, Hi-Lo, Priority, Horn).
• Material da Estrutura: Base e tampa superior em alumínio aeronáutico frisado (dissipador de calor) e lentes externas em policarbonato ultra-resistente.
Ficha Técnica 
• Marca: Kazun
• Modelo: KZQ51 / TBD705142
• Tipo de luz: LED
• Quantidade de conectores: 1 chicote principal
• Comprimento: 1,20 cm</t>
  </si>
  <si>
    <t>143028825874003</t>
  </si>
  <si>
    <t>MLB4810448503</t>
  </si>
  <si>
    <t>U4158156094</t>
  </si>
  <si>
    <t>Giroflex De Teto Barra Sinalização Led 120cm Automotivo 12v</t>
  </si>
  <si>
    <t>BARRA DE SINALIZAÇÃO LED PROFESSIONAL - SÉRIE TBD685144 (COMPLETA)
Equipamento de alta performance com design ultra slim, ideal para frotas, veículos de emergência, guinchos, segurança privada, escolta armada e veículos de serviço. Estrutura robusta em alumínio com lentes de policarbonato de alta resistência.
Acompanha painel controlador digital completo para gerenciamento total das funções direto da cabine!
•	Design Ultra Fino: Apenas 6 cm de altura, garantindo excelente aerodinâmica e visual moderno.
•	Módulo Controlador Completo: Gerencie luzes frontais, traseiras, setas direcionais de fluxo de tráfego e intensidade do brilho.
ESPECIFICAÇÕES TÉCNICAS:
•	Modelo: Série TBD685144 (DKQ-11)
•	Comprimento: 120 cm
•	Largura: 34 cm
•	Altura: 6 cm
•	Tensão de Operação: 12V DC
•	Consumo Máximo de Corrente:  12.8A
•	Padrões de Piscada: 14 efeitos estroboscópicos programados (Modo Flash)
•	Material do Domo: Policarbonato de alta resistência contra amarelamento e impactos
•	Material da Base: Alumínio injetado com trilho de ajuste
FUNÇÕES DO PAINEL DE CONTROLE:
•	POWER: Botão liga/desliga geral iluminado.
•	LIGHT 1, 2 e 3: Ativação modular dos grupos de LEDs.
•	LEFT / RIGHT ALLEY: Luzes de trabalho laterais (brancas).
•	TAKE DOWN: Farol frontal fixo para abordagem ou iluminação de área.
•	MODE: Seleção rápida entre os 14 ritmos de piscada.
•	LOW POWER / CORNER LIGHT: Modo noturno econômico e luzes de quina.
•	SETAS : Direcionador de fluxo para orientação de tráfego.
CONTEÚDO DA EMBALAGEM:
•	01 Barra de Sinalização Visual LED (120cm)
•	01 Painel de Controle Digital com Cabo Espiralado
•	01 Kit de Suportes e Cintas Laterais para Fixação no Teto
•	01 Chicote de Alimentação Principal (com porta-fusível integrado)
•	01 Manual de Instruções Original</t>
  </si>
  <si>
    <t>10</t>
  </si>
  <si>
    <t>8169986697209169</t>
  </si>
  <si>
    <t>MLB4811354433</t>
  </si>
  <si>
    <t>U4143032497</t>
  </si>
  <si>
    <t>BRE-001</t>
  </si>
  <si>
    <t>Nobreak Apc Smart-ups Xl 750va Sua750xl Senoidal Puro 120v</t>
  </si>
  <si>
    <t>Nobreak Profissional APC Smart-UPS XL 750VA (Modelo SUA750XL) –SEM USO
Oportunidade única para adquirir um dos nobreaks corporativos mais robustos e confiáveis do mercado. Equipamento ideal para servidores, redes estruturadas, workstations, PCs gamers de alto desempenho e equipamentos médicos ou de segurança sensíveis.
O GRANDE DIFERENCIAL (LINHA XL):
Diferente dos modelos padrão, a linha XL (Extended Run) possui um conector traseiro industrial de 24V para expansão de autonomia. Você pode acoplar módulos de baterias externas para manter seus equipamentos ligados por horas ou até dias durante quedas de energia prolongadas.
PRINCIPAIS BENEFÍCIOS:
•	Onda Senoidal Pura: Fornece uma energia perfeitamente limpa e idêntica à da rede elétrica. Essencial para fontes com PFC ativo (presentes em servidores e computadores modernos de alto padrão) que queimam ou rejeitam nobreaks comuns.
•	Estabilizador Inteligente Avançado (AVR Boost e Trim): Corrige subtensões e sobretensões da rede sem precisar gastar a bateria, prolongando drasticamente a vida útil do sistema.
•	Pronto para Gerenciamento (Porta USB): Permite a integração com o software PowerChute da APC para monitorar o consumo, temperatura, status da rede e programar o desligamento automático e seguro dos servidores caso a energia acabe.
•	6 Tomadas de Saída: Padrão NEMA (americano de 3 pinos), ideal para equipamentos de TI, switches, roteadores e réguas de rack.
•	Disjuntor Rearmável: Proteção total contra curto-circuito e sobrecarga sem a necessidade de trocar fusíveis de vidro.
•	
ESPECIFICAÇÕES TÉCNICAS:
•	Marca: APC
•	Modelo: Smart-UPS XL 750 (SUA750XL)
•	Condição: Sem uso
•	Tensão de Entrada: 120V
•	Tensão de Saída: 120V
•	Capacidade de Potência: 750VA / 600W de potência real
•	Forma de Onda: Senoidal Pura (Pure Sine Wave)
•	Conector de Expansão de Bateria: Sim (24V)
•	
INFORMAÇÕES IMPORTANTES SOBRE AS BATERIAS 
•	Por ter ficado guardado por muito tempo sem uso, as baterias originais que estão dentro dele podem precisar de uma primeira carga longa (de pelo menos 24 horas na tomada) para atingirem a autonomia ideal, devido à ação do tempo em estoque.
FICHA TÉCNICA 
•	Marca: APC
•	Linha: Smart-UPS
•	Modelo: SUA750XL
•	Condição do item: Sem Uso
•	Potência pico: 750 VA
•	Potência nominal: 600 W
•	Voltagem de entrada: 120V
•	Voltagem de saída: 120V
•	Tipos de forma de onda: Senoidal pura</t>
  </si>
  <si>
    <t>Estabilizadores e no breaks</t>
  </si>
  <si>
    <t>7944447899540497</t>
  </si>
  <si>
    <t>MLB4815533013</t>
  </si>
  <si>
    <t>U4149950071</t>
  </si>
  <si>
    <t>Crossover Ativo Booster Bc-82 12v 4 Vias Automotivo</t>
  </si>
  <si>
    <t>Procurando máxima definição e potência para o sistema de som do seu carro? O Crossover Booster BC-82 é o equipamento clássico perfeito para gerenciar e separar com precisão matemática as frequências do seu som, enviando o sinal correto para cada alto-falante e evitando queimas!
Ideal para projetos com Subwoofers, Woofers (Médios), Cornetas e Tweeters (Agudos).
.
PRINCIPAIS RECURSOS:
•	Divisão em 4 Vias Reais: Saídas independentes para Subwoofer, Mid Range (Médios), High Range (Agudos) e Flat (Sinal pleno).
•	Controle de Ganho Individual: Ajuste fino de volume (LEVEL) por botão giratório para cada uma das vias.
•	Bass Boost Integrado: Reforço regulável de graves de 0 a +10dB na frequência perfeita de 40Hz.
•	Controle de Fase (0 a 180°): Alinhamento perfeito de tempo para evitar o cancelamento de graves no veículo.
•	Seletor Mono/Estéreo: Flexibilidade para usar com diferentes configurações de amplificadores.
•	Entrada Inteligente: Funciona mesmo se o seu rádio não tiver saída específica para Subwoofer (ele soma o sinal da entrada frontal).
•	Cortes do Subwoofer: 45Hz / 80Hz / 150Hz / 200Hz
•	Cortes dos Médios/Agudos: Passagem selecionável em 2.5k / 3.5k / 5k / 7k (e modo Flat/Bemol)
•	Relação Sinal-Ruído: Superior a 90dB (Som limpo e sem ruídos de fundo)
•	Distorção Harmônica Total (THD): Menos de 0.02%
•	Alimentação: 12V a 16V DC (Aterramento Negativo)
•	Conectores: Conexões RCA de alta condutividade
Ficha Técnica
•	Marca: Booster
•	Modelo: BC-82
•	Quantidade de vias: 4
•	Quantidade de canais: 8
•	Tipo de divisor: Ativo</t>
  </si>
  <si>
    <t>Crossovers de áudio</t>
  </si>
  <si>
    <t>3335392629896336</t>
  </si>
  <si>
    <t>MLB4831968529</t>
  </si>
  <si>
    <t>U4195895378</t>
  </si>
  <si>
    <t>VEL-001</t>
  </si>
  <si>
    <t>Jogo 2 Velas Originais Bmw 12120047375 Bosch Zr5spp332</t>
  </si>
  <si>
    <t>Jogo 2 unidades de Velas de Ignição Original BMW Group — Peça Nova e Genuína
Se o seu BMW ou MINI está falhando, consumindo mais combustível ou perdeu a potência original, a substituição das velas de ignição é fundamental. Esta é a peça exata instalada na linha de montagem da fábrica, garantindo máxima eficiência energética, queima perfeita do combustível e proteção para as bobinas de ignição.
DADOS DO PRODUTO:
•	Marca: BMW Group (Fabricado por Bosch)
•	Código Original BMW: 12 12 0 047 375 (12120047375)
•	Código Técnico Bosch: ZR5SPP3320 / 0242145555
•	Material do Eletrodo: Platina / Irídio de alta durabilidade
•	Origem: Importado (Made in Germany)
•	Condição: Novo, na embalagem original lacrada
COMPATIBILIDADE (Motores B38, B48 e B58 Turbo):
BMW Série 3:
•	320i / 330i (G20) — Anos 2019 em diante
BMW X1 / X2 / X3 / X4:
•	X1 2.0 Turbo (F48) — Anos 2016 em diante
•	X2 2.0 Turbo (F39) — Anos 2018 em diante
•	X3 / X4 2.0 e 3.0 Turbo (G01 / G02)
MINI Cooper:
ESPECIFICAÇÃO DE INSTALAÇÃO:
•	Medida da Rosca: M12
•	Torque de Aperto Recomendado de Fábrica: 23 Nm (Instalar sempre com o motor totalmente frio e com o auxílio de um torquímetro para garantir a vedação perfeita e evitar danos ao cabeçote).
CONTEÚDO DA EMBALAGEM:
•	02 Velas de Ignição Original BMW Group.</t>
  </si>
  <si>
    <t>Velas de ignição para veículos</t>
  </si>
  <si>
    <t>7770042838715474</t>
  </si>
  <si>
    <t>MLB4835857649</t>
  </si>
  <si>
    <t>U4183824283</t>
  </si>
  <si>
    <t>FIL-002</t>
  </si>
  <si>
    <t>Filtro Oleo Original Bmw 320i G20 X1 X2  11428575211</t>
  </si>
  <si>
    <t>Filtro de Óleo do Motor Original BMW Group - Fabricado na Áustria
Garanta a máxima proteção, desempenho e originalidade para o motor do seu veículo. Peça 100% original BMW Group (atende BMW e MINI Cooper), com selo holográfico de autenticidade na embalagem.
Ficha Técnica 
•	Marca: BMW (Original Group)
•	Número de peça: 11 42 8 575 211 / 11428575211
•	Tipo de filtro de óleo: Refil / Elemento Filtrante
•	Origem: Áustria (Made in Austria)
•	Inclui juntas / O-rings: Sim (Acompanha anel de vedação preto e arruela do bujão)
CÓDIGO ORIGINAL DA PEÇA:
•	11 42 8 575 211 (11428575211)
CONTEÚDO DO KIT:
•	01 Elemento Filtrante (Refil) Original BMW
•	01 Anel de Vedação (O-Ring) de Borracha
•	01 Arruela de Vedação Metálica para o Bujão do Cárter
PRINCIPAIS VEÍCULOS APLICÁVEIS:
•	BMW SÉRIE 3: 320i, 330i (Modelos G20 - Geração a partir de 2019)
•	BMW X1: sDrive20i, xDrive20i (Geração F48 - a partir de 2016)
•	BMW X2: sDrive18i, sDrive20i, M35i (Geração F39)
•	BMW SÉRIE 1: 118i, M135i (Gerações F20/F21 pós-2015 e F40)
•	BMW SÉRIE 2: 218i, 220i, Gran Coupé (F22 / F44)
•	BMW X3 e X4: Versões 2.0 Turbo 4 cilindros (Gerações G01 / G02)
•	MINI COOPER: Modelos modernos (Hatch, Countryman, Clubman) com motores B38 e B48 1.5 ou 2.0 Turbo.
Na dúvida se serve no seu carro? Deixe o número do chassi (últimos 7 dígitos) no campo de perguntas que checamos para você imediatamente no catálogo oficial BMW.
ESPECIFICAÇÕES DE INSTALAÇÃO (Instruções na Caixa):
•	Torque de aperto da tampa plástica: 25 Nm
•	Torque de dreno central: 5 Nm
•	Recomendamos que a instalação seja feita com torquímetro por um profissional qualificado.</t>
  </si>
  <si>
    <t>Filtros de óleo para veículos</t>
  </si>
  <si>
    <t>2727018767806864</t>
  </si>
  <si>
    <t>MLB4861520805</t>
  </si>
  <si>
    <t>U4235260473</t>
  </si>
  <si>
    <t>BUC-001</t>
  </si>
  <si>
    <t>Bucha Braço Tensor Dianteiro Bmw 320i F30 F32 F20 Lemforder</t>
  </si>
  <si>
    <t>Bucha Hidráulica do Braço Tensor Dianteiro (Hydrobearing) – Marca Lemförder (Linha de Montagem Original BMW)
Garanta a estabilidade original, o conforto e a segurança do seu BMW com a melhor marca do mercado mundial. A Lemförder é a fabricante oficial das peças de suspensão para as principais montadoras alemãs.
Componente hidráulico de altíssima durabilidade, projetado especificamente para absorver impactos e eliminar vibrações no volante.
COMPATIBILIDADE DA PEÇA
Desenvolvido exclusivamente para modelos BMW com tração traseira (RWD) fabricados entre 2011 e 2019:
•	BMW SÉRIE 1 (F20 / F21): 116i, 118i, 120i, 125i, M135i, M140i
•	BMW SÉRIE 2 (F22 / F23): 220i, 228i, M235i, M240i
•	BMW SÉRIE 3 (F30 / F31 / F34 GT): 316i, 320i, 328i, 335i, 340i (ActiveFlex / M Sport)
•	BMW SÉRIE 4 (F32 / F33 / F36 Gran Coupé): 420i, 428i, 430i, 435i
FICHA TÉCNICA
•	Condição: Novo
•	Marca: Lemförder (Original ZF Aftermarket)
•	Número de peça (Part Number): 36954 01 (3695401)
•	Código OEM (BMW): 31 12 6 855 743 / 31126855743
•	Origem: Alemanha (Made in Germany)
•	Posição: Dianteira (Lado Esquerdo ou Direito)
•	Tipo de veículo: Carro/Caminhonete (Premium)
CONTEÚDO DA EMBALAGEM
•	01 Bucha do Braço Tensor Dianteiro Lemförder Original.</t>
  </si>
  <si>
    <t>Buchas de controle de suspensão para veículos</t>
  </si>
  <si>
    <t>1953042693392528</t>
  </si>
  <si>
    <t>MLB4871658497</t>
  </si>
  <si>
    <t>U4255031513</t>
  </si>
  <si>
    <t>JUN-001</t>
  </si>
  <si>
    <t>Junta Tampa Valvula Sabo 75022 Fiesta Ka Ecosport Rocam 1.6</t>
  </si>
  <si>
    <t>JUNTA DA TAMPA DE VÁLVULAS ORIGINAL SABÓ - CÓDIGO 75022
Garanta a vedação perfeita e elimine vazamentos de óleo com a marca líder do mercado automotivo. A Sabó entrega qualidade padrão original de fábrica, assegurando encaixe perfeito e alta resistência térmica para o cabeçote.
CONFIRA ABAIXO SE COMPATÍVEL COM SEU VEÍCULO:
Esta junta atende exclusivamente os motores Ford Zetec Rocam 1.0 e 1.6 de 8 Válvulas.
COMPATIBILIDADE GARANTIDA PARA OS MODELOS:
•	Ford Fiesta 1.6 Rocam (SE / Fly): Anos 2012, 2013 e 2014
•	Ford Fiesta 1.0 Rocam (S / Flex): Anos 2012, 2013 e 2014
•	Ford EcoSport 1.6 Rocam (XLT / Freestyle): Modelos até ano 2011 e início de 2012
•	Ford Ka: Modelos de 1999 até 2013 com motor Rocam 8V
•	Ford Courier: Todos os anos com motor 1.6 Rocam 8V
ESTA JUNTA NÃO SERVE NOS SEGUINTES CARROS:
•	Ford Ka (2014 em diante): Versões modernas com motor de 3 cilindros (1.0 ou 1.5).
•	Ford Fiesta (2015 em diante): Versões com motor Sigma 1.5 ou 1.6 16V.
•	Ford Ranger V6 (2024): Motor Turbo Diesel de nova geração.
CONTEÚDO DA EMBALAGEM:
•	01 Junta da Tampa de Válvulas Sabó (Código: 75022)
ESPECIFICAÇÕES TÉCNICAS:
•	Marca: SABÓ
•	Material: Borracha Sintética Nitrílica de alta durabilidade
•	Condição: Produto Novo, lacrado na embalagem oficial do fabricante
Ficha Técnica 
•	Marca: Sabó
•	Número de peça: 75022
•	Tipo de veículo: Carro/Caminhonete
•	Material: Borracha</t>
  </si>
  <si>
    <t>Juntas de motor para veículos</t>
  </si>
  <si>
    <t>2768100908137937</t>
  </si>
  <si>
    <t>MLB4871668853</t>
  </si>
  <si>
    <t>U4254836769</t>
  </si>
  <si>
    <t>FIL-003</t>
  </si>
  <si>
    <t>Filtro Oleo Original Mercedes Benz A2701800109 C180 A200 Gla</t>
  </si>
  <si>
    <t>FILTRO DE ÓLEO MOTOR GENUÍNO MERCEDES-BENZ
Garanta a máxima proteção e o desempenho original do motor do seu Mercedes-Benz com a peça genuína de fábrica. Este filtro foi projetado especificamente para motores Turbo M270 e M274, assegurando a retenção exata de impurezas sem comprometer a pressão do óleo.
ESPECIFICAÇÕES TÉCNICAS:
•	Código Genuíno: A 270 180 01 09
•	Origem: Importado (Made in Germany)
•	Condição: Produto Novo, na embalagem original com lacre holográfico de autenticidade.
•	Conteúdo da Embalagem: 1 Filtro Refil + Kit de Anéis de Vedação (O-Rings).
COMPATIBILIDADE DE VEÍCULOS:
•	Classe A: A200 / A250 (Motores 1.6 e 2.0 Turbo - Anos 2013 a 2019)
•	Classe B: B200 (Motor 1.6 Turbo - Anos 2012 a 2019)
•	Classe C: C180 / C200 / C250 / C300 (Motores 1.6 e 2.0 Turbo - Anos 2014 a 2021)
•	Classe CLA: CLA200 / CLA250 (Motores 1.6 e 2.0 Turbo - Anos 2014 a 2019)
•	Classe GLA: GLA200 / GLA250 (Motores 1.6 e 2.0 Turbo - Anos 2015 a 2020)
•	Classe E: E250 / E300 (Motores 2.0 Turbo - Anos 2014 a 2019)
•	GLC / SLC: GLC250 / GLC300 / SLC300
FICHA TÉCNICA Marca: Mercedes-Benz
•	Modelo: Cartucho Ecológico
•	Número de peça: A 270 180 01 09 (A2701800109)
•	Tipo de filtro de óleo: Elemento Filtrante (Refil)
•	Inclui junta/anéis de vedação: Sim (Acompanha O-rings)</t>
  </si>
  <si>
    <t>6073978663326288</t>
  </si>
  <si>
    <t>MLB4903718973</t>
  </si>
  <si>
    <t>U4346196672</t>
  </si>
  <si>
    <t>CAM-001</t>
  </si>
  <si>
    <t>Câmara De Ar Trantek 140/150-17 Moto Aro 17 Reforçada</t>
  </si>
  <si>
    <t>CÂMARA DE AR MOTO TRANTEK 140/150-17 – ALTA PERFORMANCE E DURABILIDADE
CARACTERÍSTICAS DO PRODUTO:
•	Marca de Confiança: Trantek (Linha Special Quality).
•	Medida Exata: 140/150-17.
•	Compatibilidade: Ideal para pneus traseiros largos de Aro 17 (com largura entre 140mm e 150mm).
•	Alta Qualidade: Borracha com espessura uniforme que evita deformações e mantém a calibragem por mais tempo.
CONTEÚDO DA EMBALAGEM:
•	01 Câmara de Ar Trantek 140/150-17 original lacrada.
Ficha Técnica 
•	Marca: Trantek
•	Modelo: Motorcycle Tube Special Quality
•	Código universal do produto: (Deixe em branco ou selecione "Não se aplica" se não houver código de barras)
•	Diâmetro da roda (Aro): 17"
•	Largura do pneu compatível: 140 mm a 150 mm
•	Tipo de válvula: TR4 (Bico grosso comum)
EXEMPLOS DE COMPATIBILIDADE (PNEU TRASEIRO ARO 17):
•	Honda: CB 300R, CB Twister 250 (modelos mais novos), CB 500F, NC 700X / 750X.
•	Yamaha: Fazer 250 (modelos mais novos), MT-03, R3, XT 660.
•	Kawasaki: Ninja 300 / 400, Z300 / Z400.
•	BMW: G310 R / GS.</t>
  </si>
  <si>
    <t>3566082593499665</t>
  </si>
  <si>
    <t>MLB4941652331</t>
  </si>
  <si>
    <t>U4435501076</t>
  </si>
  <si>
    <t>REP-002</t>
  </si>
  <si>
    <t>Kit Reparo Racing Shox Original Fox Float 803-00-142</t>
  </si>
  <si>
    <t>KIT REPARO FOX RACING SHOX ORIGINAL - FLOAT AIR SLEEVE REBUILD
Mantenha o rendimento e a leitura de terreno do seu amortecedor traseiro sempre em dia com o kit de manutenção original Fox. Evite vazamentos de ar e óleo que prejudicam o funcionamento da sua suspensão traseira.
ESPECIFICAÇÕES TÉCNICAS:
•	Fox Float R / RL / RP2 / RP23
•	Fox Float CTD
•	Fox Float DPS
•	Fox Float DPX2
COMPATIBILIDADE:
Este kit atende à linha Fox FLOAT (séries A a F) de amortecedores traseiros de ar. Compatível com os modelos:
Ficha Técnica 
•	Marca: Fox Racing Shox
•	Modelo: 803-00-142 (FLOAT Line Air Sleeve Rebuild Kit)
•	Número de peça: 803-00-142
•	Código universal de produto (EAN): 0611056143667
•	Tipo de reposição: Kit de serviço / reparo de vedação para câmara de ar de shock
•	Lugar de colocação: Amortecedor traseiro (Shock pneumático)
•	Material: Borracha nitrílica, poliuretano de alta performance e anéis de suporte termoplásticos
•	Origem: Taiwan (Original Fox)
•	Unidades por kit: 1 kit completo de vedações de ar
•	Bicicletas compatíveis: Mountain Bike (MTB), modelos Full Suspension (Enduro, Trail, XC)</t>
  </si>
  <si>
    <t>Amortecedores para bicicletas</t>
  </si>
  <si>
    <t>3746885329480528</t>
  </si>
  <si>
    <t>MLB4941994239</t>
  </si>
  <si>
    <t>U4436374776</t>
  </si>
  <si>
    <t>REP-003</t>
  </si>
  <si>
    <t>Kit Reparo Shock Fox Specialized Micro Brain Autosag80300825</t>
  </si>
  <si>
    <t>KIT REPARO FOX ORIGINAL PARA SPECIALIZED MICRO BRAIN AIR SLEEVE (AUTO-SAG)
Mantenha o sistema inteligente de amortecimento da sua Specialized funcionando como novo! Este kit completo original Fox foi desenvolvido especificamente para a manutenção periódica e reconstrução da câmara de ar dos amortecedores traseiros da linha Specialized Micro Brain com sistema de ajuste de pressão Auto-Sag.
A substituição periódica evita a perda de pressão de ar, vazamento de fluidos ou a perda da leitura inteligente da válvula do sistema Brain.
Ficha Técnica 
•	Marca: Fox Racing Shox
•	Modelo: 803-00-825 (Specialized Micro Brain Air Sleeve, Auto-Sag)
•	Tipo de reposição: Kit de vedação/serviço para câmara de ar de amortecedor traseiro
•	Lugar de colocação: Shock traseiro Fox / Specialized Brain (Séries A a C)
•	Origem: Taiwan (Original Fox)
•	Unidades por kit: 1 kit completo de vedações
•	Bicicletas compatíveis: Specialized Epic (Full Suspension) equipadas com o sistema Micro Brain e válvula Auto-Sag
CONTEÚDO DO KIT 
•	03 O-Rings pretos grandes de vedação da câmara
•	02 Retentores/anéis de fricção azuis de alta performance
•	01 Anel elástico de travamento metálico
•	01 Raspador/vedação branca de poliuretano
•	03 Retentores/raspadores pretos robustos de poeira e óleo
•	Marca: Fox Racing Shox
•	Código do Fabricante: 803-00-825
•	Compatibilidade de Séries: Séries A, B e C
•	Aplicação: Câmara de ar (Air Sleeve) de shocks traseiros Specialized Micro Brain</t>
  </si>
  <si>
    <t>1853154727016437</t>
  </si>
  <si>
    <t>MLB5100653272</t>
  </si>
  <si>
    <t>U1943318963</t>
  </si>
  <si>
    <t>TRÇ 001</t>
  </si>
  <si>
    <t>Removedor De Tinta Faixa Segurança Asfalto Piso Tintas Pisos</t>
  </si>
  <si>
    <t>A maquina de retirar #faixas de segurança, #faixas continuas, #faixas pontilhadas, #tintas de piso, #pintura piso, faixas de #estacionamento, #faixa de pedestre, ou qualquer outra tinta de #alta resistência, tanto tintas #emborrachas, tintas #fosforecentes, tintas de alta resistência, quanto outras, esse equipamento foi desenvolvido para através de escovas adiamantadas, retire sem escarificar o concreto, asfalto, betume, rodovia, piso ou outro que for aplicado.
Potência: 7HP
Largura de trabalho: 30 cm
Eficiência: 50-80 metros quadrados por hora
Peso: 70kg
Este equipamento é muito utilizado por #construtoras, #empresas viárias, empresas #publicas de #pavimentação, empresas de #asfalto, empresas de #rodovias, #empresas de pintura, empresas de #piso polido, #pisos brutos dentre outras.</t>
  </si>
  <si>
    <t>Removedores de tinta</t>
  </si>
  <si>
    <t>8093945721306561</t>
  </si>
  <si>
    <t>MLB5552311638</t>
  </si>
  <si>
    <t>U3351314392</t>
  </si>
  <si>
    <t>Piscina Banheira Cachorro Pets Dobrável Azul 80 X 30 Cm</t>
  </si>
  <si>
    <t>Transforme os dias do seu melhor amigo em pura alegria com a nossa Piscina para Pets Cachorros Pet Tub 80x30cm!
Com dimensões espaçosas de 80x30cm,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</si>
  <si>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7868397586472194</t>
  </si>
  <si>
    <t>MLB5996786088</t>
  </si>
  <si>
    <t>U3652440604</t>
  </si>
  <si>
    <t>UMI-001</t>
  </si>
  <si>
    <t>Umidificador Ultra-sônico Mini Usb Com Led - Marrom 200ml</t>
  </si>
  <si>
    <t>Marrom</t>
  </si>
  <si>
    <t>Umidificador Ultra-Sônico USB com LED de Mudança de Cor e Textura de Madeira
Antes de ligar, verifique se há água suficiente no tanque, pois este produto não pode funcionar sem água.
A parte de spray não pode ser colocada em água ou enxaguada sob a torneira, limpe com um pano úmido ou esponja molhada.
A adição de água não deve exceder a linha de água para evitar transbordamentos, é necessário que haja água suficiente no tanque de água.
Recomenda-se substituir a água do tanque diariamente para assegurar a frescura do ar.
Funcionalidades:
- Com a luz selecionável, torna o ambiente mais romântico e agradável com um aroma suave.
- Umidifica o ar em diferentes estações, melhorando a qualidade do ar respirado.
- Neutraliza estática e reduz infecções de pele.
- Oferece terapia de aroma, ajudando a aliviar o estresse.
- Possui iluminação noturna de 7 cores que cria um ambiente relaxante e romântico.
Especificações:
Modelo: Umidificador vaso de flor com textura de madeira
Tamanho: 11 x 11 x 14,5 cm
Comprimento do cabo: 1m
LED: 7 cores
Cor: Marfim
Tensão: DC 5V
Potência: 3W
Capacidade: 130 ML
Peso do produto: 130 g
Itens Inclusos:
- 1 Umidificador Ultra-sônico USB com LED de Mudança de Cor e Textura de Madeira
- 1 Cabo USB</t>
  </si>
  <si>
    <t>784177742719376</t>
  </si>
  <si>
    <t>MLB6021829700</t>
  </si>
  <si>
    <t>U3659953617</t>
  </si>
  <si>
    <t>MED-002</t>
  </si>
  <si>
    <t>1 Rolo Lencol Descartavel Papel Hospitalar 50cmx50m Branco</t>
  </si>
  <si>
    <t>LENÇOL GREENPACK 50cm x 50 m perfeito para macas e camas
Venda de 1 Unidade do Produto
Lençóis descartáveis indicados para cobrir macas, camas e superfícies, proporcionando proteção contra o contato direto de pessoas com locais de uso comum.
Proporcionam segurança para os clientes em locais que exigem cuidados com limpeza e higiene nas áreas cobertas pelo papel lençol. Adequados para área médica, estética e hospitalar.
Facilitam a troca rápida e prática entre pacientes.
Não estéril.
Uso único.
Conservar em local seco.
Utilização em Maca Divã e outras.
Gramatura: 24 a 27gr por m2.
Alvura: 50% branco.
Matéria Prima: Fibras celulósicas.</t>
  </si>
  <si>
    <t>Lenços de papel</t>
  </si>
  <si>
    <t>MLB6068180050</t>
  </si>
  <si>
    <t>CIN-017</t>
  </si>
  <si>
    <t>Cinto Tatico Militar Poliéster Fivela Preto Tamanho 1,15</t>
  </si>
  <si>
    <t>Preto Liso 115</t>
  </si>
  <si>
    <t>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Tecnicos:
Tamanho: 115cm de comprimento
Material: Nylon
Material Fivéla: Plástico
Casos de Uso:
Calças Jeans
Calças Sociais
Shorts Mascuinos
Calças Sociais</t>
  </si>
  <si>
    <t>8403573591738769</t>
  </si>
  <si>
    <t>MLB6159824706</t>
  </si>
  <si>
    <t>U3727349010</t>
  </si>
  <si>
    <t>CONT-001</t>
  </si>
  <si>
    <t>Dimmer Techlico 4 Botões Para Controle De Iluminação Bivolt</t>
  </si>
  <si>
    <t>Branco 127/220v</t>
  </si>
  <si>
    <t>O Dimmer TECHLICO 4 Botões para Controle de Iluminação é a solução ideal para quem busca personalizar a iluminação de ambientes com praticidade e eficiência. Com um design compacto, suas dimensões de 90 mm de altura, 3 cm de largura e 85 mm de comprimento permitem uma instalação discreta e harmoniosa em qualquer espaço.
Compatível com lâmpadas que aceitam dimmer, este modelo possui uma corrente nominal de 10 A e uma potência máxima de 1300 W, garantindo um controle preciso da intensidade luminosa. A funcionalidade de quatro botões proporciona uma experiência intuitiva, permitindo ajustar a iluminação de acordo com a necessidade do momento, seja para criar um ambiente aconchegante ou para iluminar de forma mais intensa.
Embora não possua controle remoto ou conectividade Wi-Fi, sua operação simples e direta é perfeita para quem valoriza a eficiência sem complicações. O Dimmer TECHLICO é a escolha certa para quem deseja transformar a atmosfera de seus ambientes com facilidade e estilo.</t>
  </si>
  <si>
    <t>Dimmers</t>
  </si>
  <si>
    <t>7283773787227703</t>
  </si>
  <si>
    <t>MLB6160273806</t>
  </si>
  <si>
    <t>U3727386412</t>
  </si>
  <si>
    <t>FIO-002</t>
  </si>
  <si>
    <t>Fio De Nylon Thorxx 2,7mm X 15m Para Cortador De Grama</t>
  </si>
  <si>
    <t>O Fio de Nylon Thorxx 2,7mm x 15m é a escolha ideal para quem busca eficiência e durabilidade em seus trabalhos de jardinagem. Com um diâmetro de 2,7 mm, este fio proporciona um corte preciso e eficaz, facilitando o manejo de cortadores de grama. Seu perfil redondo garante um desempenho superior, permitindo que você mantenha seu jardim sempre bem cuidado.
Fabricado em nylon de alta qualidade, o fio é resistente ao desgaste e às condições climáticas adversas, assegurando uma longa vida útil. Com 15 metros de comprimento, oferece uma excelente autonomia para realizar diversas tarefas sem a necessidade de trocas frequentes. O peso de apenas 100 g torna o manuseio ainda mais prático e leve.
Ideal para jardineiros profissionais e amadores, o Fio de Nylon Thorxx é perfeito para quem valoriza a qualidade e a eficiência. A embalagem em pacote facilita o armazenamento e o transporte, tornando-o uma opção conveniente para quem está sempre em movimento. Invista na manutenção do seu espaço verde com um produto que combina resistência e praticidade.</t>
  </si>
  <si>
    <t>2021034083296728</t>
  </si>
  <si>
    <t>MLB6163886484</t>
  </si>
  <si>
    <t>U3722016797</t>
  </si>
  <si>
    <t>SOM-002</t>
  </si>
  <si>
    <t>Auto Falante Soundtube Cm62-ezs-ii Para Teto</t>
  </si>
  <si>
    <t>O Auto Falante Soundtube CM62-EZ-II é a escolha ideal para quem busca qualidade sonora em ambientes internos. Com um design discreto e elegante, este modelo se integra perfeitamente ao teto, proporcionando uma experiência auditiva imersiva sem comprometer a estética do espaço.
DIMENSÕES DO PRODUTO (LARGURAxCOMPRIMENTOxALTURA)
30cmx30cmx15cm
Fabricado pela renomada marca Soundtube, o CM62-EZ-II oferece um som claro e potente, ideal para apresentações, eventos ou simplesmente para desfrutar de sua música favorita. Sua construção robusta garante durabilidade, enquanto a tecnologia avançada proporciona um desempenho acústico superior.
Este auto falante é perfeito para ambientes comerciais e residenciais, permitindo que você crie a atmosfera desejada com facilidade. A instalação é simplificada, tornando-o uma opção prática para quem deseja qualidade sem complicações.
Experimente a diferença que o Soundtube CM62-EZ-II pode fazer em seu espaço. Transforme sua experiência sonora e aproveite cada momento com um som de alta fidelidade.</t>
  </si>
  <si>
    <t>MLB6168338708</t>
  </si>
  <si>
    <t>U3724801069</t>
  </si>
  <si>
    <t>CIN-021</t>
  </si>
  <si>
    <t>MLB6168403406</t>
  </si>
  <si>
    <t>U3733756096</t>
  </si>
  <si>
    <t>CIN-022</t>
  </si>
  <si>
    <t>2052109151241125</t>
  </si>
  <si>
    <t>MLB6187763294</t>
  </si>
  <si>
    <t>U3741415443</t>
  </si>
  <si>
    <t>F00080</t>
  </si>
  <si>
    <t>Farol De Milha Auxiliar Lumi Retangular 24 Leds Bivolt 72w</t>
  </si>
  <si>
    <t>O Farol de Milha Auxiliar Lumi Retangular 24 LEDs Bivolt 72W é a solução ideal para quem busca segurança e visibilidade em veículos de linha pesada. Com um design robusto em alumínio, este farol é projetado para suportar as condições mais exigentes, garantindo durabilidade e eficiência.
Equipado com 24 LEDs de alta potência, proporciona uma iluminação intensa e clara, aumentando a visibilidade em estradas e ambientes de trabalho. Seu tipo de conector de lâmpada por fios facilita a instalação e a manutenção, tornando-o uma escolha prática para motoristas e operadores de frotas.
Compatível com ambos os lados do veículo, este farol é versátil e se adapta a diferentes necessidades. A tecnologia bivolt permite o uso em diversas situações, garantindo que você tenha sempre a iluminação necessária, independentemente da fonte de energia disponível.
Invista em segurança e eficiência com o Farol de Milha Auxiliar Lumi. Ideal para quem não abre mão de qualidade e performance em cada viagem.</t>
  </si>
  <si>
    <t>6990746254484016</t>
  </si>
  <si>
    <t>MLB6246680394</t>
  </si>
  <si>
    <t>U3782187941</t>
  </si>
  <si>
    <t>PES-001</t>
  </si>
  <si>
    <t>Carretilha Fly Cheeky Preload 375 - (linha + Backing)</t>
  </si>
  <si>
    <t>Verde Esquerdo</t>
  </si>
  <si>
    <t>POTÊNCIA E VERSATILIDADE: O CONJUNTO COMPLETO PARA GRANDES DESAFIOS!
A Cheeky Preload 375 é a escolha definitiva para quem precisa de um equipamento robusto sem abrir mão da praticidade. Diferente de outras carretilhas, ela já vem totalmente montada de fábrica: com backing de alta resistência, linha flutuante (WF) de performance e leader cônico. Tirou da caixa, está pronto para o arremesso.
Projetada especificamente para varas de numeração #7 e #8, ela oferece o torque e a capacidade de linha necessários para enfrentar ventos fortes e peixes que brigam limpo.
Destaques do Produto:
Sistema de Drag S-Power: Freio de discos empilhados de alta performance. Extremamente suave e com força de sobra para parar peixes maiores sem "soluços" ou inércia inicial.
Leveza e Equilíbrio: Com apenas 141g (5.0 oz), é surpreendentemente leve para uma carretilha desse porte, garantindo conforto em pescarias longas e arremessos pesados.
Construção Híbrida Premium: Corpo em alumínio fundido (die-cast) com componentes internos usinados em CNC, oferecendo a resistência de um tanque com a precisão de um relógio.
Grande Arbors (Large Arbor): O design de carretel largo permite um recolhimento muito mais rápido da linha e reduz a memória da linha de fly.
Versatilidade Total: Originalmente configurada para recolhimento na mão esquerda, mas de conversão simples e rápida para a mão direita.
O que está incluso no pacote?
Carretilha Cheeky Preload 375.
Backing: 20 lb de alta visibilidade e resistência.
Linha de Fly: WF 7/8 Floating (Flutuante) de 90 pés (27 metros).
Leader: Cônico 9 pés (2x) com conexão loop-to-loop.
Case de Proteção: Estojo original em neoprene/nylon para transporte seguro.
Especificações Técnicas:
Modelo: Preload 375
Peso: 141 gramas (5.0 oz)
Diâmetro: 3.75 polegadas (9,5 cm)
Capacidade de Linha: Ideal para varas #7 e #8
Espécies Alvo: Grandes Tucunarés, Dourados de médio porte, Robalos, Bass e Salmonídeos.</t>
  </si>
  <si>
    <t>Carretilhas e molinetes de pesca</t>
  </si>
  <si>
    <t>3071112994524256</t>
  </si>
  <si>
    <t>MLB6247007034</t>
  </si>
  <si>
    <t>U3791796236</t>
  </si>
  <si>
    <t>VAL-001</t>
  </si>
  <si>
    <t>Kit 02 Válvulas Injetor Master 2.3 Cdi F00vc01022</t>
  </si>
  <si>
    <t>RECUPERE A POTÊNCIA DA SUA RENAULT MASTER! Kit completo com 4 Válvulas de Controle para Injetores Bosch. Produto de alta precisão, ideal para resolver falhas de injeção, fumaça excessiva e alto consumo.
FICHA TÉCNICA:
Produto: Kit 04 Válvulas de Controle do Injetor Diesel
Código da Válvula: F00VC01022 / F 00V C01 022
Código do Injetor Compatível: 0445110141 (0.445.110.141)
Aplicação Principal: Renault Master 2.3 e 2.5 Eletrônica (Dci/Cdi)
Condição: Produto Novo
Marca: [Insira a marca aqui, ex: Bosch / Importado Premium / Similar de 1ª Linha]
VEÍCULOS COMPATÍVEIS: Este kit aplica-se especificamente aos injetores de código 0445110141 presentes em:
Renault Master 2.3 16V Dci (Confira o código do seu injetor)
Renault Master 2.5 16V Dci (Anos 2004 a 2013 - Euro 3)
Nota: Recomendamos verificar a numeração gravada na cabeça do injetor antes da compra.</t>
  </si>
  <si>
    <t>Injetores de combustível para veículos</t>
  </si>
  <si>
    <t>2710106335113656</t>
  </si>
  <si>
    <t>MLB6252779510</t>
  </si>
  <si>
    <t>U3786603651</t>
  </si>
  <si>
    <t>ELE-030</t>
  </si>
  <si>
    <t>Módulo Led 5050 Com Fios De Conexão</t>
  </si>
  <si>
    <t>O Módulo LED 5050 é a solução ideal para quem busca iluminar ambientes de forma eficiente e estilosa. Com um design compacto e versátil, este módulo é perfeito para projetos de iluminação em casa, lojas ou eventos. Sua tecnologia LED proporciona uma luminosidade intensa, garantindo um brilho uniforme e de alta qualidade.
Fabricado com materiais de alta durabilidade, o Módulo LED 5050 é fácil de conectar e pode ser utilizado em diversas aplicações, desde iluminação decorativa até sinalização. A sua flexibilidade permite que seja adaptado a diferentes superfícies e formatos, tornando-o uma escolha prática para qualquer projeto.
Além disso, a eficiência energética do Módulo LED 5050 contribui para a redução do consumo de eletricidade, tornando-o uma opção sustentável. Com uma longa vida útil, este módulo é uma escolha inteligente para quem deseja economizar e ao mesmo tempo manter a qualidade da iluminação.
Experimente a versatilidade e a eficiência do Módulo LED 5050 e transforme seus espaços com uma iluminação moderna e funcional. Ideal para profissionais e entusiastas da decoração, este produto é a chave para criar ambientes acolhedores e bem iluminados.</t>
  </si>
  <si>
    <t>3622933415117300</t>
  </si>
  <si>
    <t>MLB6259015654</t>
  </si>
  <si>
    <t>U3803653018</t>
  </si>
  <si>
    <t>LAV-001</t>
  </si>
  <si>
    <t>Bomba De Drenagem Askoll Dream Washer 30 Wts 220v</t>
  </si>
  <si>
    <t>220v</t>
  </si>
  <si>
    <t>Eletrobomba lavadora de roupas universal 220v askoll - m11026
Bomba de drenagem para retirar água da máquina após a lavagem
Pode ser aplicada em lavadoras (máquina de lavar roupas),
Aplicação: máquina de lavar
Voltagem: 220v
Marca: askoll
Potência: 30w
Aplica-se aos modelos:
Lf10
Lm08a
Lf80
Lm08
Top8s
Lq90
Lq10
Lf75
Lm06
Lt50
Top8s
Lf11
Lt12
Top8
Top6f
Top8a
Top8
Top8a
Lts12
Ls12q
Lta15
Lte09
Lt60
Lte06
Lte07
Ltc10
Lte12
Lbt12
Ltr15
Ltc15
Lbu15
Ls32y
Lt32
Lt32y
Ltr15y
Tr11
Ts11
Ts11q
Ls32a
Lta15y</t>
  </si>
  <si>
    <t>Bombas de drenagem para máquinas de lavar</t>
  </si>
  <si>
    <t>5520265161534489</t>
  </si>
  <si>
    <t>MLB6273191694</t>
  </si>
  <si>
    <t>U3805226618</t>
  </si>
  <si>
    <t>TEL-001</t>
  </si>
  <si>
    <t>Tela Rohs 10.1  B101aw03 V.1 Para Notebook Acer Samsung Dell</t>
  </si>
  <si>
    <t>ela 10.1" Led B101AW03 V.1 para Notebook - BestBattery® Power Mobile.
O produto Tela 10.1" Led B101AW03 V.1 para Notebook é totalmente compatível com o seu notebook e possui 3 Anos de garantia.
Disponível para entrega imediata e envio no mesmo dia para todos os pedidos com pagamento aprovado até as 15h (dias úteis)
O produto Tela 10.1" Led B101AW03 V.1 para Notebook 
Nota Fiscal;
Embalagem lacrada.
Características Técnicas:
Tamanho – 10.1 Pol
Resolução – 1024x600
Pinos Conector – 40 Pinos
Modelo – HW5A
Superfície – Com Brilho
Tipo de aparelho – Notebook
Marca do notebook – Part Number
Posição Conector – Esquerdo Inferior
Tipo de Backlight – LED
Formato Padrão – WSVGA
Garantia – 3 Anos
Nossos produtos são projetados para garantir alta qualidade e compatibilidade superior, proporcionando um desempenho excepcional. Oferecemos uma ampla variedade de componentes, incluindo baterias, fontes e carregadores, telas, teclados, memórias, SSDs e coolers em promoção, para que seu notebook funcione sempre com a melhor performance.
A BestBattery® é a loja mais completa para todas as marcas de aparelhos. Realizamos rigorosos testes antes de cada envio para garantir a total eficiência e compatibilidade com seu produto, traduzindo em maior segurança e confiabilidade.
Caso você ainda tenha dúvidas em relação ao modelo, compatibilidade ou compra, estamos sempre a sua disposição. Pergunte à vontade no campo de Perguntas e Respostas.</t>
  </si>
  <si>
    <t>Telas para notebooks e netbooks</t>
  </si>
  <si>
    <t>4374527005673765</t>
  </si>
  <si>
    <t>MLB6297615220</t>
  </si>
  <si>
    <t>U3806810073</t>
  </si>
  <si>
    <t>FIO-005</t>
  </si>
  <si>
    <t>Conector 2 Pinos Passo 5 Mm Kit Com 15 Peças  Preto</t>
  </si>
  <si>
    <t>Conector elétrico de 2 pinos com passo de 5 mm, ideal para reparos, projetos eletrônicos e automação. Compatível com placas, fontes e chicotes que utilizam espaçamento de 5 mm entre os terminais.
Tipo: conector elétrico 2 pinos
Passo entre pinos: 5 mm
Quantidade: 15 peças (kit)
Cor: preto
Estado: produto novo, sem uso
Indicado para: placas eletrônicas, fontes, módulos, chicotes e projetos DIY
Benefícios:
Encaixe firme, reduzindo risco de mau contato.
Tamanho compacto, ideal para espaços reduzidos.
Fácil de instalar, basta crimpar ou soldar os fios e encaixar.
Antes de comprar, confira se o conector e o passo de 5 mm são compatíveis com o seu equipamento.</t>
  </si>
  <si>
    <t>2292457310911726</t>
  </si>
  <si>
    <t>MLB6297703900</t>
  </si>
  <si>
    <t>U3816645548</t>
  </si>
  <si>
    <t>Conector 2 Pinos Passo 5 Mm Kit Com 25 Peças  Preto</t>
  </si>
  <si>
    <t>Conector elétrico de 2 pinos com passo de 5 mm, ideal para reparos, projetos eletrônicos e automação. Compatível com placas, fontes e chicotes que utilizam espaçamento de 5 mm entre os terminais.
Tipo: conector elétrico 2 pinos
Passo entre pinos: 5 mm
Quantidade: 25 peças (kit)
Cor: preto
Estado: produto novo, sem uso
Indicado para: placas eletrônicas, fontes, módulos, chicotes e projetos DIY
Benefícios:
Encaixe firme, reduzindo risco de mau contato.
Tamanho compacto, ideal para espaços reduzidos.
Fácil de instalar, basta crimpar ou soldar os fios e encaixar.
Antes de comprar, confira se o conector e o passo de 5 mm são compatíveis com o seu equipamento.</t>
  </si>
  <si>
    <t>1743422448237788</t>
  </si>
  <si>
    <t>MLB6297704340</t>
  </si>
  <si>
    <t>U3806823203</t>
  </si>
  <si>
    <t>Conector 2 Pinos Passo 5 Mm Kit Com 50 Peças  Preto</t>
  </si>
  <si>
    <t>6775869322288916</t>
  </si>
  <si>
    <t>MLB6408282596</t>
  </si>
  <si>
    <t>U3828681096</t>
  </si>
  <si>
    <t>100 Un Conector Automotivo Te Connectivity 2 Vias Mqs 143860</t>
  </si>
  <si>
    <t>100 unidades
Conector original TE Connectivity da série MQS (Micro Quadlok System), ideal para aplicações automotivas que exigem vedação contra umidade e poeira (sistema selado). Produto novo, acompanha folha de instruções para montagem correta.
Especificações Técnicas:
Marca: TE Connectivity / AMP
Modelo/PN: 1438608 (Série MQS Clean Body)
Posições: 2 Vias
Tipo: Fêmea (Plug Assy)
Diferenciais: Possui travas TPA (Garantia de Posição do Terminal) e CPA (Garantia de Posição do Conector) integradas para segurança máxima contra desconexões acidentais.
Conteúdo da Embalagem:
01 Carcaça de Conector 2 Vias 1438608</t>
  </si>
  <si>
    <t>Conectores adaptadores elétricos para veículos</t>
  </si>
  <si>
    <t>3461834087667158</t>
  </si>
  <si>
    <t>MLB6408340348</t>
  </si>
  <si>
    <t>U3818677633</t>
  </si>
  <si>
    <t>Diodo Zener 1n4148ws Smd Sod-323 - Rolo Com 3.000 Peças</t>
  </si>
  <si>
    <t>Garanta componentes de alta qualidade para sua linha de montagem ou manutenção eletrônica. Este anúncio refere-se a um rolo fechado contendo 3.000 unidades do diodo de comutação rápida 1N4148WS, fabricado pela renomada Fairchild Semiconductor.
O modelo 1N4148WS é amplamente utilizado em circuitos que exigem alta velocidade de resposta e design compacto, graças ao seu encapsulamento SMD (SOD-323).
Especificações Técnicas:
Part Number: 1N4148WS
Fabricante: Fairchild Semiconductor (ON Semi)
Encapsulamento: SOD-323 (SMD)
Tipo de Diodo: Comutação Rápida (Fast Switching)
Quantidade: Rolo com 3.000 unidades
Conformidade: RoHS Compliant (Livre de chumbo)
Temperatura de Operação: Até 260°C (conforme etiqueta de segurança)</t>
  </si>
  <si>
    <t>Diodos retificadores</t>
  </si>
  <si>
    <t>1971296647175742</t>
  </si>
  <si>
    <t>MLB6408392582</t>
  </si>
  <si>
    <t>U3828617838</t>
  </si>
  <si>
    <t>Diodo Zener 1n4148ws Smd Sod-323 - Rolo Com 1500 Peças</t>
  </si>
  <si>
    <t>Garanta componentes de alta qualidade para sua linha de montagem ou manutenção eletrônica. Este anúncio refere-se a um rolo fechado contendo 1.500 unidades do diodo de comutação rápida 1N4148WS, fabricado pela renomada Fairchild Semiconductor.
O modelo 1N4148WS é amplamente utilizado em circuitos que exigem alta velocidade de resposta e design compacto, graças ao seu encapsulamento SMD (SOD-323).
Especificações Técnicas:
Part Number: 1N4148WS
Fabricante: Fairchild Semiconductor (ON Semi)
Encapsulamento: SOD-323 (SMD)
Tipo de Diodo: Comutação Rápida (Fast Switching)
Quantidade: Rolo com 1500unidades
Conformidade: RoHS Compliant (Livre de chumbo)
Temperatura de Operação: Até 260°C (conforme etiqueta de segurança)</t>
  </si>
  <si>
    <t>7389751256832780</t>
  </si>
  <si>
    <t>MLB6408409278</t>
  </si>
  <si>
    <t>U3818719213</t>
  </si>
  <si>
    <t>Conector Automotivo Te Connectivity 2 Vias Selado Mqs 143860</t>
  </si>
  <si>
    <t>Conector original TE Connectivity da série MQS (Micro Quadlok System), ideal para aplicações automotivas que exigem vedação contra umidade e poeira (sistema selado). Produto novo, acompanha folha de instruções para montagem correta.
Especificações Técnicas:
Marca: TE Connectivity / AMP
Modelo/PN: 1438608 (Série MQS Clean Body)
Posições: 2 Vias
Tipo: Fêmea (Plug Assy)
Diferenciais: Possui travas TPA (Garantia de Posição do Terminal) e CPA (Garantia de Posição do Conector) integradas para segurança máxima contra desconexões acidentais.
Conteúdo da Embalagem:
01 Carcaça de Conector 2 Vias 1438608</t>
  </si>
  <si>
    <t>6972740923106575</t>
  </si>
  <si>
    <t>MLB6415825974</t>
  </si>
  <si>
    <t>U3821627969</t>
  </si>
  <si>
    <t>SIR-002</t>
  </si>
  <si>
    <t>Giroflex Para Veículos De Emergência 360 Com Controlador</t>
  </si>
  <si>
    <t>Sinalizador visual em LEDs, formato barra, com módulos intercambiáveis, composto por conjuntos de LEDs próprios para iluminação e parábola refletiva em plástico de engenharia com resistência automotiva e alta visibilidade com distribuição frontal, traseira e laterais de sinalizador.
Base e cúpula injetadas em policarbonato com tratamento UV e reforçada com perfil de alumínio extrudado de alta resistência mecânica.
Dotados de refletores parabólicos metalizados em plásticos de engenharia (última tecnologia em sinalizadores visuais, que proporcionam mais do que o dobro de eficiência luminosa dos equipamentos com LEDs tradicionais).
Sinalizador composto por módulos ópticos de 3 LEDs laterais e 4 ou 6 LEDs de 3W (categoria altíssimo brilho última geração) nos módulos centrais, distribuídos equitativamente. Permitindo visualização em ângulo de 360º;
Diversas funções para sinalização de emergência;
3 funções para deslocamento de trânsito
ESPECIFICAÇÕES TECNICAS
LEDS LATERAIS: 6 (3 POR LADO)
LEDS FRONTAL: 8
LEDS TRASEIRA: 8
GIROFLEX COM MODOS DE ILUMINAÇÃO
POSSUI CONTROLADOR</t>
  </si>
  <si>
    <t>905568039113714</t>
  </si>
  <si>
    <t>MLB6438871682</t>
  </si>
  <si>
    <t>U3842652020</t>
  </si>
  <si>
    <t>INF-005</t>
  </si>
  <si>
    <t>Micro Controlador Ge Fanuc Versamax Ic200udr001</t>
  </si>
  <si>
    <t>O GE Fanuc VersaMax Micro IC200UDR001 é um Controlador Lógico Programável (CLP) compacto e de alta performance, ideal para automação de máquinas e pequenos processos industriais. Este modelo combina versatilidade e robustez em um design que economiza espaço no painel.
Especificações Técnicas
Modelo: IC200UDR001-C
Série: VersaMax Micro
Alimentação: 100-240 VAC (Bivolt)
Total de Pontos de E/S: 14 pontos
Entradas: 8 Entradas Digitais (24VDC, 7.5mA)
Saídas: 6 Saídas a Relé (24VDC / 240VAC – Máx. 2A por ponto)</t>
  </si>
  <si>
    <t>3369083998000593</t>
  </si>
  <si>
    <t>MLB6477894146</t>
  </si>
  <si>
    <t>U3856178412</t>
  </si>
  <si>
    <t>GUI002</t>
  </si>
  <si>
    <t>Guincho Elétrico 10000lbs 12v Off Road/jeep/troller Controle</t>
  </si>
  <si>
    <t>Guincho Elétrico 10000 LBS 12V Automotivo Off Road Completo com Controle
Guincho Elétrico 12V 10000 LB com Cabo de Aço 25m e Controle Remoto – Suporta até 5.443 kg
Se você precisa de força, praticidade e confiabilidade para resgates off-road, reboques ou movimentação de veículos pesados, este guincho elétrico é a escolha ideal. Este guincho é uma adição essencial para proprietários de veículos 4x4, como Jeep Rural, F75, Troller, L200, Hilux, e Bandeirante, proporcionando uma solução poderosa para situações de recuperação e reboque.
Com capacidade de tração de até 10.000 libras (até 5.443 kg) e motor de 6 HP , ele oferece alto desempenho mesmo nas situações mais exigentes.
ALTA CAPACIDADE
Tração máxima: 10.000 lbs (até 5443 kg)
Sistema de tração com alta eficiência e força constante
Suporta uso em lama, areia, subidas e terrenos extremos
ESPECIFICAÇÕES TÉCNICAS
Alimentação: 12V 
Motor: 6.0 HP 
Sistema de engrenagem: Planetário de 3 estágios
Relação de redução: 265:1
Embreagem: Manual com engate rápido 
Freio: Automático no tambor (mais segurança)
CABO DE AÇO REFORÇADO
Comprimento: 27 metros
Diâmetro: 9,5 mm (3/8")
Alta resistência para uso pesado
Ideal para operações exigentes
DIMENSÕES E INSTALAÇÃO
Tamanho: 552 x 160 x 218 mm
Peso bruto: 36 kg
Peso líquido: 34 kg
Furação padrão: 254 x 114,3 mm (universal)
Compatível com bases padrão de guincho automotivo
O QUE VEM NA CAIXA?
Guincho Elétrico 10.000 lbs 12V.
Controle sem fio.
Controle Remoto com cabo.
Guia de Rolete.
Gancho com trava de segurança.
Cabos de alimentação de bateria 
Kit de parafusos para fixação.</t>
  </si>
  <si>
    <t>3677999907776723</t>
  </si>
  <si>
    <t>MLB6506850664</t>
  </si>
  <si>
    <t>U3855886109</t>
  </si>
  <si>
    <t>AQU-001</t>
  </si>
  <si>
    <t>Aquecedor Elétrico Industrial Digital 40kw-estufas/aviários</t>
  </si>
  <si>
    <t>Branco E Vermelho 380v/220v</t>
  </si>
  <si>
    <t>O Aquecedor Elétrico Industrial Digital Deholog é a solução ideal para quem busca eficiência e potência em ambientes de trabalho, estufas de flores, plantas e aviários. Com uma potência máxima de 40 kW, este equipamento garante um aquecimento rápido e eficaz, atendendo às necessidades de grandes espaços.
Com dimensões de 50 cm de altura, 50 cm de largura e 30 cm de comprimento, o aquecedor é projetado para se adaptar a diferentes configurações de ambiente. Sua construção robusta assegura durabilidade, tornando-o um investimento seguro para quem precisa de um aquecedor confiável e de alto desempenho.
Embora não possua função de oscilação ou ventilação, sua eficiência térmica é ideal para manter a temperatura desejada em locais como pavilhões e salões de trabalho. A proteção contra superaquecimento é uma característica que proporciona segurança adicional, permitindo o uso contínuo sem preocupações.
Escolher o Aquecedor Elétrico Deholog é optar por um produto que combina potência e praticidade, ideal para profissionais que necessitam de um aquecimento eficaz em suas atividades diárias. Transforme seu espaço de trabalho com a tecnologia e a confiabilidade que só a Deholog pode oferecer.
Especificações Técnicas (Modelo DH50):
Tamanho: 500mm x 500mm x 300mm
Área de Aquecimento: 100 a 200 m²
Capacidade Térmica: 8.600 kcal
Potência: 40 kW
Parâmetros Elétricos: 380V/220V (Trifásico ou Monofásico conforme ligação) - 60Hz
Nível de Ruído: Baixo</t>
  </si>
  <si>
    <t>Aquecedores elétricos para a casa</t>
  </si>
  <si>
    <t>3051736402800530</t>
  </si>
  <si>
    <t>MLB6545005222</t>
  </si>
  <si>
    <t>U3879752196</t>
  </si>
  <si>
    <t>MON-001</t>
  </si>
  <si>
    <t>Monitor De Gases E Umidade Para Transformador Ge Hydran M2-x</t>
  </si>
  <si>
    <t>100-120v / 200-240v</t>
  </si>
  <si>
    <t>Aumente a vida útil e a segurança do seu transformador com o GE Hydran M2-X!
Venda de unidade do sistema de monitoramento on-line GE Hydran M2-X (Kelman), líder mundial em diagnóstico preventivo para transformadores de potência. Este dispositivo é essencial para detectar falhas incipientes (como arcos elétricos e superaquecimento) antes que causem danos catastróficos.
Principais Funcionalidades:
Detecção de Hidrogênio (\(H_{2}\)): Monitoramento contínuo do gás primário indicador de falhas no óleo isolante.
Monitoramento de Umidade: Mede o conteúdo de água no óleo, prevenindo a degradação do papel isolante.
Entradas/Saídas: Configurado com saídas analógicas de 4-20mA para integração com sistemas supervisórios (SCADA).
Conectividade: Pronto para comunicação remota (verificar placa Ethernet interna).
Especificações Técnicas:
Marca: GE Energy / Kelman
Modelo: Hydran M2-X
Alimentação: Bivolt (100-120V / 200-240V AC, 50/60Hz)
Grau de Proteção: IP56 / NEMA 4X (resistente a intempéries e corrosão).
Condição do Item:
Produto novo, nunca instalado,
Ficha Técnica 
Marca: GE
Modelo: Hydran M2-X
Tipo de sensor: Gás Dissolvido (DGA) e Umidade
Aplicação: Transformadores de potência em óleo</t>
  </si>
  <si>
    <t>Ferramentas e artigos de construção</t>
  </si>
  <si>
    <t>26</t>
  </si>
  <si>
    <t>0.48</t>
  </si>
  <si>
    <t>17431674205587</t>
  </si>
  <si>
    <t>MLB6654261434</t>
  </si>
  <si>
    <t>U3910010537</t>
  </si>
  <si>
    <t>PAR-001</t>
  </si>
  <si>
    <t>Parafusadeira/furadeira Fixker 20v Bateria Carga Rápida 10mm</t>
  </si>
  <si>
    <t>Azul 127/220v 50</t>
  </si>
  <si>
    <t>Parafusadeira FIXKER 20V 
Ideal para quem busca potência, precisão e praticidade no dia a dia, a Parafusadeira/Furadeira 20V da FIXKER é perfeita tanto para uso profissional quanto doméstico. Possui mandril de aperto rápido 3/8" (10mm), luz LED para trabalhos em locais com pouca iluminação e 2 velocidades mecânicas, além de controle de torque MAXIMO de 30 Nm para diferentes aplicações.
Seu motor potente, aliado à bateria de íons de lítio 1.5Ah, garante autonomia e alto desempenho em tarefas de perfuração e parafusamento em madeira, aço e alvenaria leve.
Especificações Técnicas
Modelo: Parafusadeira/Furadeira
Marca: FIXKER
Voltagem: 20V
Torque Máximo: 30 Nm
Rotação: 0–350 / 0–1400 rpm
Mandril: 3/8" – 10mm (aperto rápido)
Capacidade máx. perfuração 0-1400 rpm.
Capacidade máx. parafusar 0-350rpm.
Seletor de torque: 18+1 posições
Bateria: Íons de lítio – 1.5Ah
Peso aproximado: 1,9kg
Conteúdo da Embalagem
01 Parafusadeira/Furadeira 20V
0 Baterias 20V 1.5Ah
01 Carregador Bivolt
1 Caixa para transporte
2 Chaves 2 pontas 
Destaques do Produto:
Motor potente com rotação reversível
LED para ambientes com pouca luz
Mandril de aperto rápido para troca fácil
Leve e ergonômica: ideal para uso contínuo
Marca FIXKER – Inovaçao de Qualidade reconhecida em todo o Brasil</t>
  </si>
  <si>
    <t>Parafusadeiras elétricas e chaves de impacto</t>
  </si>
  <si>
    <t>4271580378344208</t>
  </si>
  <si>
    <t>MLB6682539706</t>
  </si>
  <si>
    <t>U3934403728</t>
  </si>
  <si>
    <t>LAS-002</t>
  </si>
  <si>
    <t>Máquina Fiber Laser Portátil 30w - Gravação Industrial</t>
  </si>
  <si>
    <t>A POTÊNCIA E PRECISÃO QUE SUA EMPRESA PRECISA, ONDE VOCÊ ESTIVER!
Apresentamos a Máquina de Marcação Fiber Laser de 30W, a solução definitiva para gravações permanentes de alta qualidade. Com design portátil e tecnologia de fibra óptica, este equipamento é ideal para quem busca mobilidade sem abrir mão da performance industrial.
POR QUE ESCOLHER ESTA MÁQUINA?
•	ALTA POTÊNCIA (30W): Diferente dos modelos de entrada, os 30W garantem maior velocidade de gravação e capacidade de realizar marcas mais profundas em metais duros.
•	DURABILIDADE EXTREMA: Fonte laser com vida útil superior a 100.000 horas. É um investimento para décadas de trabalho.
•	VERSATILIDADE TOTAL: Perfeita para gravar Aço Inox, Alumínio, Latão, Cobre, Ouro, Prata e plásticos de engenharia.
•	PORTABILIDADE REAL: Cabeçote manual leve, permitindo gravar peças grandes, motores, chassis ou componentes que não podem ser movidos para uma bancada.
ESPECIFICAÇÕES TÉCNICAS:
•	Tipo de Laser: Fibra (Fiber Laser)
•	Potência de Saída: 30W
•	Vida Útil do Laser:  100.000 horas
•	Área de Marcação: 75mm x 75mm (Foco preciso)
•	Alimentação: Bivolt Automático (90V ~ 240V | 50/60Hz)
•	Consumo de Energia: 300W - 500W (Baixo consumo)
•	Interface: Tela Touch Screen integrada (dispensa computador para operações básicas)
APLICAÇÕES COMUNS:
•	Identificação de peças industriais e números de série.
•	Gravação de QR Codes e Códigos de Barras.
•	Personalização de brindes, joias e cutelaria.
•	Serviços de "Vacina Antifurto" em veículos (gravação de chassi).
O QUE VAI NA CAIXA?
1.	Unidade de Controle Laser Fibra 30W.
2.	Cabeçote de marcação portátil com guia de foco.
3.	Cabo de força.
4.	Maleta de Transporte
5.	Pen Drive com software/manuais</t>
  </si>
  <si>
    <t>Máquinas de corte e gravação laser</t>
  </si>
  <si>
    <t>3082373114714834</t>
  </si>
  <si>
    <t>MLB6688480710</t>
  </si>
  <si>
    <t>U3936600566</t>
  </si>
  <si>
    <t>F-0007</t>
  </si>
  <si>
    <t>Farol Milha Carro Jeep Lancha 16 Leds Quadrado 48w Azul</t>
  </si>
  <si>
    <t>Farol Milha Carro Jeep Lancha 16 Leds Quadrado 48w
Potência: 48w;
Vida útil estimada em 30.000+ horas;
Temperatura de operação: -40c à 85c;
Carcaça em alumínio, que garante a dissipação do calor do led;
Ip67 (totalmente resistente contra poeira e altamente resistente contra água);
Alimentação: 10v30v;
Suporte de fixação em inox;
Instalação universal em qualquer máquina ou veículo;
Suporte articulável, com 180 de ajuste;
Altura: 12,5cm (sem suporte), 13,5cm (com suporte);
Largura: 11,5cm;
Profundidade: 4,3cm;
Peso: 450g (a unidade).
Aplicável a: automóveis/motocicletas/veículos off-road/caminhões/empilhadeiras/caminhões de praia/veículos de engenharia/navios 
Utilizados para melhorar a iluminação do veículo, oferecendo uma luz mais brilhante e intensa em comparação com os faróis originais. Eles podem ser úteis em várias situações, como em estradas escuras ou em condições climáticas adversas, fornecendo uma melhor visibilidade para o motorista. Além disso, alguns proprietários de veículos também optam por faróis modificados por motivos estéticos, para personalizar o visual de seus carros. No entanto, é importante garantir que essas modificações estejam em conformidade com as regulamentações locais de trânsito para garantir a segurança de todos os usuários da estrada.
#IluminaçãoPotente #FaróisBrilhantes #ModificaçõesAutomotivas #PersonalizaçãoDoCarro #MelhorVisibilidade #EstiloAutomotivo #PerformanceDeIluminação #UpgradeDeFaróis #CustomizaçãoVeicular #EstradaIluminada</t>
  </si>
  <si>
    <t>2360427560968722</t>
  </si>
  <si>
    <t>MLB6732123194</t>
  </si>
  <si>
    <t>U3952891162</t>
  </si>
  <si>
    <t>GIR-001</t>
  </si>
  <si>
    <t>Giroflex Giroled Led Bivolt Imã Strobo Caminhão Viatura</t>
  </si>
  <si>
    <t>Descrição do Produto:
Sinalização de Alta Performance e Fácil Instalação!
O Sinalizador Rotativo Giroled LTE/LTD1535 é o acessório indispensável para quem precisa de sinalização visual eficiente, seja em veículos de segurança, escolta, guinchos, máquinas agrícolas ou empilhadeiras. Com tecnologia LED de 27W, ele garante visibilidade máxima mesmo à luz do dia.
POR QUE ESCOLHER ESTE MODELO?
•	Fixação Magnética: Possui um super ímã na base. Fixa com firmeza no teto do veículo sem precisar furar ou riscar a pintura.
•	Plug de Acendedor: Instalação "Plug &amp; Play". Conecte na tomada 12V ou 24V do seu veículo e use na hora.
•	Modos de Luz: Alterne entre os efeitos de luz (rotativo ou flash) diretamente no botão integrado ao plug.
•	Bivolt Automático: Funciona perfeitamente em carros, caminhonetes (12V) e caminhões ou máquinas pesadas (24V).
Especificações Técnicas:
•	Modelo: LTE/LTD1535
•	Potência: 27W (LEDs de alta intensidade)
•	Voltagem: DC 10V - 30V (Bivolt)
•	Cor da Luz: Vermelho
•	Temperatura de Operação: -40°C a +55°C
•	Tipo de Fixação: Base Magnética (Ímã)
•	Comprimento do Cabo: Aproximadamente 2,5 a 3 metros (cabo espiralado resistente)
O que vem na caixa?
1.	01 Sinalizador Giroled com Base Magnética
2.	01 Manual de Instruções original</t>
  </si>
  <si>
    <t>Luzes de palco LED</t>
  </si>
  <si>
    <t>6242568371614351</t>
  </si>
  <si>
    <t>MLB6732519276</t>
  </si>
  <si>
    <t>U3953088068</t>
  </si>
  <si>
    <t>Fio/linha De Nylon Thorxx 2mm X 27m Para Cortador De Grama</t>
  </si>
  <si>
    <t>O Fio de Nylon Thorxx 2mm x 27m é a escolha ideal para quem busca eficiência e durabilidade em seus trabalhos de jardinagem. Com um diâmetro de 2 mm, este fio proporciona um corte preciso e eficaz, facilitando o manejo de cortadores de grama. Seu perfil redondo garante um desempenho superior, permitindo que você mantenha seu jardim sempre bem cuidado.
Fabricado em nylon de alta qualidade, o fio é resistente ao desgaste e às condições climáticas adversas, assegurando uma longa vida útil. Com 27 metros de comprimento, oferece uma excelente autonomia para realizar diversas tarefas sem a necessidade de trocas frequentes. O peso de apenas 100 g torna o manuseio ainda mais prático e leve.
Ideal para jardineiros profissionais e amadores, o Fio de Nylon Thorxx é perfeito para quem valoriza a qualidade e a eficiência. A embalagem em pacote facilita o armazenamento e o transporte, tornando-o uma opção conveniente para quem está sempre em movimento. Invista na manutenção do seu espaço verde com um produto que combina resistência e praticidade.</t>
  </si>
  <si>
    <t>3644585837238354</t>
  </si>
  <si>
    <t>MLB6732549752</t>
  </si>
  <si>
    <t>U3953038110</t>
  </si>
  <si>
    <t>FIO-003</t>
  </si>
  <si>
    <t>Fio/linha De Nylon Thorxx 3mm X 12m Para Cortador De Grama</t>
  </si>
  <si>
    <t>O Fio de Nylon Thorxx 3mm x 12m é a escolha ideal para quem busca eficiência e durabilidade em seus trabalhos de jardinagem. Com um diâmetro de 3 mm, este fio proporciona um corte preciso e eficaz, facilitando o manejo de cortadores de grama. Seu perfil redondo garante um desempenho superior, permitindo que você mantenha seu jardim sempre bem cuidado.
Fabricado em nylon de alta qualidade, o fio é resistente ao desgaste e às condições climáticas adversas, assegurando uma longa vida útil. Com 12 metros de comprimento, oferece uma excelente autonomia para realizar diversas tarefas sem a necessidade de trocas frequentes. O peso de apenas 100 g torna o manuseio ainda mais prático e leve.
Ideal para jardineiros profissionais e amadores, o Fio de Nylon Thorxx é perfeito para quem valoriza a qualidade e a eficiência. A embalagem em pacote facilita o armazenamento e o transporte, tornando-o uma opção conveniente para quem está sempre em movimento. Invista na manutenção do seu espaço verde com um produto que combina resistência e praticidade.</t>
  </si>
  <si>
    <t>6021802085262352</t>
  </si>
  <si>
    <t>MLB6732553932</t>
  </si>
  <si>
    <t>U3941225621</t>
  </si>
  <si>
    <t>FIO-004</t>
  </si>
  <si>
    <t>Fio/linha De Nylon Thorxx 2,4mm X 19m Para Cortador De Grama</t>
  </si>
  <si>
    <t>O Fio de Nylon Thorxx 2,4mm x 19m é a escolha ideal para quem busca eficiência e durabilidade em seus trabalhos de jardinagem. Com um diâmetro de 2,4 mm, este fio proporciona um corte preciso e eficaz, facilitando o manejo de cortadores de grama. Seu perfil redondo garante um desempenho superior, permitindo que você mantenha seu jardim sempre bem cuidado.
Fabricado em nylon de alta qualidade, o fio é resistente ao desgaste e às condições climáticas adversas, assegurando uma longa vida útil. Com 19 metros de comprimento, oferece uma excelente autonomia para realizar diversas tarefas sem a necessidade de trocas frequentes. O peso de apenas 100 g torna o manuseio ainda mais prático e leve.
Ideal para jardineiros profissionais e amadores, o Fio de Nylon Thorxx é perfeito para quem valoriza a qualidade e a eficiência. A embalagem em pacote facilita o armazenamento e o transporte, tornando-o uma opção conveniente para quem está sempre em movimento. Invista na manutenção do seu espaço verde com um produto que combina resistência e praticidade.</t>
  </si>
  <si>
    <t>6279335276933072</t>
  </si>
  <si>
    <t>MLB6774801360</t>
  </si>
  <si>
    <t>U3973910220</t>
  </si>
  <si>
    <t>Bolas Beach Tennis Dh Pro Kit 6 Unidades Profissional</t>
  </si>
  <si>
    <t>As bolas de Beach Tennis DH Pro foram desenvolvidas para oferecer o melhor equilíbrio entre controle, durabilidade e desempenho na areia.
Com baixa pressão, proporcionam jogadas mais precisas, menos impacto no braço e maior tempo de reação — ideal tanto para iniciantes quanto jogadores experientes.
Diferenciais DH Pro:
•	Feltro resistente que aumenta a vida útil 
•	Excelente visibilidade em qualquer condição de luz 
•	Padrão utilizado em treinos e partidas 
Conteúdo da embalagem:
•	6 Bolas Beach Tennis DH Pro 
Indicação:
•	Jogos recreativos 
•	Treinos 
•	Competições</t>
  </si>
  <si>
    <t>7387014468272208</t>
  </si>
  <si>
    <t>MLB6844324214</t>
  </si>
  <si>
    <t>U4003673259</t>
  </si>
  <si>
    <t>REL-001</t>
  </si>
  <si>
    <t>Relé Proteção Siemens Siprotec 7sj8041 Iec61850 Ethernet</t>
  </si>
  <si>
    <t>RELÉ DE PROTEÇÃO DE SOBRECORRENTE SIEMENS SIPROTEC COMPACT
MODELO EXATO: 7SJ8041-5EB90-1FB1-Z
O Siemens SIPROTEC 7SJ8041 é uma solução de engenharia de ponta para proteção, controle e monitoramento de alimentadores, redes de média e alta tensão, motores e transformadores. Esta unidade possui a configuração mais completa e valorizada do mercado, contando com porta Ethernet redundante e o protocolo de subestação IEC 61850 ativo de fábrica.
ESPECIFICAÇÕES TÉCNICAS :
•	Modelo: 7SJ8041 (Série SIPROTEC Compact)
•	Canais Analógicos: 4 Transformadores de Corrente (TC) + 3 Entradas de Tensão (TP)
•	Corrente Nominal Secundária: Selecionável via software (1 A ou 5 A)
•	Tensão Auxiliar de Alimentação: Ampla faixa (60 Vcc a 250 Vcc / 115 Vca a 230 Vca)
•	Portas de Comunicação (Porta B): Interface Ethernet Dupla (2x RJ45) para redundância de rede
•	Protocolo de Rede Nativo: IEC 61850 (Pronto para automação de subestações)
•	Entradas/Saídas Binárias: 7 Entradas Binárias (BI) + 8 Saídas a Relé (BO)
•	Tipo de Montagem: Embutido em painel (Flush mounting) com bornes de fixação traseiros
CONTEÚDO DA EMBALAGEM:
•	01 Relé Siemens SIPROTEC Compact 7SJ8041-5EB90-1FB1-Z
•	01 Relatório Original de Testes e Calibração de Fábrica (Aprovado / PASS)
•	Bornes e conectores originais plugáveis instalados na traseira
Ficha Técnica 
•	Marca: Siemens
•	Linha: SIPROTEC Compact
•	Modelo: 7SJ8041-5EB90-1FB1-Z</t>
  </si>
  <si>
    <t>8951889862241039</t>
  </si>
  <si>
    <t>MLB6855142168</t>
  </si>
  <si>
    <t>U4028500118</t>
  </si>
  <si>
    <t>SUP-001</t>
  </si>
  <si>
    <t>Supressor De Surto Multi-saídas Transtector Op8-20b Rln4924a</t>
  </si>
  <si>
    <t>Preto 120v</t>
  </si>
  <si>
    <t>Painel de Distribuição de Energia e Supressor de Surto Industrial Transtector OP8-20B (Padrão Motorola RLN4924A)
Garanta a máxima proteção para os seus equipamentos de TI, servidores, automação e telecomunicações com o renomado supressor de surto industrial Transtector OP8-20B. Este equipamento de alta especificação é projetado para atuar na defesa de infraestruturas críticas contra picos de tensão e descargas elétricas.
Diferente dos protetores comuns, ele utiliza a tecnologia patenteada SASD (Diodo Supressor de Avalanche de Silício), que oferece o tempo de resposta mais rápido do mercado e não se degrada com o uso.
ESPECIFICAÇÕES TÉCNICAS:
•	Marca: Transtector (Homologado Motorola)
•	Modelo: OP8-20B / RLN4924A
•	Tensão de Operação: 120V AC (Monofásico)
•	Capacidade de Corrente: 20A por circuito (Fusíveis individuais por tomada)
•	Número de Saídas: 8 tomadas padrão NEMA 5-20 (Padrão norte-americano de alta corrente)
•	Tecnologia de Proteção: Diodo de Avalanche de Silício (SASD) - Proteção contínua e sem degradação
•	Monitoramento: 8 LEDs indicadores no painel frontal para monitoramento individual de status de cada circuito
•	Formato: Pronto para montagem em rack (Acompanha o suporte metálico original de fixação em chassis/rack)
CONTEÚDO DA EMBALAGEM:
•	01 Bloco Supressor de Surto Transtector OP8-20B
•	01 Suporte metálico original para fixação/montagem
•	01 Manual Instalação</t>
  </si>
  <si>
    <t>Extensões, filtros de linhas e protetores eletrônicos</t>
  </si>
  <si>
    <t>3301238559627346</t>
  </si>
  <si>
    <t>MLB6857994838</t>
  </si>
  <si>
    <t>U4030125078</t>
  </si>
  <si>
    <t>Sensor De Visão Cognex In-sight Série 2000 Com Cabo I/o</t>
  </si>
  <si>
    <t>Sensor de Visão Industrial Cognex In-Sight Série 2000 + Cabo de Alimentação/I-O
Potencialize a automação e o controle de qualidade da sua linha de produção com o Sensor de Visão Cognex In-Sight 2000. Líder de mercado em confiabilidade, este dispositivo combina a simplicidade de um sensor com os recursos avançados da plataforma In-Sight.
Perfeito para inspeções de presença/ausência, validação de montagem, medições básicas e detecção de falhas em alta velocidade.
 DESTAQUES E VANTAGENS
•	Configuração Intuitiva: Interface simplificada através do software In-Sight Explorer.
•	Botões Integrados: Funções TRIG (disparo manual) e TUNE (ajuste automático de foco e iluminação) direto no corpo do aparelho.
•	Módulo Óptico Avançado: Iluminação integrada com lente de proteção azul para excelente contraste de imagem.
•	Feedback Visual Instantâneo: LEDs indicadores de status no painel (Pass/Fail, Rede, Sistema).
•	Pronto para Instalação: Acompanha o cabo industrial de alimentação e comunicação I/O com conector circular M12.
 ESPECIFICAÇÕES TÉCNICAS
•	Marca: Cognex
•	Linha: In-Sight
•	Série: 2000
•	Conectividade: Ethernet e portas de I/O discretas
•	Alimentação: 24VDC (via conector M12)
CONTEÚDO DA EMBALAGEM
•	01 Sensor de Visão Cognex In-Sight Série 2000
•	01 Cabo de Alimentação/Comunicação I/O M12 com pontas decapadas</t>
  </si>
  <si>
    <t>23</t>
  </si>
  <si>
    <t>0.56</t>
  </si>
  <si>
    <t>644815024774547</t>
  </si>
  <si>
    <t>MLB6927079858</t>
  </si>
  <si>
    <t>U4060751867</t>
  </si>
  <si>
    <t>Kit 5 Un - Relé Auxiliar Automotivo 12v 5 Pinos Qun Ying</t>
  </si>
  <si>
    <t>kIT 5 Unidades - Relé Auxiliar Automotivo Universal 12V 40A de 5 Pinos – Alta Qualidade e Durabilidade!
Precisa substituir o relé do seu veículo ou instalar um novo acessório elétrico com total segurança? O Relé Automotivo Qun Ying Q16-12VDC-B é a escolha ideal. Com capacidade de até 40 Amperes, ele garante excelente condutividade e proteção para o sistema elétrico do seu carro, moto ou caminhão leve.
Destaques do Produto:
•	Suporte de Fixação Integrado: Facilita a instalação física no cofre do motor ou painel.
•	Sistema Reversor de 5 Pinos: Possui saídas Normalmente Aberta (NA) e Normalmente Fechada (NF), oferecendo total versatilidade para esquemas elétricos.
•	Alta Capacidade: Suporta picos de corrente de até 40A em 14VDC.
Aplicações Comuns:
•	Instalação de faróis de milha, neblina ou barra de LED.
•	Sistemas de buzinas marítimas ou paquistanesas.
•	Adaptação de ventoinhas elétricas e bombas de combustível.
•	Bloqueadores, alarmes e som automotivo de alta potência.
Especificação dos Pinos (Diagrama na Carcaça):
•	Pinos 85 e 86: Comando / Bobina
•	Pino 30: Entrada Principal / Positivo
•	Pino 87: Saída Normalmente Aberta (NA)
•	Pino 87a: Saída Normalmente Fechada (NF)
Conteúdo da Embalagem:
•	01x Relé Auxiliar Automotivo 12V 40A 5 Pinos Q16-12VDC-B.</t>
  </si>
  <si>
    <t>8061206003661454</t>
  </si>
  <si>
    <t>MLB6929003688</t>
  </si>
  <si>
    <t>U4062718111</t>
  </si>
  <si>
    <t>PLA-001</t>
  </si>
  <si>
    <t>Placa Philips Integris Dffd 4522 108 2033 Cath Angio Lab</t>
  </si>
  <si>
    <t>PLACA ELETRÔNICA PHILIPS INTEGRIS DFFD – MÓDULO DE VÍDEO NOVO ( SEM USO)
Módulo eletrônico original de alta complexidade médica, absolutamente novo e nunca instalado, pertencente ao estoque sobressalente de engenharia hospitalar (New Old Stock). Item em perfeito estado de conservação física e funcional de fábrica, ideal para substituição imediata em sistemas de angiografia e laboratórios de cateterismo cardíaco Philips Integris e Allura.
Especificações Técnicas do Hardware:
•	Fabricante: Philips Medical Systems
•	Modelo / Código de Engenharia: DFFD / Família de peças 4522-108-2033x (WDM14 / WDM15)
•	Função Principal: Processamento, divisão e conversão digital-analógica de alta velocidade para imagens médicas de Raio-X.
•	Conectividade Frontal: 2 Canais de vídeo analógico RGB puros (VID-RD1/2, VID-GR1/2, VID-BL1/2) com conectores coaxiais SMB/SMC de alta frequência + painel de LEDs de diagnóstico (Status).
•	Interface Traseira: 3 Conectores de barramento padrão Eurocard (DIN 41612).
Componentes Premium de Fábrica:
•	02x CIs Gráficos RAMDAC Brooktree Bt458LPJ135 (135 MHz, paleta de cores 256x8).
•	07x Processadores cerâmicos proprietários Philips com tampas banhadas a ouro.
•	CIs e ASICs customizados Thomson / Thesys (TH 1044.1C, TH 1061.1C, TH 2023.1C).
•	Osciladores de cristal metálicos de alta precisão.
Ficha Técnica (Configuração no Mercado Livre)
•	Marca: Philips
•	Modelo: Integris DFFD (4522 108 2033)
•	Tipo de placa: Placa de Processamento de Vídeo Médico / Cath Angio Lab
•	Condição do item: Novo (Marque essa opção na configuração do anúncio para ter frete grátis facilitado e maior relevância nas buscas).
Condições e Observações do Item
•	Estética: Impecável. Placa com todas as trilhas brilhantes, contatos dourados sem desgaste de inserção e componentes íntegros de fábrica.
•	O produto será enviado muito bem protegido em embalagem apropriada contra descarga eletrostática (ESD) e impactos para garantir a integridade do circuito.
•	Situação de Teste: Por se tratar de um componente de reposição de estoque antigo que ficou armazenado, o item não passou por testes de bancada recentes. É vendido no estado visual impecável de fábrica em que se encontra ("As Is"). Ideal para engenharia clínica, técnicos ou hospitais que possuem o equipamento adequado para calibração e homologação do módulo.</t>
  </si>
  <si>
    <t>Produtos eletrônicos</t>
  </si>
  <si>
    <t>6970886205761937</t>
  </si>
  <si>
    <t>MLB6977610668</t>
  </si>
  <si>
    <t>U4101895845</t>
  </si>
  <si>
    <t>GE001</t>
  </si>
  <si>
    <t>Módulo De Entrada Ge Fanuc Ic694mdl645d Pacsystems Rx3i 24v</t>
  </si>
  <si>
    <t>Módulo de Entrada Digital GE Fanuc PACSystems RX3i 24VCC – 16 Pontos
PRODUTO NOVO, NA CAIXA ORIGINAL DE FÁBRICA!
Disponível para entrega imediata módulo de entrada discreta original GE Fanuc (atual Emerson), modelo IC694MDL645D. Item 100% novo, nunca utilizado, mantido em estoque sob condições controladas, preservando o lacre original de fábrica na embalagem.
Ideal para empresas, integradores e profissionais de manutenção industrial que buscam a máxima confiabilidade de um componente zero quilômetro para evitar paradas de máquina.
Especificações Técnicas Principais:
•	Código do Modelo: IC694MDL645D
•	Condição: Novo (Lacrado na caixa original)
•	Número de Entradas: 16 pontos de entrada discretos e isolados.
•	Tensão Nominal de Entrada: 24 VCC (Faixa de operação de 0 a 30VCC).
•	Lógica Flexível: Suporta conexões em lógica positiva (Sink) ou negativa (Source).
•	Sinalização Visual: 16 LEDs indicadores de status na parte frontal.
•	Manutenção Facilitada: Bloco de terminais removível via "Release Lever".
•	Compatibilidade: Instalação em qualquer slot de barramento universal do rack PACSystems RX3i.</t>
  </si>
  <si>
    <t>8020532300522320</t>
  </si>
  <si>
    <t>MLB6991816602</t>
  </si>
  <si>
    <t>U4116328741</t>
  </si>
  <si>
    <t>Cabo Expansão Backplane Ge Fanuc</t>
  </si>
  <si>
    <t>24v</t>
  </si>
  <si>
    <t>CABO DE EXPANSÃO DE ENERGIA E BARRAMENTO BACKPLANE GE FANUC ORIGINAL
Garanta a máxima confiabilidade e performance na expansão do seu sistema de automação! Este cabo industrial original GE Fanuc (atualmente Emerson) é a peça ideal para reposição ou ampliação de barramentos em Controladores Lógicos Programáveis (CLPs).
ESPECIFICAÇÕES TÉCNICAS:
•	Marca: GE Fanuc / Emerson
•	Modelo/Part Number: IC693CBL300B
•	Função: Cabo de expansão de barramento I/O e energia (Exp Backplane Cable)
•	Compatibilidade: Racks e módulos da Série 90-30
•	Conector: Tipo D-Sub DB-25 Fêmea com parafusos de fixação manual nas laterais
•	Comprimento Padrão: 1 Metro
CERTIFICAÇÕES DE GRAU INDUSTRIAL (GRAVADAS NO CABO):
•	Padrão de Fiação: UL AWM 2919 (Baixa capacitância, par trançado ideal para dados)
•	Resistência a Chamas: Certificação VW-1 (Material autoextinguível)
•	Limites de Operação: Suporta até 80°C de temperatura contínua e isolamento de 30V
•	Segurança Homologada: Certificações internacionais UL (Arquivo E300060) e CSA
APLICAÇÃO PRINCIPAL:
Desenvolvido para interconectar as portas de expansão da placa de base (Backplane principal da CPU) a racks de expansão remotos periféricos. Ele permite que o sistema gerencie uma quantidade maior de módulos de Entrada e Saída (I/O) mantendo a integridade dos sinais de comunicação e energia livres de interferência eletromagnética.
DIFERENCIAIS DO PRODUTO:
•	Construção Robusta: Blindagem reforçada contra ruídos elétricos comuns em chão de fábrica.
•	Conexão Firme: Parafusos integrados que eliminam riscos de mau contato gerados por vibrações mecânicas.</t>
  </si>
  <si>
    <t>MLB7038835132</t>
  </si>
  <si>
    <t>Crossover Ativo Booster Bc-82 4 Vias E 8 Canais Para Som Automotivo 12v</t>
  </si>
  <si>
    <t>MARCA  
Booster  
MODELO  
BC-82  
COR  
Prata  
CANAIS  
8 canais de saída (4 estéreo)  
SINAL/RUÍDO  
&gt; 90 dB  
RESPOSTA DE FREQUÊNCIA  
20Hz - 30kHz  
CARACTERÍSTICAS  
Crossover de 4 vias - Com filtros High-pass ajustável com seletor de fase, do subwoofer com seletor para modo estéreo ou mono - Bass Boost variável - Integra controle de ganho para todos os canais  
LED  
Integrado, indica o estado de funcionamento  
ALIMENTAÇÃO  
DC 12 ~ 16 V  
PESO BRUTO (g)  
1035  
DIMENSÕES DA EMBALAGEM (cm)  
25.3 x 7 x 22.9  
INCLUI  
Parafusos - Manual</t>
  </si>
  <si>
    <t>6623528989129232</t>
  </si>
  <si>
    <t>MLB7069732132</t>
  </si>
  <si>
    <t>U4195821888</t>
  </si>
  <si>
    <t>Vela De Ignição Original Bmw 12120047375 Bosch Zr5spp3320</t>
  </si>
  <si>
    <t>Vela de Ignição Original BMW Group — Peça Nova e Genuína
Se o seu BMW ou MINI está falhando, consumindo mais combustível ou perdeu a potência original, a substituição das velas de ignição é fundamental. Esta é a peça exata instalada na linha de montagem da fábrica, garantindo máxima eficiência energética, queima perfeita do combustível e proteção para as bobinas de ignição.
DADOS DO PRODUTO:
•	Marca: BMW Group (Fabricado por Bosch)
•	Código Original BMW: 12 12 0 047 375 (12120047375)
•	Código Técnico Bosch: ZR5SPP3320 / 0242145555
•	Material do Eletrodo: Platina / Irídio de alta durabilidade
•	Origem: Importado (Made in Germany)
•	Condição: Novo, na embalagem original lacrada
COMPATIBILIDADE (Motores B38, B48 e B58 Turbo):
BMW Série 3:
•	320i / 330i (G20) — Anos 2019 em diante
BMW X1 / X2 / X3 / X4:
•	X1 2.0 Turbo (F48) — Anos 2016 em diante
•	X2 2.0 Turbo (F39) — Anos 2018 em diante
•	X3 / X4 2.0 e 3.0 Turbo (G01 / G02)
MINI Cooper:
ESPECIFICAÇÃO DE INSTALAÇÃO:
•	Medida da Rosca: M12
•	Torque de Aperto Recomendado de Fábrica: 23 Nm (Instalar sempre com o motor totalmente frio e com o auxílio de um torquímetro para garantir a vedação perfeita e evitar danos ao cabeçote).
CONTEÚDO DA EMBALAGEM:
•	01 Vela de Ignição Original BMW Group.</t>
  </si>
  <si>
    <t>7314215929896592</t>
  </si>
  <si>
    <t>MLB7069935350</t>
  </si>
  <si>
    <t>U4177605073</t>
  </si>
  <si>
    <t>Filtro De Óleo Original Bmw 320i 328i X1 X3 N20  Hu816x</t>
  </si>
  <si>
    <t>7228675873343247</t>
  </si>
  <si>
    <t>MLB7118846522</t>
  </si>
  <si>
    <t>U4256007630</t>
  </si>
  <si>
    <t>SCA-001</t>
  </si>
  <si>
    <t>Scanner Automotivo Texa Axone Nemo Mini Completo</t>
  </si>
  <si>
    <t>SCANNER AUTOMOTIVO PROFISSIONAL TEXA AXONE NEMO MINI - COMPLETO NA CAIXA ORIGINAL
Se você procura um equipamento de diagnóstico automotivo de altíssimo nível, robusto e com padrão internacional, esta é a oportunidade perfeita para a sua oficina. O TEXA Axone Nemo Mini é uma das ferramentas mais respeitadas do mercado mundial, construída sob padrões militares para aguentar o dia a dia pesado da oficina.
Aparelho original, homologado pela ANATEL (Selo de conformidade: 15079-21-10057), fabricado pela Texa S.p.A. na Itália.
O QUE ESTÁ INCLUSO NO KIT 
•	1x Tablet Diagnosticador AXONE NEMO MINI (Com carcaça emborrachada antichoque)
•	1x Caneta Touchscreen (Stylus) original para navegação precisa
•	1x Fonte de Alimentação / Carregador 12V 2A original
•	4x Adaptadores de Tomada Intercambiáveis (Padrões internacionais e nacional)
•	1x Cabo Adaptador USB-C
•	1x Módulo USB / Pendrive de licenciamento/instalação original TEXA
•	1x Cabo USB Principal (Ainda lacrado na embalagem plástica)
•	1x Manual do Usuário Original em português
•	Caixa Original do Produto com berço protetor
•	Construção Ultra-Resistente: Proteção reforçada contra quedas, poeira, água e fluidos de oficina.
•	Câmera Integrada de 5MP: Ideal para leitura de QR Codes de peças e anexar fotos direto nas Ordens de Serviço.
•	Conectividade Lateral: Portas USB 3.0 de alta velocidade e USB-C para comunicação rápida.
•	Número de Série Visível: SN: TE1123NW110208 (Garantia de procedência para consulta e transferência junto à Texa).
FICHA TÉCNICA 
•	Marca: TEXA
•	Modelo: AXONE NEMO MINI
•	Origem: Itália
•	Homologação ANATEL: 15079-21-10057
•	Alimentação: 12V  2A</t>
  </si>
  <si>
    <t>Scanners para veículos</t>
  </si>
  <si>
    <t>3790956563340882</t>
  </si>
  <si>
    <t>MLB7125389432</t>
  </si>
  <si>
    <t>U4243566455</t>
  </si>
  <si>
    <t>FRE-001</t>
  </si>
  <si>
    <t>Jogo Pastilha Freio Original Land Rover Dianteira Lr110409</t>
  </si>
  <si>
    <t>Jogo de Pastilhas de Freio Dianteiras Originais Jaguar Land Rover (JLR)
Garanta a máxima segurança, frenagem precisa e o perfeito desempenho de fábrica para o seu veículo premium. Este jogo de pastilhas é um produto genuíno Land Rover, fabricado na Itália e sob medida para sistemas de freio de alta performance.
APLICAÇÃO E COMPATIBILIDADE DETALHADA
Este kit com o código LR110409 é exclusivo para os SUVs de grande porte da marca. Ele substitui com total compatibilidade os códigos de fábrica antigos e equivalentes: LR091515, LR138646 e LR162044.
Compatível com:
•	Land Rover Discovery 5 (Motores 3.0 V6 Diesel / Gasolina e 3.0 MHEV – Anos 2017 a 2026)
•	Range Rover Sport (Geração L494 – Motores 2.0 PHEV Híbrido, 3.0 V6 Diesel/Gasolina e 5.0 V8 Supercharged – Anos 2014 a 2022)
•	Range Rover Vogue / Full Size (Geração L405 – Motores 3.0 V6, 4.4 V8 Diesel e 5.0 V8 – Anos 2013 a 2022)
•	Nova Land Rover Defender 90 / 110 / 130 (Geração L663 – Motores D300 Diesel e P300/P400 Gasolina – Anos 2020 a 2026)
ATENÇÃO ANTES DE COMPRAR: Este produto NÃO SERVE no Range Rover Evoque, Land Rover Discovery Sport ou Freelander. Em caso de dúvidas, informe o chassi do seu veículo (VIN) no campo de perguntas abaixo para que nossa equipe confirme a compatibilidade exata!
FICHA TÉCNICA 
•	Marca: Land Rover / Jaguar (Genuine Parts)
•	Modelo: Original OEM
•	Número de peça: LR110409
•	Código FMSI: 8936-D1615
•	Origem: Itália (Made in Italy)
•	Posição: Dianteira (Eixo Dianteiro Completo)
•	Quantidade de pastilhas: 4
•	Material: Semimetálica Premium OEM
CONTEÚDO DA EMBALAGEM
•	02 Pastilhas de Freio Dianteiras Internas (Inner) – Inclui o suporte superior para o sensor de desgaste elétrico.
•	02 Pastilhas de Freio Dianteiras Externas (Outer)
(Não acompanha o sensor elétrico).</t>
  </si>
  <si>
    <t>Pastilhas de freio para carros e caminhonetes</t>
  </si>
  <si>
    <t>6140176401570193</t>
  </si>
  <si>
    <t>MLB7169567334</t>
  </si>
  <si>
    <t>U4304924281</t>
  </si>
  <si>
    <t>POl-001</t>
  </si>
  <si>
    <t>Polia Comando Escape Mercedesc180 C200 C250 E250 A2710501500</t>
  </si>
  <si>
    <t>Polia Variável do Comando de Válvulas de Escape Original Mercedes-Benz
Peça genuína Mercedes-Benz, essencial para o perfeito sincronismo do sistema VVT (Variable Valve Timing) do motor. Garanta o desempenho original, o consumo correto de combustível e evite falhas de leitura nos sensores do seu motor CGI.
Ficha Técnica 
•	Número de peça: A2710501500
•	Marca: Mercedes-Benz (Original)
•	Tipo de veículo: Carro/Camioneta
•	Lado: Escape (Exhaust / Auslass)
•	Quantidade de dentes: 40
•	Origem: Alemanha
 COMPATIBILIDADE:
•	Classe C: C180 / C200 / C250 (Anos 2009 a 2014 - Geração W204)
•	Classe E: E200 / E250 (Anos 2009 a 2015 - Geração W212 / C207)
•	Classe SLK: SLK200 / SLK250 (Anos 2011 a 2015 - Geração R172)
INFORMAÇÕES IMPORTANTES:
•	Posição: Esta polia é exclusiva para o lado de ESCAPE. Não serve no lado de admissão.</t>
  </si>
  <si>
    <t>Engrenagens de árvore de comando de válvulas para veículos</t>
  </si>
  <si>
    <t>5505136065076560</t>
  </si>
  <si>
    <t>MLB7217017366</t>
  </si>
  <si>
    <t>U4390780178</t>
  </si>
  <si>
    <t>CAM-002</t>
  </si>
  <si>
    <t>Câmara De Ar Trantek 3.00-19 Dianteira Bros Crosser Xre 190</t>
  </si>
  <si>
    <t>Garanta mais segurança em suas viagens e no trajeto do dia a dia com a Câmara de Ar Trantek. Desenvolvida em borracha de alta qualidade, ela oferece excelente retenção de pressão, elasticidade uniforme e máxima durabilidade para enfrentar o asfalto ou estradas de terra.
CARACTERÍSTICAS DO PRODUTO:
•	Marca: Trantek (Linha Special Quality).
•	Medida: 3.00-19 (Compatível também com a medida 90/90-19).
•	Posição: Pneu Dianteiro.
•	Válvula: Tipo Schrader (Bico de aço comum).
•	Qualidade: Borracha resistente que mantém a calibragem por muito mais tempo.
Ficha Técnica 
•	Marca: Trantek
•	Modelo: Motorcycle Tube Special Quality
•	Código universal do produto: (Deixe em branco ou selecione "Não se aplica")
•	Diâmetro da roda (Aro): 19"
•	Largura do pneu compatível: 3.00 polegadas (Equivalente a 90/90-19)
•	Tipo de válvula: Schrader (Bico grosso comum / TR4)
 COMPATIBILIDADE (PNEU DIANTEIRO ARO 19):
CÂMARA DE AR MOTO TRANTEK 3.00-19 DIANTEIRA – ALTA PERFORMANCE E RESISTÊNCIA
•	Honda: NXR 125 Bros / NXR 150 Bros / NXR 160 Bros (Todos os anos)
•	Honda: XRE 190 (Todos os anos)
•	Yamaha: XTZ 150 Crosser (Todos os anos)
•	Yamaha: XT 225
•	Shineray: Explorer 150 / XY 150 GY
CONTEÚDO DA EMBALAGEM:
•	01 Câmara de Ar Trantek 3.00-19 dianteira original lacrada.</t>
  </si>
  <si>
    <t>4614414940381777</t>
  </si>
  <si>
    <t>MLB7226893600</t>
  </si>
  <si>
    <t>U4380572015</t>
  </si>
  <si>
    <t>FRE-002</t>
  </si>
  <si>
    <t>Pastilha Freio Dianteira Original Land Rover Evoque Lr064687</t>
  </si>
  <si>
    <t>JOGO DE PASTILHAS DE FREIO DIANTEIRO ORIGINAL JAGUAR LAND ROVER
Evite ruídos, falta de eficiência e desgaste prematuro dos seus discos utilizando componentes genuínos. Este jogo de pastilhas é rigorosamente o mesmo instalado na linha de montagem do veículo, desenvolvido em parceria com a renomada fabricante italiana ATE.
Ficha Técnica do Produto
•	Marca: Jaguar Land Rover Genuína (Fabricado por ATE na Itália)
•	Número de peça: LR064687
•	Códigos de engenharia equivalentes: Gx73-2K021-CB / BJ32-2K021-AB
•	Posição: Dianteira
•	Material: Semimetálico / Cerâmica Premium (Original de Fábrica)
•	Quantidade de pastilhas: 4 peças (Jogo completo para as duas rodas dianteiras)
COMPATIBILIDADE DE APLICAÇÃO:
•	Range Rover Evoque — (Verificar ano e motorização)
•	Discovery Sport — (Verificar ano e motorização)
JAGUAR:
•	Jaguar XE
•	Jaguar XF
•	Jaguar I-Pace
INFORMAÇÕES TÉCNICAS DA PEÇA 
•	Selo de Homologação Europeia: E11 (ECE R90)
•	Código do Composto de Fricção: GA8135H FG (Excelente estabilidade térmica)
•	Origem: Fabricado na Itália (Italy)</t>
  </si>
  <si>
    <t>2889445967750674</t>
  </si>
  <si>
    <t>MLB7274770068</t>
  </si>
  <si>
    <t>U4460334919</t>
  </si>
  <si>
    <t>REP-004</t>
  </si>
  <si>
    <t>Kit Reparo Shock Traseiro Fox Ctd Boost Valve 803-00-816</t>
  </si>
  <si>
    <t>Kit de Reparo e Vedação Original Fox Factory (Código: 803-00-816)
Garanta o funcionamento perfeito e o rendimento máximo do amortecedor traseiro da sua mountain bike com este kit de reconstrução hidráulica original Fox Racing Shox.
Ideal para eliminar vazamentos de óleo/ar e restaurar a sensibilidade original da sua suspensão traseira.
Ficha Técnica 
•	Marca: Fox Factory / Fox Racing Shox
•	Número de peça (Part Number): 803-00-816
•	Modelo: FTW 1111668 A-G (Seal Kit: CTD Boost Valve and Dish Shock Rebuild)
•	Origem: Taiwan
•	Condição do item: Novo
 Descrição do Produto
Kit de Reparo e Vedação Original Fox Factory (Código: 803-00-816)
Garanta o funcionamento perfeito e o rendimento máximo do amortecedor traseiro da sua mountain bike com este kit de reconstrução hidráulica original Fox Racing Shox.
Ideal para eliminar vazamentos de óleo/ar e restaurar a sensibilidade original da sua suspensão traseira.
 COMPATIBILIDADE ESPECÍFICA:
•	Desenvolvido exclusivamente para amortecedores traseiros Fox equipados com tecnologia CTD (Climb, Trail, Descend).
•	Compatível com sistemas hidráulicos internos de padrão Boost Valve e Dish.
 CONTEÚDO DA EMBALAGEM:
•	1x Embalagem original lacrada Fox Factory contendo o jogo completo de o-rings, vedações e retentores internos necessários para a reconstrução do circuito hidráulico (Shock Rebuild).</t>
  </si>
  <si>
    <t>MLB5525465962</t>
  </si>
  <si>
    <t>O Tapete Colchonete Gelado da CassPet é a solução perfeita para manter seu pet confortável e fresco em dias quentes. Com um tamanho médio de 44x60,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t>
  </si>
  <si>
    <t>Inativo</t>
  </si>
  <si>
    <t>MLB3799796865</t>
  </si>
  <si>
    <t>Copo 700ml Com Tampa E Canudo Frases Motivacionais E Amor</t>
  </si>
  <si>
    <t>9396</t>
  </si>
  <si>
    <t>É um encanto funcional. 
Acompanhado de tampa e canudo, torna a experiência de saborear suas bebidas ainda mais especial. Super versátil, seja em casa, no trabalho ou em passeios, este copo é a combinação perfeita de estilo e praticidade. 
Desfrute cada gole coma magia dos desejos, enquanto a tampa e o canudo garantem conveniência e estilo em cada momento. 
Transforme seu ritual de bebida em uma celebração diária.
Estampas variáveis, envio é feito de acordo com a estampa em estoque.</t>
  </si>
  <si>
    <t>Copos e taças</t>
  </si>
  <si>
    <t>181241000896</t>
  </si>
  <si>
    <t>LEG056</t>
  </si>
  <si>
    <t>Azul-aço</t>
  </si>
  <si>
    <t>181241000898</t>
  </si>
  <si>
    <t>LEG063</t>
  </si>
  <si>
    <t>Azul-claro</t>
  </si>
  <si>
    <t>181241000900</t>
  </si>
  <si>
    <t>LEG065</t>
  </si>
  <si>
    <t>Azul-escuro</t>
  </si>
  <si>
    <t>181241000902</t>
  </si>
  <si>
    <t>LEG061</t>
  </si>
  <si>
    <t>Bege</t>
  </si>
  <si>
    <t>181241000904</t>
  </si>
  <si>
    <t>181241000906</t>
  </si>
  <si>
    <t>LEG060</t>
  </si>
  <si>
    <t>Rosa</t>
  </si>
  <si>
    <t>181241000908</t>
  </si>
  <si>
    <t>LEG064</t>
  </si>
  <si>
    <t>181241000910</t>
  </si>
  <si>
    <t>LEG058</t>
  </si>
  <si>
    <t>Lilás</t>
  </si>
  <si>
    <t>181241000912</t>
  </si>
  <si>
    <t>LEG062</t>
  </si>
  <si>
    <t>Bordô</t>
  </si>
  <si>
    <t>181241000914</t>
  </si>
  <si>
    <t>LEG051</t>
  </si>
  <si>
    <t>Verde-escuro</t>
  </si>
  <si>
    <t>181241000916</t>
  </si>
  <si>
    <t>LEG057</t>
  </si>
  <si>
    <t>Cinza-escuro</t>
  </si>
  <si>
    <t>181241000918</t>
  </si>
  <si>
    <t>LEG050</t>
  </si>
  <si>
    <t>Brilho Prata Tampa Transp</t>
  </si>
  <si>
    <t>181241000920</t>
  </si>
  <si>
    <t>LEG047</t>
  </si>
  <si>
    <t>Brilho Durado Tampa Transp</t>
  </si>
  <si>
    <t>181241000922</t>
  </si>
  <si>
    <t>LEG049</t>
  </si>
  <si>
    <t>Brilho Prata Tampa Rosa</t>
  </si>
  <si>
    <t>181241000924</t>
  </si>
  <si>
    <t>LEG046</t>
  </si>
  <si>
    <t>Brilho Prata Tampa Azul</t>
  </si>
  <si>
    <t>MLB3284866585</t>
  </si>
  <si>
    <t xml:space="preserve">Macacão Dainese Couro Laguna Seca 4 1 Peça Tam 52 Vermelho </t>
  </si>
  <si>
    <t>0</t>
  </si>
  <si>
    <t>Descrição
DISPONIVEL PARA ENTREGA IMEDIATA
Uma atualização tecnológica de um ícone de corrida que se sente em casa na estrada, com versões dedicadas para homens e mulheres. Couro bovino Tutu resistente com zonas de resfriamento perfuradas (somente versões perfuradas). Uma corcunda aerodinâmica com bexiga de hidratação integrada. Microelastic 2.0 e tecnologia triaxial para flexibilidade e conforto de reação rápida. Proteção de última geração do MotoGP com ombros sem costura de alumínio e controles deslizantes de cotovelo RSS 2.0. Além disso, é claro, proteção de nível 2 por toda parte. MotoGP evoluiu para a vida na pista rápida.</t>
  </si>
  <si>
    <t>Macacões para motociclistas</t>
  </si>
  <si>
    <t>177387128266</t>
  </si>
  <si>
    <t>177387128268</t>
  </si>
  <si>
    <t>1112851913963664</t>
  </si>
  <si>
    <t>MLB6928075566</t>
  </si>
  <si>
    <t>U4076626068</t>
  </si>
  <si>
    <t>Cabeçote De Câmera Stryker 1188 Hd(apenas O Cabeçote E Cabo)</t>
  </si>
  <si>
    <t>Usado</t>
  </si>
  <si>
    <t>Cabeçote de câmera cirúrgica Stryker 1188 HD original, no estado em que se encontra nas fotos do anúncio. Equipamento ideal para reposição em clínicas, hospitais ou para empresas de engenharia clínica e manutenção hospitalar.
ATENÇÃO: LEIA ANTES DE COMPRAR
•	NÃO ACOMPANHA O ACOPLADOR ÓPTICO (LENTE): O produto é vendido exatamente como na foto, sem a lente de foco/encaixe da ótica rígida.
•	ESTADO ESTÉTICO: Item usado, apresentando marcas normais de manuseio e desgastes estéticos na carcaça cinza que não afetam a integridade estrutural do cabo.
•	CONECTOR PROTEGIDO: Acompanha a tampa protetora (soaking cap) preta original do conector de 19 pinos. Os pinos internos de contato estão limpos e sem oxidação.
Especificações Técnicas Principais:
•	Resolução nativa de Alta Definição (HD) com escaneamento progressivo.
•	Tecnologia de sensor 3-Chip CCD para máxima fidelidade de cores anatômicas.
•	Botões programáveis diretamente no corpo da câmera para controle cirúrgico.
•	Cabo selado e emborrachado integrado de alta resistência.</t>
  </si>
  <si>
    <t>15</t>
  </si>
  <si>
    <t>1.68</t>
  </si>
  <si>
    <t>MLB3798465039</t>
  </si>
  <si>
    <t>Mini Galão De Água 500ml</t>
  </si>
  <si>
    <t>4644</t>
  </si>
  <si>
    <t>Esta garrafa de 1,5L é perfeita para o uso diário, seja na academia, durante os treinos de crossfit, corrida, aulas de ginástica ou até mesmo para aumentar a ingestão de água em casa. O produto contém um mini galão, oferecendo praticidade e estilo para o seu dia a dia.
Com medidas de 14cm x 12cm, é fácil de transportar e manusear.
Um material resistente e de qualidade, a garrafa é livre de BPA, garantindo a sua saúde e bem-estar. A tampa inox de rosca proporciona um fechamento seguro, evitando vazamentos.
O modelo Mini Galão de Água 1,5L é ideal para sucos, refrigerantes, refrescos, chás e shakes, sendo uma ótima opção para os dias de calor, para matar a sede durante uma caminhada, corrida, maratona, olimpíada, academia, parque, ou até mesmo na piscina, praia, clube ou resort.
Com uma alça integrada, a garrafa é fácil de carregar, tornando-a a escolha perfeita para quem busca uma opção prática e saudável para se manter hidratado. 
Aviso legal
• Livre de BPA.</t>
  </si>
  <si>
    <t>Garrafinhas esportivas e de bazar</t>
  </si>
  <si>
    <t>181230788888</t>
  </si>
  <si>
    <t>LEG073</t>
  </si>
  <si>
    <t>181230788890</t>
  </si>
  <si>
    <t>LEG071</t>
  </si>
  <si>
    <t>Rosa-chiclete</t>
  </si>
  <si>
    <t>181230788892</t>
  </si>
  <si>
    <t>LEG072</t>
  </si>
  <si>
    <t>MLB3799099399</t>
  </si>
  <si>
    <t>Garrafa Plástica 450ml, Tampa Com Branco, Emborrachado</t>
  </si>
  <si>
    <t>3000</t>
  </si>
  <si>
    <t>183986408871</t>
  </si>
  <si>
    <t>LEG088</t>
  </si>
  <si>
    <t>183986408873</t>
  </si>
  <si>
    <t>LEG086</t>
  </si>
  <si>
    <t>183986408875</t>
  </si>
  <si>
    <t>LEG087</t>
  </si>
  <si>
    <t>MLB4960140308</t>
  </si>
  <si>
    <t>Squeeze De Plástico 450ml</t>
  </si>
  <si>
    <t>5280</t>
  </si>
  <si>
    <t>183973114167</t>
  </si>
  <si>
    <t>LEG084</t>
  </si>
  <si>
    <t>Azul-celeste</t>
  </si>
  <si>
    <t>183973114169</t>
  </si>
  <si>
    <t>LEG085</t>
  </si>
  <si>
    <t>MLB4961315314</t>
  </si>
  <si>
    <t>Moringa Plástica Com Copo 550ml - Sem Estampa</t>
  </si>
  <si>
    <t>8880</t>
  </si>
  <si>
    <t>181238563082</t>
  </si>
  <si>
    <t>LEG078</t>
  </si>
  <si>
    <t>181238563084</t>
  </si>
  <si>
    <t>LEG077</t>
  </si>
  <si>
    <t>181238563086</t>
  </si>
  <si>
    <t>LEG079</t>
  </si>
  <si>
    <t>181238563088</t>
  </si>
  <si>
    <t>LEG080</t>
  </si>
  <si>
    <t>MLB4962429442</t>
  </si>
  <si>
    <t>2880</t>
  </si>
  <si>
    <t>183990979499</t>
  </si>
  <si>
    <t>LEG081</t>
  </si>
  <si>
    <t>183990979501</t>
  </si>
  <si>
    <t>LEG082</t>
  </si>
  <si>
    <t>2374949132892182</t>
  </si>
  <si>
    <t>MLB4421451299</t>
  </si>
  <si>
    <t>U3735384516</t>
  </si>
  <si>
    <t>CIN-002</t>
  </si>
  <si>
    <t>Kit 5 Cores Cintos Nylon Masculino Tático Lona Militar Liso</t>
  </si>
  <si>
    <t>KIT 5 Cores (PRETO, MARROM, DOURADO, VERDE E PRATA)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125cm de comprimento
Material: Nylon
Material Fivéla: Plástico
Casos de Uso:
Calças Jeans
Calças Sociais
Shorts Mascuinos
Calças Sociais</t>
  </si>
  <si>
    <t>801421059534623</t>
  </si>
  <si>
    <t>MLB4291727417</t>
  </si>
  <si>
    <t>U3539609359</t>
  </si>
  <si>
    <t>TEC001</t>
  </si>
  <si>
    <t>Mini Teclado Wireless Touchpad Tv Box Xbox 360 Ps3</t>
  </si>
  <si>
    <t>PRATICIDADE E ECONOMIA DE BATERIA
Tenha o controle total dos seus dispositivos com o máximo de eficiência energética. Este Mini Teclado Wireless foi projetado para quem busca funcionalidade sem distrações visuais. Sem a iluminação de fundo, ele garante uma duração de bateria muito superior, sendo ideal para uso contínuo em TV Box, Smart TVs e computadores.
PRINCIPAIS BENEFÍCIOS
Bateria de Longa Duração: Por não possuir iluminação LED (backlight), o consumo de energia é drasticamente reduzido, permitindo dias ou semanas de uso com uma única carga.
Design Discreto: Acabamento preto fosco que não emite luzes incômodas em ambientes escuros, perfeito para quem gosta de assistir filmes no quarto sem claridade extra.
Função 2 em 1: Integra teclado QWERTY completo e touchpad sensível, dispensando o uso de mouse e teclado grandes no sofá.
Conexão Estável: Tecnologia wireless 2.4GHz com alcance de até 10 metros, sem fios espalhados pela sala.
Ergonomia: Formato anatômico que se encaixa perfeitamente nas mãos para digitação confortável.
COMPATIBILIDADE
Sistema Plug and Play (conecte e use), compatível com dispositivos que possuem porta USB padrão:
TV Box: MXQ, MX9, TX3, TX9 e diversos modelos Android.
Consoles: Xbox 360, Xbox One, PS3, PS4 (navegação em menus e web).
Computadores e Notebooks: Windows, Linux, Mac OS.
Smart TVs: Compatível com modelos que aceitam teclado/mouse USB comum (verifique o manual da sua TV).
Outros: Raspberry Pi, Projetores e Tablets (com adaptador OTG, não incluso).
ESPECIFICAÇÕES TÉCNICAS
Conexão: Wireless 2.4GHz (via receptor USB Nano).
Distância de Operação: Até 10 metros sem barreiras.
Layout: QWERTY (padrão universal).
Touchpad: Alta sensibilidade com suporte a gestos e barra de rolagem lateral.
Iluminação: Não possui (modelo Standard sem LED).
Alimentação: Bateria de Lítio Recarregável (inclusa).
Tensão de Operação: 3.3V.
Dimensões: 14,7 x 9,7 x 1,9 cm.
Peso: 110g.
Material: Plástico ABS de alta resistência.
ITENS INCLUSOS NA EMBALAGEM
1x Mini Teclado Wireless Touchpad (Modelo Sem LED)
1x Bateria de Lítio Recarregável
1x Receptor Wireless USB (armazenado dentro do compartimento da bateria)
1x Cabo USB (Micro USB) para carregamento
1x Manual de Instruções</t>
  </si>
  <si>
    <t>Kits de teclado e mouse</t>
  </si>
  <si>
    <t>8412554860019152</t>
  </si>
  <si>
    <t>MLB6945527750</t>
  </si>
  <si>
    <t>U4074864285</t>
  </si>
  <si>
    <t>Kit 4 Cores-cintos Nylon Tático Militar Listras-pt/az/pr/mr</t>
  </si>
  <si>
    <t>Sortido Listras 125</t>
  </si>
  <si>
    <t>KIT 4 Cores (PRETO, AZUL, PRATA E MARROM)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na cor,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125cm de comprimento
Material: Nylon
Material Fivéla: Plástico
Bordado: Listras / Costura
Casos de Uso:
Calças Jeans
Calças Sociais
Shorts Mascuinos
Calças Sociais</t>
  </si>
  <si>
    <t>463411850586944</t>
  </si>
  <si>
    <t>MLB4120342807</t>
  </si>
  <si>
    <t>U3286322768</t>
  </si>
  <si>
    <t>SB0001</t>
  </si>
  <si>
    <t>Saco De Ancoragem Silobag Peso Para Fechar Silagem 10und</t>
  </si>
  <si>
    <t>Verde-musgo</t>
  </si>
  <si>
    <t>KIT 10 UNIDADES - SACO DE ANCORAGEM SILOBAG (GRAVEL BAG)
A SOLUÇÃO DEFINITIVA PARA VEDAÇÃO DE SILOS
Garanta a máxima qualidade da sua silagem substituindo o uso de pneus velhos e terra por uma solução profissional, higiênica e de alta durabilidade. O SiloBag (saco de cascalho) é projetado especificamente para pressionar e vedar lonas de silagem, garantindo a fermentação correta e evitando perdas.
PRINCIPAIS BENEFÍCIOS:
Higiene e Sanidade: Elimina o uso de pneus, que acumulam água e proliferam o mosquito da dengue e outras pragas.
Vedação Perfeita: Seu formato flexível acompanha as ondulações do silo, garantindo o fechamento hermético e impedindo a entrada de ar.
Praticidade: Reduz drasticamente a mão de obra no fechamento e abertura do silo. Fácil de manusear e transportar.
Durabilidade Superior: Fabricado em Nylon de alta resistência, possui vida útil estimada de até 10 anos (seguindo as recomendações de uso).
Orientação de Uso: Possui uma faixa amarela em um dos lados para orientar a rotação do produto e garantir o desgaste uniforme contra os raios UV.
CARACTERÍSTICAS TÉCNICAS:
Quantidade no Kit: 10 Unidades.
Comprimento: 1,20 metros.
Largura: 27 centímetros.
Material: Nylon reforçado (resistente a intempéries).
Cor: Verde-musgo (integra-se visualmente ao ambiente rural).
Sistema de Fechamento: Acompanha amarras/cordão para fechamento seguro após o preenchimento.
COMO UTILIZAR:
Preenchimento: O produto é enviado vazio. Deve ser preenchido com pedra de seixo (arredondada) ou areia grossa. Evite pedras pontiagudas para não danificar o tecido.
Posicionamento: Recomenda-se posicionar as bolsas transversalmente ao silo.
Espaçamento: Para melhores resultados, utilize fileiras com espaçamento médio de 5 metros entre elas, cobrindo todo o perímetro e a superfície.
Manutenção: Recomenda-se a rotação do bag a cada 3 meses (girar o lado exposto ao sol) para maximizar a longevidade do material.</t>
  </si>
  <si>
    <t>Sacos para silagens</t>
  </si>
  <si>
    <t>128699436979472</t>
  </si>
  <si>
    <t>MLB6843706178</t>
  </si>
  <si>
    <t>U4003258617</t>
  </si>
  <si>
    <t>Kit 5 Cores Cintos Nylon Masculino Lona Militar Listras</t>
  </si>
  <si>
    <t>KIT 5 Cores (PRETO, MARROM, DOURADO, VERDE E PRATA)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na cor,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125cm de comprimento
Material: Nylon
Material Fivéla: Plástico
Bordado: Listras
Casos de Uso:
Calças Jeans
Calças Sociais
Shorts Mascuinos
Calças Sociais</t>
  </si>
  <si>
    <t>2927038962211191</t>
  </si>
  <si>
    <t>MLB2649949977</t>
  </si>
  <si>
    <t>U602446808</t>
  </si>
  <si>
    <t>SE0001</t>
  </si>
  <si>
    <t>Bastão Segurança Retrátil Cassetete Defesa Pessoal</t>
  </si>
  <si>
    <t>BASTÃO RETRÁTIL DE AÇO PARA DEFESA PESSOAL
Alto poder de intimidação - Super resistente - Feito em Aço Cabo Revestido Anti-Deslizante
Seu uso é indicado para:
- Defesa pessoal
- Seguranças
- Treinos de artes marciais
Especificações:
- Material: Aço Carbono (Liga não especificada pelo fabricante)
- Basculante
- Cabo emborrachado
Dimensões aproximadas do produto (cm):
- Comprimento Fechado: 24 cm
- Comprimento Aberto: 63,5 cm
- Peso: 475gr
Benefícios:
- Material resistente
- Portátil e discreto
- Excelente empunhadura
Conteúdo da embalagem:
- 1 Bastão tático em aço carbono
- 1 bainha na cor preta</t>
  </si>
  <si>
    <t>Bastões retráteis de defesa pessoal</t>
  </si>
  <si>
    <t>5618579413774459</t>
  </si>
  <si>
    <t>MLB3608743677</t>
  </si>
  <si>
    <t>U1145634426</t>
  </si>
  <si>
    <t>KP001</t>
  </si>
  <si>
    <t>Kit Proteção Skate Patins Longboard Segurança Protection</t>
  </si>
  <si>
    <t>Usar protetores de cotovelo, joelheiras e protetores de punho é fundamental para a segurança e o bem-estar dos praticantes de esportes como skate, bike, patins e outros esportes afins, ajudando a prevenir lesões graves, promover a confiança e garantir a conformidade com regulamentos de segurança.
Especificação Técnica:
- Marca: Protection
- Cor: Preto
- Ajustável: Sim
Conteúdo da Embalagem:
- 01 Par de Cotoveleira
- 01 Par de Joelheira
- 01 Par de Protetor de Punho
#ProteçãoDePunho #SegurançaNosEsportes #JoelheiraProtetora #Cotoveleira #PrevençãoDeLesões #EsportesSeguros #ProteçãoArticular #SegurançaEmMovimento #EquipamentoDeSegurança #LesõesPrevenidas #ProtejaSeuCorpo #AtividadesAoArLivre #AventurasSeguras #ConfiançaNoEsporte #ProteçãoTotal #skateboard #bike #bikeprotecao #protecaoesporte #patinsseguranca</t>
  </si>
  <si>
    <t>Kits de equipamentos de proteção esportiva</t>
  </si>
  <si>
    <t>6196687394518544</t>
  </si>
  <si>
    <t>MLB5499639164</t>
  </si>
  <si>
    <t>U3294562219</t>
  </si>
  <si>
    <t>SE 0001</t>
  </si>
  <si>
    <t>Kit 2 Bastão Segurança Retrátil Cassetete Defesa Pessoal</t>
  </si>
  <si>
    <t>KIT 2 BASTÃO RETRÁTIL DE AÇO PARA DEFESA PESSOAL
Alto poder de intimidação - Super resistente - Feito em Aço Cabo Revestido Anti-Deslizante
Seu uso é indicado para:
- Defesa pessoal
- Seguranças
- Treinos de artes marciais
Especificações:
- Material: Aço Carbono (Liga não especificada pelo fabricante)
- Basculante
- Cabo emborrachado
Dimensões aproximadas do produto (cm):
- Comprimento Fechado: 24 cm
- Comprimento Aberto: 63,5 cm
- Peso: 475gr
Benefícios:
- Material resistente
- Portátil e discreto
- Excelente empunhadura
Conteúdo da embalagem:
- 1 Bastão tático em aço carbono
- 1 bainha na cor preta</t>
  </si>
  <si>
    <t>8366826034669113</t>
  </si>
  <si>
    <t>MLB4455025036</t>
  </si>
  <si>
    <t>U610282538</t>
  </si>
  <si>
    <t xml:space="preserve">Kit 2 Farol Aux Mini Quadrado Universal 9 Led 12/24v 27w </t>
  </si>
  <si>
    <t>DESCRIÇÃO:
O Farol LED 27 Watts possui iluminação de alto brilho e pode ser utilizado em veículos off road, caminhões, reboques, ambientes externos e internos etc.
Indicado para veículos 4×4, veículos normais, caminhões, ônibus, entre outros.
Em caso de uso em ambientes residenciais deve-se utilizar uma fonte 10 a 30v.
ESPECIFICAÇÃO:
- Formato: Quadrado
- Potência: 27W
- Á prova da água, poeira e de choque
- Voltagem: 10-30V DC
- Diâmetro: (L) 8CM (A) 1,5cm
- Peso: 127g ( cada )
- Proteção: IP67
- Alta intensidade LEDs
- Lúmens: 120LM/LED
- Cor: Preto
- Temperatura de Cor: 6000 - 6500K
- Material: Carcaça fundido de alumínio
- Material da Lente: PMMA
- Vida Útil: 30000h
ITENS INCLUSOS:
- 2x Faróis de Milha
- 4x Parafusos e Porcas
- 2x Suportes
#FarolDeMilhaLED #IluminaçãoPotente #MiniFarolLED #EstiloEficaz #VisibilidadeNoturna #BrilhoIntenso #SegurançaRodoviária #UpgradeIluminação #EconomiaDeEnergia #TecnologiaLED #EstiloCustomizado #EstradaIluminada #PerformanceLED #FarolDeMilha #LedFarol</t>
  </si>
  <si>
    <t>3044859944625537</t>
  </si>
  <si>
    <t>MLB3497208951</t>
  </si>
  <si>
    <t>U606935586</t>
  </si>
  <si>
    <t>Cone Retrátil Reflexivo Para Sinalização Com Led Deholog</t>
  </si>
  <si>
    <t>Descrição
Cones flexiveis e ou cones retráteis Reflexivos para transito (sistema telescopico), forças de segurança, caminhões de combustiveis e quimicos ou outro para estrada
Descrição do produto:
Cone com sistema telescópico de transito e segurança com luz de advertência de LED COM Abertura de 72 cm à prova de chuva e alta resistencia.
O cone de transito retratil é dobrável e se acondiciona em pequenos compartimentos, fácil de operar e fácil de transportar. O cone é feito de tecido de oxford reflexivo impermeável macio e equipado com cinto refletor de 150x100mm.
A parte superior é equipada com o led intermitente (Estilo pisca pisca) com freqüência de intermitencia de mais de 150 vezes/min, o Led e com força para atravessar nevoeiros, noites com chuva e outras interpéries.
Especificações:
Material: pano de oxford e base em borracha com placa PP
* Tamanho: 380*380*720mm,
* Peso cerca de 3.4kgs;
* Refletor: 2pcs, 150+100mm;
* Cor: vermelho, cinza, preto;
* Luz inferior: 1pc LED, estilo pisca pisca &amp; steady-on, alimentado por 2pcs pilhas AAA (pilhas não incluídas no produto e preço unitário);
* Sem luz de topo, apenas LED inferior
Tamanho: aprox.230x230x40mm/9.1x9.1x1.6 polegada
Garanta segurança e qualidade para sua equipe!</t>
  </si>
  <si>
    <t>MLB4313550791</t>
  </si>
  <si>
    <t>U3566846941</t>
  </si>
  <si>
    <t>UMI-002</t>
  </si>
  <si>
    <t>Nude 127/220v</t>
  </si>
  <si>
    <t>5216374854546994</t>
  </si>
  <si>
    <t>MLB4355668207</t>
  </si>
  <si>
    <t>U3662303211</t>
  </si>
  <si>
    <t>CIN-006</t>
  </si>
  <si>
    <t>Kit 3 Cintos Nylontático Militar Fivela -preto/verde/dourado</t>
  </si>
  <si>
    <t>Preto, Verde E Dourado 125cm</t>
  </si>
  <si>
    <t>kit 3 unidade
Cor: 1 preto, 1 verde, 1dourado - no mesmo kit.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t>
  </si>
  <si>
    <t>2797353419647285</t>
  </si>
  <si>
    <t>MLB4355666135</t>
  </si>
  <si>
    <t>U3662268725</t>
  </si>
  <si>
    <t>F0012</t>
  </si>
  <si>
    <t>Barra De Luz Automotivo Strobo 6 Leds Vermelho</t>
  </si>
  <si>
    <t>1 Unidade de Barra De Luz Automotivo Strobo 6 Leds Vermelha
Quantidade: 1 unidade.
Material: Aluminio + LED.
Medidas: 10.8x2,8cm.
DC12-24V.
6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</si>
  <si>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6491617459155925</t>
  </si>
  <si>
    <t>MLB5773189418</t>
  </si>
  <si>
    <t>U3476365032</t>
  </si>
  <si>
    <t>KF0012-1</t>
  </si>
  <si>
    <t>Kit 2 Barra De Luz Automotivo Strobo 6 Leds Vermelho</t>
  </si>
  <si>
    <t>Kit 2 unidades Barra De Luz Automotivo Strobo 4 Leds Vermelha
Quantidade: 2 unidade
Material: Aluminio + LED
Medidas: 10.8x2,8cm
DC12-24V
6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</si>
  <si>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3973344038133563</t>
  </si>
  <si>
    <t>MLB6080391758</t>
  </si>
  <si>
    <t>U3692743488</t>
  </si>
  <si>
    <t>SB001</t>
  </si>
  <si>
    <t>Saco de ancoragem SiloBag (gravel bag) é uma solução inovadora e eficiente para a vedação de silos. Esta bolsa resistente e flexível, com dimensões de 1,20 x 27 cm, é preenchida com pedra de seixo ou areia grossa. Projetada para substituir o uso convencional de terra e pneus na vedação de silos, ela se adapta perfeitamente às ondulações do silo, garantindo uma vedação eficaz.
Principais aplicações e benefícios do SiloBag:
• Substitui o uso de terra na lona de vedação do silo, oferecendo uma solução mais higiênica e eficiente.
• Contribui para a redução significativa da mão de obra necessária para a vedação do silo.
• Minimiza a contaminação da silagem por terra e microrganismos indesejados, preservando a qualidade do produto armazenado.
• Diminui a quantidade de resíduos, como pneus velhos, proporcionando um impacto ambiental positivo.
• Oferece uma durabilidade impressionante de até 10 anos, representando um excelente investimento a longo prazo.( necessária a rotacao do bag a cada 3 meses para garantir longevidade), o produto possui uma faixa amarela de um dos lados para orientacao do manuseio.
O kit à venda contém 10 unidades do SiloBag, proporcionando uma cobertura eficiente para o perímetro e superfície do silo. É recomendado posicionar as bolsas em fileiras com espaçamento de 5 metros, no sentido transversal do silo, para obter os melhores resultados. Utilizando o SiloBag, você garante uma vedação mais rápida, limpa e duradoura para seu silo.</t>
  </si>
  <si>
    <t>6814760048160441</t>
  </si>
  <si>
    <t>MLB4434127822</t>
  </si>
  <si>
    <t>U607798505</t>
  </si>
  <si>
    <t>LD 0011</t>
  </si>
  <si>
    <t>Par Barra Led Drl Formato L Farol Aux Carro 20cm Aut Fita</t>
  </si>
  <si>
    <t>5856315782387279</t>
  </si>
  <si>
    <t>MLB4435798462</t>
  </si>
  <si>
    <t>U610277880</t>
  </si>
  <si>
    <t>LD 0007</t>
  </si>
  <si>
    <t>Par Barra Led Drl Farol Aux Carro 17cm Aut Fita Flexível</t>
  </si>
  <si>
    <t>6141918793121878</t>
  </si>
  <si>
    <t>MLB4168251723</t>
  </si>
  <si>
    <t>U3374714388</t>
  </si>
  <si>
    <t>LMB001</t>
  </si>
  <si>
    <t>Lombada Portátil Dobrável 26 Módulos Base Pneu</t>
  </si>
  <si>
    <t>A Lombada Portátil foi desenvolvida pensando em praticidade e eficiência! Seu corpo é totalmente dobrável e estica em até 3 metros para te deixar preparado aonde for. Seu corpo é feito em plástico super resistente com 26 módulos individuais com tiras refletivas que brilham sinalizando pela noite e visíveis no dia, suportam veículos e pesos de até 20 toneladas por eixo.
Para facilitar ainda mais a sua utilização, a lombada possui uma alça ergonômica para e sua base emborrachada antiderrapante de pneu reciclado é ideal para ter mais fixação e segurança para o uso, além de resistente a impactos contínuos e é utilizado para situações temporárias como eventos, construções, reformas, desvios, alertas, usos policiais e táticos em acampamentos, treinos, Camping, trilhas e muito mais!
ESPECIFICAÇÕES DA LOMBADA
Dimensões da peça enrolada: 55cm de diâmetro e 25cm de largura
Dimensões da lombada: 300cm de comprimento x 25cm de largura x 4 cm de altura
Comprimento total quando esticado: 3 metros
Peso máximo suportado: 20 toneladas por eixo
Módulos: 26 eixos com tiras refletivas
Peso: 13,6 kg</t>
  </si>
  <si>
    <t>Triângulos de segurança</t>
  </si>
  <si>
    <t>989017718874006</t>
  </si>
  <si>
    <t>MLB4341370901</t>
  </si>
  <si>
    <t>U3652613978</t>
  </si>
  <si>
    <t>ESP-001</t>
  </si>
  <si>
    <t>Espelho Com Led E Ventilador Para Auto Maquiar Usb Com Zoom</t>
  </si>
  <si>
    <t>Material: Polipropileno e Componentes Eletrônicos.
- Alimentação: por cabo USB ou com 4 Pilhas AA 1.5v (Não incluso).
- Quantidade de LED: 40 LED.
- A Função Ventilador possui 3 Velocidades.
- Possui 2 tipos de espelho, o maior que tem a visão normal e o menor que tem um aumento de 5x para te ajudar naquele detalhe.
- Espelho com Botão Touch Screen na parte frontal para Ligar e Desligar as funções.
- Possui base removível
- O espelho possui um espaço na base para você deixar os seus produtos de maquiagem acolhidos enquanto os usam.
Conteúdo de cada embalagem:
1 - Espelho Visão normal.
1 - Mini Espelho Visão Aumentada 5x.
1 - Cabo USB
Dimensões:
- Diâmetro do Espelho maior de 20 cm
- Diâmetro do Espelho menor de 7,5 cm
- Altura total de 34 cm
- Largura da Base de 17 cm
- Peso 690g</t>
  </si>
  <si>
    <t>Espelhos</t>
  </si>
  <si>
    <t>214699081228050</t>
  </si>
  <si>
    <t>MLB4575765716</t>
  </si>
  <si>
    <t>U608441063</t>
  </si>
  <si>
    <t>U0043</t>
  </si>
  <si>
    <t>Termostato De Ar Condicionado Display Lcd Digital Touch</t>
  </si>
  <si>
    <t>220</t>
  </si>
  <si>
    <t>Especificações técnicas
Alimentação: 200-240V; 50-60Hz
Carga atual: 16A
Consumo energético: 0.3W
Material externo: PC + ABS (chama-retardador)
Detecção do elemento: NTC
Ajuste a temperatura. Intervalo: 5-60 Celsius
Piso Set Temp. Intervalo: 5-99 Celsius
Precisão/histerese: 0,5 Celsius
Dimensão: 86x86x45mm
Temp do armazenamento. : -5 - 55 graus Celsius
Certificado: CE/ROHS
Sistema telefônico do apoio: Sistema do iOS/sistema do androide
Sistema do aquecimento:Aplicado ao controle de temperatura do aparelho elétrico do aquecimento.Não aplicável a qualquer caldeira!
Controle do seu telefone:Monitore e controle seu aquecimento de qualquer lugar usando seu telefone.
Ajuda a economizar energia: Trabalhe de acordo com programação ou controle telefônico, economizando energia quando você sair.
Função Memória
Memorize todas as suas configurações após o desligamento repentino. Quando a energia estiver novamente, você não precisará redefini-la.
Função programável
Com função programável semanal. 5 + 2 ou 6 + 1 ou 7 dias programa é opcional.
Torna mais fácil controlar remotamente e agendar o conforto da sua casa.
Fácil instalação e conexão WiFi. Fácil de programar a partir da unidade ou com app.
Tela grande grama com retroiluminação preta, adequado para sua casa elegante.
Com 2 sensores e 3 modos de sensor (sensor interno, sensor externo, sensor interno e externo).
Passou a certificação CE e ROHS. Testado com os mais altos padrões do setor.
#TermostatoBeokWiFi #AquecimentoDePisoElétrico #ControleDeTemperatura #CasaInteligente #AutomaçãoResidencial #EficiênciaEnergética #ConfortoTérmico #ControleRemoto #EconomiaDeEnergia #SmartHome #AquecimentoResidencial #ClimatizaçãoInteligente</t>
  </si>
  <si>
    <t>Controladores de temperatura digitais</t>
  </si>
  <si>
    <t>4617129173641586</t>
  </si>
  <si>
    <t>MLB5540742842</t>
  </si>
  <si>
    <t>U3339280815</t>
  </si>
  <si>
    <t>PET008</t>
  </si>
  <si>
    <t>Tapete Colchonete Gelado Para Pets Cães Cachorro 50x40</t>
  </si>
  <si>
    <t>O Tapete Colchonete Gelado da CassPet é a solução perfeita para manter seu pet confortável e fresco em dias quentes. Com um tamanho médio de 50x40,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50X40: COMPRIMENTO:50CM LARGURA:40CM ALTURA: 3CM</t>
  </si>
  <si>
    <t>8023600551219527</t>
  </si>
  <si>
    <t>MLB5613227820</t>
  </si>
  <si>
    <t>U3371486599</t>
  </si>
  <si>
    <t>FIT001</t>
  </si>
  <si>
    <t>Kit 5 Fita Zebrada Amarelo E Preto 70mm X 200m Isolamento</t>
  </si>
  <si>
    <t>Listras</t>
  </si>
  <si>
    <t>A fita zebrada para isolamento de área Plastcor é uma fita plástica sem adesivo, com design em amarelo e preto. Este produto é ideal para demarcar e isolar áreas de forma eficiente e segura. O rolo vem com 200 metros de fita, oferecendo uma grande quantidade de material para uso prolongado. A fita tem uma largura de 70 mm, o que a torna visível mesmo à distância.
A marca Plastcor é conhecida pela qualidade e durabilidade de seus produtos, e esta fita não é exceção. O modelo zebrado é um dos mais populares da marca, graças à sua versatilidade e eficácia.
Esta fita é recomendada para uma variedade de superfícies, mas para obter os melhores resultados, é aconselhável consultar a descrição do produto. A fita tem uma espessura de 0,18 mm, o que a torna resistente e durável, mas ao mesmo tempo flexível e fácil de manusear.
Cada kit vem com 5 unidade, tornando-o perfeito para uso individual ou para pequenos projetos. Seja para uso profissional ou pessoal, a fita zebrada para isolamento de área Plastcor é uma escolha confiável e eficaz.</t>
  </si>
  <si>
    <t>Fitas adesivas</t>
  </si>
  <si>
    <t>2771994968143564</t>
  </si>
  <si>
    <t>MLB6027556492</t>
  </si>
  <si>
    <t>U3670243418</t>
  </si>
  <si>
    <t>KF0012-2</t>
  </si>
  <si>
    <t>Kit 4 Barra De Luz Automotivo Strobo 6 Leds Vermelho</t>
  </si>
  <si>
    <t>Kit 4 unidades Barra De Luz Automotivo Strobo 4 Leds Vermelha
Quantidade: 4 unidades
Material: Aluminio + LED
Medidas: 10.8x2,8cm
DC12-24V
6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</si>
  <si>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1066562836220935</t>
  </si>
  <si>
    <t>MLB6168372900</t>
  </si>
  <si>
    <t>U3724603159</t>
  </si>
  <si>
    <t>VINI01</t>
  </si>
  <si>
    <t>Agulha De Vinil Reloop Stylus Black Concorde 1 Uni</t>
  </si>
  <si>
    <t>A agulha de vinil Reloop Stylus Black Concorde 1 UNI é a escolha ideal para DJs e amantes da música que buscam qualidade e precisão em suas performances. Com um design robusto e elegante, esta agulha proporciona um som claro e detalhado, permitindo que cada batida e nuance da sua música sejam ouvidas com perfeição.
Fabricada pela renomada marca Reloop, a Stylus Black é projetada para oferecer durabilidade e desempenho superior. Sua construção avançada garante uma reprodução fiel do áudio, ideal para mixagens e gravações em estúdio. A compatibilidade com uma ampla gama de toca-discos a torna uma opção versátil para qualquer configuração.
Experimente a diferença que uma agulha de qualidade pode fazer na sua experiência musical. A Reloop Stylus Black é mais do que um acessório; é uma ferramenta essencial para quem leva a música a sério. Invista na sua paixão e eleve suas sessões de DJ a um novo patamar.</t>
  </si>
  <si>
    <t>889267648570075</t>
  </si>
  <si>
    <t>MLB3592470673</t>
  </si>
  <si>
    <t>U605644513</t>
  </si>
  <si>
    <t>LD 0010</t>
  </si>
  <si>
    <t>Par Led Drl Farol Aux Carro 20cm Aut Fita Flexivel Seta</t>
  </si>
  <si>
    <t>779239933125838</t>
  </si>
  <si>
    <t>MLB4465325987</t>
  </si>
  <si>
    <t>U3774263627</t>
  </si>
  <si>
    <t>Kit 6 Cores Cintos Nylon Masculino Tático Lona Militar Liso</t>
  </si>
  <si>
    <t>Preto 125</t>
  </si>
  <si>
    <t>KIT 6 Cores (PRETO, AZUL, MARROM, DOURADO, VERDE E PRATA)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
Detalhes Técnicos:
Tamanho: 125cm de comprimento
Tamanho Preto: 125 ou 130 cm
Material: Nylon
Material Fivéla: Plástico
Casos de Uso:
Calças Jeans
Calças Sociais
Shorts Mascuinos
Calças Sociais</t>
  </si>
  <si>
    <t>7760061551774406</t>
  </si>
  <si>
    <t>MLB4342436539</t>
  </si>
  <si>
    <t>U3655031962</t>
  </si>
  <si>
    <t>LIN-001</t>
  </si>
  <si>
    <t>Linha De Pesca Cortland Compact Sink Type 3 Wf5/6 Amarelo</t>
  </si>
  <si>
    <t>ÁGUA: Água doce / água salgada
LINHA: Afundando / Intermediário
TAPER: Peso para a frente
COMPRIMENTO: 100 pés (32 metros)
NÚCLEO: Monofilamento
• Cabeça de Afundamento Tipo 3
• Linha de Corrente Intermediária
• Liso e Flexível
As linhas de afundamento mais versáteis do mundo, classificadas para todas as condições de temperatura. Uma cabeça de afundamento de 28 pés, emparelhada com uma linha de corrida intermediária de baixo atrito que manterá sua braguilha na zona. Uma linha ideal para almíscares, listras, trutas e robalos em águas profundas.
ESPÉCIE: BASS / SALMÃO / CABEÇA DE AÇO / TRUTA / PIKE / MUSKY / STRIPED BASS / FALSE ALBACORE / BLUEFISH
TAMANHO WF 5/6</t>
  </si>
  <si>
    <t>Linhas de pesca</t>
  </si>
  <si>
    <t>5841513517420113</t>
  </si>
  <si>
    <t>MLB4447020135</t>
  </si>
  <si>
    <t>U3753456477</t>
  </si>
  <si>
    <t>FITA-002</t>
  </si>
  <si>
    <t>Fita Mini-dv Panasonic Ay-dv060ff Dvc Lp 90min Sp 60min</t>
  </si>
  <si>
    <t>1 fita mini DVC 90min digital video cassete dvc PANASONIC
1 UN FITA DE VIDEO CASSETE PANASONIC ORIGINAL
LP MODE: 90 MINUTOS
SP MODE: 60 MINUTOS</t>
  </si>
  <si>
    <t>Fitas de vídeo</t>
  </si>
  <si>
    <t>2789368465998611</t>
  </si>
  <si>
    <t>MLB3597422285</t>
  </si>
  <si>
    <t>U2297824014</t>
  </si>
  <si>
    <t>Termostato Analógico Taoper Embutido 220v Para Piso E Chão Aquecido</t>
  </si>
  <si>
    <t>O Termostato Analógico da marca Taoper é um produto de alta qualidade, projetado para proporcionar conforto e eficiência em qualquer ambiente. Com uma tensão de entrada de 220 V +/-10%, este termostato é ideal para uso em casas ou escritórios. 
Ele é capaz de medir temperaturas de 0 a 40 graus, tornando-o perfeito para uso em qualquer estação do ano. Além disso, ele opera a temperaturas de 0 a 45 graus, garantindo um desempenho confiável e consistente. 
Com uma capacidade de contato do relé de 16A/250 V AC, este termostato é robusto e durável, capaz de lidar com as demandas de uso diário. 
O método de instalação embutida torna este termostato fácil de instalar e discreto, perfeito para qualquer decoração de sala. 
O modelo Embutido da Taoper é uma escolha excelente para quem busca um termostato confiável e de alta qualidade. Com este termostato, você pode desfrutar de um ambiente confortável e aquecido, seja no seu banheiro, sala ou qualquer outro espaço da sua casa. 
Escolha o Termostato Analógico da Taoper para um controle de temperatura eficiente e confiável.</t>
  </si>
  <si>
    <t>Termostatos para aquários</t>
  </si>
  <si>
    <t>8903947613913171</t>
  </si>
  <si>
    <t>MLB3605365913</t>
  </si>
  <si>
    <t>U1141836533</t>
  </si>
  <si>
    <t>LV001</t>
  </si>
  <si>
    <t>Luva Supertato Plastcor Preta Tamanho 9 Epi 10 Pares Pu</t>
  </si>
  <si>
    <t>A Luva de Poliéster Com Banho em PU Supertato da Plastcor, possui revestimento de poliuretano (PU) na palma e face palmar dos dedos e punho elástico. Seu acabamento pensado para se ajustar bem aos dedos da mão, o que dá um ótimo tato e destreza.
O poliéster é conhecido por sua durabilidade e resistência ao desgaste, o que aumenta a vida útil da luva e é um material respirável, o que pode ajudar a manter as mãos mais confortáveis durante o uso prolongado. Já o poliuretano confere flexibilidade à luva, permitindo movimentos mais naturais das mãos durante o uso além de oferecer uma boa aderência, ajudando a segurar objetos com firmeza. A combinação de poliéster e poliuretano proporciona resistência à abrasão, tornando a luva adequada para tarefas que envolvem atrito e desgaste.
INDICAÇÕES DE USO
Inspeções de qualidade, Industria automobilística, Industria metalmecânica, manuseio de componentes eletrônicos, montagem/produção, manuseio de peças pequenas, Agricultura, oficinas mecânicas, manutenção e limpeza, transporte e logística, ferramentas, frentistas, entre outros...
Aprovada para: Proteção das mãos do usuário contra agentes abrasivos, escoriantes, cortantes, perfurantes e contra agentes térmicos (Calor de contato) devido C.A.:37.816.
DADOS TÉCNICOS
Marca: Plastcor
Modelo: Supertato
C.A: 37816
Material: Poliéster + Poliuretano (PU)
Cor: Preto
Tamanho: 9
Atende as normas EN 420 e EN 388.</t>
  </si>
  <si>
    <t>Luvas de segurança</t>
  </si>
  <si>
    <t>8451828491305016</t>
  </si>
  <si>
    <t>MLB3616439987</t>
  </si>
  <si>
    <t>U1142627985</t>
  </si>
  <si>
    <t>F0011</t>
  </si>
  <si>
    <t>Farol De Milha Led Aux 60w 6500k Combo Lancha Barco</t>
  </si>
  <si>
    <t>CARACTERÍSTICAS TÉCNICAS:
Potência total: 60W
Temperatura de cor: 6500K 
Tensão de funcionamento: DC9-30V
Grau de proteção de água: IP66
Size: 3*3*2inch
APLICAÇÕES:
Luz em Trilha, Rally, Off-Road, 4x4, Trilha, Camping, Nevoeiro, Neblina, Iluminação, Luz, Noturna, Noite, Estrada, Viagem, Caça, Construção Civil, Mineração, Resgate, Polícia, Bombeiro, Agrícola, Carga, Work Light, Light Bar, Truck, Car.
#FarolDeMilha #IluminaçãoAutomotiva #SegurançaRodoviária #VisibilidadeNoturna #ConduçãoOffRoad #TrabalhoNoturno #FarolAuxiliar #EstradaIluminada #LuzFloodSpot #AutomotivoLED</t>
  </si>
  <si>
    <t>4936481737217553</t>
  </si>
  <si>
    <t>MLB2649567947</t>
  </si>
  <si>
    <t>U1106714871</t>
  </si>
  <si>
    <t>Cama De Faquir, Bloqueador De Fuga, Perfurador De Pneus</t>
  </si>
  <si>
    <t>Este modelo de bloqueador de Fuga (estilo cama faquir), normalmente é usado para esvaziar ou dilacerar pneus para veiculos em fuga ou que avancem o processo de fiscalização policial ou outro de forças publicas
1) 5m (comprimento de extensão) com 110 pontas
2) material dos espinhos: tubos de aço inoxidável
3) Embalagem: caixa ABS
4)Suporte de nylon.
5) sobressalente: 30 peças de espinhos e um suporte de instalação de espinho e cabo de náilon de 9 m</t>
  </si>
  <si>
    <t>Equipamento industrial e comercial</t>
  </si>
  <si>
    <t>2968473313766482</t>
  </si>
  <si>
    <t>MLB3605433821</t>
  </si>
  <si>
    <t>U1145645346</t>
  </si>
  <si>
    <t>PA001</t>
  </si>
  <si>
    <t>Kit 4 Protetor Auditivo Abafador Concha Plt Plastcor Ca19714</t>
  </si>
  <si>
    <t>Kit 4 unidades Protetor Auditivo Abafador
Protetor auditivo, constituído por duas conchas de polietileno de alta densidade na cor preta, montadas em uma haste de polipropileno na cor preta em forma de arco adaptável à cabeça humana e fixadas nas conchas através de encaixe.
As cnchas são cobertas por almofadas externas (laminado de PVC com espuma) e almofadas internas (espuma).
Aprovado para: PROTEÇÃO DO SISTEMA AUDITIVO DO USUÁRIO CONTRA NÍVEIS DE PRESSÃO SONORA SUPERIORES AO ESTABELECIDO NA NR 15.
Observação: Para a adequada utilização do equipamento de proteção auditiva, devem ter observadas as recomendações da FUNDACENTRO contidas na publicação intitulada “Guia de Diretrizes e Parâmetros Mínimos para Elaboração e a Gestão do Programa de Conservação Auditiva (PCA)”, além do disposto nas Normas Regulamentadoras de Segurança e Saúde no Trabalho.
Instruções de uso: 
1 - Segure as conchas e puxe-as para fora certificando-se de que a haste fique posicionada para cima;
2 - Com a haste do protetor sobre a cabeça, posicione as conchas de maneira a cobrir completamente as orelhas;
3 - Ajuste a altura das conchas deslizando a haste do protetor para cima ou para baixo.
Advertências:
- Coloque o protetor auditivo após treinamento para a correta utilização do produto;
- Certifique-se de que o protetor auditivo esteja com uma boa vedação das almofadas externas na cabeça e que não ocorram interferências com hastes de óculos, brincos, barbas, excesso de cabelo, etc;
- Utilize o protetor auditivo somente com a haste sobre a cabeça proporcionando assim uma melhor vedação e atenuação;
- O protetor auditivo poderá sofrer alterações na atenuação devido a fatores como: características da atividade e do usuário, a forma de uso e colocação, o tempo de uso, o uso concomitante com outros EPI’s, as condições ambientais e de deterioração por envelhecimento do material, entre outros;
- O protetor auditivo não causa alergias devido ao contato com a orelha do usuário;
- O protetor auditivo deverá ser usado durante todo o período de exposição ao ruído.
Marcação do CA: Face frontal das conchas
Referências: PL-002
Tamanhos: Único
Cor: Preta
Peso do Produto: 185g
Normas Técnicas: ABNT NBR 16076:2020 - B
C.A.: 19.714
Laudos: N°. Laudo: REAT-002-2023-A
Laboratório: LAEPI - LABORATÓRIO DE EQUIPAMENTO DE PROTEÇÃO INDIVIDUAL
Empresa: PLASTCOR INDÚSTRIA E COMÉRCIO LTDA
O uso de protetores auditivos tipo concha é fundamental para proteger a audição, garantir a segurança e o conforto dos trabalhadores e cumprir as regulamentações de saúde e segurança no trabalho.
Instruções de Higiene e Manutenção:
Manter o produto limpo e higienizado. Caso necessário a limpeza, utilizar água e sabão neutro, secar à sombra.
Vida útil: deverá variar de acordo com as condições de uso, higiene, manutenção e armazenamento. Sugerimos a substituição do protetor tipo concha PLT a cada 12 meses.
Validade: 05 anos.
#ProteçãoAuditiva #SegurançaNoTrabalho #ProtetorAuditivo #SaúdeAuditiva #ConfortoNoTrabalho #ReduçãoDeRuído #PrevinaPerdaAuditiva #TrabalhoSeguro #AmbienteDeTrabalho #SegurançaNoAmbienteDeTrabalho #BemEstarNoTrabalho #ProtejaSuaAudição #SaúdeOcupacional #RuídoNoTrabalho #ConformidadeRegulatória
#CA19714 #NR15</t>
  </si>
  <si>
    <t>Protetores auditivos</t>
  </si>
  <si>
    <t>6844588586689844</t>
  </si>
  <si>
    <t>MLB4120162493</t>
  </si>
  <si>
    <t>U3280340631</t>
  </si>
  <si>
    <t>Kit 4 Farol De Milha Led Retangular Mini Barra 6 Leds 18w</t>
  </si>
  <si>
    <t>Kit 4 unidades.
O Farol Mini Barra Led 18 Watts possui iluminação de alto brilho e pode ser utilizado em veículos off road, caminhões, reboques, ambientes externos e internos etc.
Indicado para veículos 4×4, veículos normais, caminhões, ônibus, entre outros.
Em caso de uso em ambientes residenciais deve-se utilizar uma fonte 10 à 30v.
Iluminação de alto brilho, possui 18w e conta com 6 LEDs garantindo visualização com total nitidez em momentos noturnos.
Possui longa vida útil, além de possuir proteção contra sujeiras e poeiras.
CARACTERÍSTICAS TÉCNICAS:
- Potência total: 18 watts
- Quantidade de LEDs: 6
- Tipo de Lente: 5D (3D+4D)
- Lentes: Flood / Melhor Abertura
- Potência por LED: 3 watts - Alta intensidade
- Tipo de LED/Chip: Epistar original
- Temperatura de cor: 6000K / branco
- Fluxo luminoso (± 15%): 1080LM CADA
- Distância de iluminação: ± 200~300 metros (par)
- Tensão de funcionamento: 12VDC A 24VDC
- Grau de proteção de água: IP67
- Corpo: Alumínio fundido
- Material das lentes: Policarbonato
- Bases de fixação: Metal
- Vida útil estimada: Acima 20.000 horas
- Comprimento do Cabo: 20cm
- Medidas :
Altura 4,2cm
Profundidade 4,3cm
Largura 15,6cm
APLICAÇÃO:
- CARRO
- CAMINHÃO
- TRATOR
- Off-Road
- Modelos 4X4
- Pick-ups
- Jeep
- Modelos universais com Santo Antônio
•• ITENS INCLUSOS:
01 Farol de LED Auxiliar 6 LEDS Mini Barra (COR DA ILUMINAÇÃO BRANCA)
01 Kit de Instalação (parafusos, porcas e base)
OBS: ** Recomendamos a aplicação por profissional especializado, não nos responsabilizamos pela má aplicação do produto. **
#FarolDeMilha #LED #IluminaçãoAutomotiva #AcessóriosAutomotivos #FarolLED #FarolDeMilhaLED #FarolMini #CarroLED #Automotivo #PersonalizaçãoDeCarro</t>
  </si>
  <si>
    <t>2745056064376146</t>
  </si>
  <si>
    <t>MLB3591462321</t>
  </si>
  <si>
    <t>U605676409</t>
  </si>
  <si>
    <t>LD 0016</t>
  </si>
  <si>
    <t>2 Par Barra Led Drl Farol Aux Carro 20cm Aut Fita Flexivel</t>
  </si>
  <si>
    <t>2 Pares Barra Led Drl Farol Aux Carro 20cm Aut Fita Flexivel.
Potencialize a visibilidade e o estilo do seu veículo com as luzes de LED para carros automotivos. Projetadas para oferecer uma iluminação brilhante e duradoura, essas luzes proporcionam uma melhoria significativa na segurança, destacando a presença do seu carro na estrada. Com sua eficiência energética e vida útil prolongada, as luzes de LED são uma escolha inteligente e econômica. Desde faróis a luzes internas e externas, as opções de LED oferecem uma gama de cores e intensidades para personalizar o visual do seu carro, adicionando um toque moderno e elegante. Ilumine sua jornada com estilo e segurança.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Ângulo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t>
  </si>
  <si>
    <t>4990861059179281</t>
  </si>
  <si>
    <t>MLB3865880075</t>
  </si>
  <si>
    <t>U1808365768</t>
  </si>
  <si>
    <t>Capacete De Resgate Snhl6b E Led Headlamp</t>
  </si>
  <si>
    <t>Certificação: CE EN12492
O Capacete de Segurança SNHL6B da marca DEHOLOG é a escolha ideal para quem busca proteção e conforto em ambientes de trabalho. Com um design robusto e leve, pesando apenas 418 g, ele proporciona segurança sem comprometer a mobilidade. Fabricado em plástico de alta qualidade, este capacete é resistente e durável, garantindo a proteção necessária em diversas situações.
Equipado com viseira, o SNHL6B oferece uma camada extra de segurança para os olhos, essencial em atividades que envolvem riscos de impacto ou projeção de partículas. Sua construção foi pensada para atender às exigências de segurança em canteiros de obras, indústrias e outros ambientes que demandam proteção eficaz.
Além de suas características de segurança, o capacete conta com um sistema de iluminação LED integrado, que proporciona visibilidade em condições de baixa luminosidade. Isso torna o SNHL6B uma opção versátil, ideal para profissionais que trabalham em turnos noturnos ou em locais com iluminação insuficiente.
Escolher o Capacete de Segurança SNHL6B é garantir um equipamento que alia funcionalidade e conforto, permitindo que você se concentre em suas tarefas com a tranquilidade de estar bem protegido. Invista na sua segurança e aumente sua produtividade com este capacete de alta performance.</t>
  </si>
  <si>
    <t>Capacetes de segurança</t>
  </si>
  <si>
    <t>7307543876876949</t>
  </si>
  <si>
    <t>MLB4315595261</t>
  </si>
  <si>
    <t>U3580058164</t>
  </si>
  <si>
    <t>TGR85</t>
  </si>
  <si>
    <t>Smart Room Thermostat Tgr85 Ep</t>
  </si>
  <si>
    <t>Smart Room Thermostat TGR85 EP
O termostato TGR85 com tela sensível ao toque para piso aquecido pode monitorar a temperatura do ambiente e ajustá-la em tempo real de acordo com a configuração. Esse controlador inteligente de temperatura pode economizar energia e garantir uma temperatura adequada para o lar.
O termostato inteligente TGR85 pode ajudar o usuário a economizar energia e custos, pois possui função programável. O usuário pode definir diferentes temperaturas para diferentes horários da semana. Dessa forma, o termostato ajusta automaticamente a temperatura conforme o cronograma programado. Ele possui uma variedade de recursos e opções para se adequar às diferentes necessidades e preferências dos usuários.
Modelo
TGR85-EP
Peso
270 g
Corrente Suportada (Current Load)
16A
Controle Wi-Fi
O termostato pode ser controlado pelo aplicativo Tuya/SmartLife.
Modo programável
Você pode configurar a programação semanal nos modos 5+2 / 6+1 / 7 dias.
Função de bloqueio de teclas
É possível bloquear todos os botões para evitar que crianças mexam no dispositivo.
Função anti-congelamento
Quando a temperatura do ambiente estiver abaixo de 5 °C, o termostato aquecerá automaticamente e manterá a temperatura em no máximo 7 °C.
Calibração de temperatura
Você pode calibrar o valor da temperatura ambiente.
A faixa ajustável é de +9,9 °C a –9,9 °C.</t>
  </si>
  <si>
    <t>8672805513014223</t>
  </si>
  <si>
    <t>MLB4436745564</t>
  </si>
  <si>
    <t>U610279422</t>
  </si>
  <si>
    <t>LD 0024</t>
  </si>
  <si>
    <t>Par Barra Led Drl Farol Aux Carro 17cm Aut Fita Flexivel</t>
  </si>
  <si>
    <t>4023006244846438</t>
  </si>
  <si>
    <t>MLB4473496963</t>
  </si>
  <si>
    <t>U3794941222</t>
  </si>
  <si>
    <t>SOM-005</t>
  </si>
  <si>
    <t>Alto-falante De Subwoofer Pioneer Ts-a25s4 1200w</t>
  </si>
  <si>
    <t>Modelo: TS-A25S4 | 1200W PMPO | 350W RMS
Eleve o nível do som do seu carro com a qualidade indiscutível da Pioneer. O Subwoofer TS-A25S4 de 10 polegadas foi projetado para quem não abre mão de graves impactantes, precisos e sem distorção.
Com a exclusiva tecnologia de cone IMPP™ reforçado com MICA e fibra de vidro, este alto-falante oferece durabilidade extrema e uma resposta sonora superior, garantindo que você "sinta" a música com clareza, seja em batidas rápidas ou em graves longos e profundos.
 POR QUE ESCOLHER O PIONEER TS-A25S4?
 Potência Real: Com 350W RMS nominais (e picos de até 1200W), ele entrega a força necessária para um som encorpado.
 Durabilidade Incrível: Cone de IMPP (Polipropileno Moldado por Injeção) reforçado com fibra de vidro e mica. Muito mais rígido e leve, evitando distorções mesmo em volumes altos.
 Versatilidade: Projetado para funcionar bem tanto em caixas seladas (para graves mais secos e precisos) quanto em caixas dutadas (para graves mais estendidos e fortes).
 Design "Dynamic Tornado": Estrutura que garante maior estabilidade do cone e melhor fluxo de ar, mantendo a bobina resfriada e o desempenho constante.
 ESPECIFICAÇÕES TÉCNICAS
Tamanho: 10 polegadas (25 cm)
Potência Nominal (RMS): 350W
Potência Máxima (PMPO): 1200W
Impedância: 4 Ohms (Bobina Simples)
Resposta de Frequência: 22 Hz a 1.400 Hz
Sensibilidade (1W / 1m): 85 dB (93 dB no carro)
Material do Cone: IMPP reforçado com Mica e Fibra de Vidro
Material da Borda: Borracha de polímero elástico (alta resistência)
Material do Ímã: Ferrite (1.300g / 46 oz)
 DIMENSÕES E INSTALAÇÃO
Profundidade de Instalação: 127 mm (aprox. 5 polegadas)
Diâmetro de Corte: 230 mm
Terminais: De pressão (Push Terminals) para fios de até 8 AWG (fácil instalação).
SUGESTÃO DE CAIXA ACÚSTICA (Litragem)
Caixa Selada Recomendada: 22,6 Litros (0.8 cu.ft)
Caixa Dutada (Portada) Recomendada: 31,1 Litros (1.1 cu.ft)
CONTEÚDO DA EMBALAGEM
01 Subwoofer Pioneer TS-A25S4 (10 pol)
Anel de vedação
Parafusos de fixação
Manual do usuário / Certificado de garantia
PERGUNTAS FREQUENTES
1. O produto é original?
R: Sim, produto 100% original Pioneer, novo e na caixa.
2. Serve no meu módulo/amplificador?
R: Este subwoofer tem bobina simples de 4 Ohms e 350W RMS. Verifique se o seu amplificador é compatível com essa impedância e se oferece potência próxima a 350W RMS no canal (bridge ou mono) para extrair o máximo desempenho.
3. Qual o tamanho da caixa que devo usar?
R: Recomendamos uma caixa selada de 22 litros ou dutada de 31 litros para o melhor rendimento acústico conforme manual da Pioneer.
GARANTA JÁ O SEU E TRANSFORME O SOM DO SEU CARRO!
Envio rápido e seguro para todo o Brasil.</t>
  </si>
  <si>
    <t>Caixas de som para 
veículos</t>
  </si>
  <si>
    <t>8809148022988414</t>
  </si>
  <si>
    <t>MLB4475142195</t>
  </si>
  <si>
    <t>U3787400157</t>
  </si>
  <si>
    <t>Placa Living Now 4x2 Para 2 Módulos Branca</t>
  </si>
  <si>
    <t>A Tampa Living Now É O Acessório Que, Juntamente Com As Tampas, É Montado Na Parte Funcional Para A Finalização Estética Do Switch. Esta Tampa De 3 Módulos Tem Acabamento Branco Sobre Base Plástica.
Características do produto:
Extrema Pureza Do Design E Precisão Das Geometrias Living Now Tem Uma Forma Única, Compacta E Distinta.
Design Inovador: Planicidade Perfeita Do Switch Graças A Um Sistema Autocentrante Das Tampas Que Permite Que Os Controladores Permaneçam Sempre Alinhados À Placa, Mesmo Após Múltiplos Acionamentos.
Moldura Flutuante: Moldura Flexível, Colocada Na Parte Traseira Da Placa De Cobertura, Livre Para Se Movimentar Nos Quatro Cantos, Garantindo Uma Instalação Ideal. Graças À Moldura Flutuante, Living Now Parece Flutuar Na Parede.
3 Módulos, Tecnopolímero, Acabamento Branco
Entregue Com Embalagem Dedicada Para Manter As Características Estéticas Inalteradas
Recomendação/restrição:
Apenas Para Uso Interno.
Informações adicionais
Vantagens de instalação:
A Placa De Cobertura Living Now Está Equipada Com Uma Moldura Flexível, Colocada Na Parte Traseira Da Placa, Livre Para Se Mover 
Nos Quatro Cantos, Garantindo Uma Instalação Ideal.
Vantagens de uso:
Design Inovador: Formato Único E Compacto Que, Uma Vez Completado Com As Tampas, Confere Ao Switch Um Nivelamento Absoluto; O Acabamento Da Placa, Na Mesma Cor Das Teclas E Dispositivos Da Tampa, É Tratado Com Um Acabamento Finamente Acetinado, Opaco À Vista E Agradavelmente Sedoso Ao Toque.
Características únicas:
Design Inovador: Formato Único E Compacto Que, Complementado Com As Tampas, Confere Ao Switch Um Nivelamento Absoluto
Moldura Flutuante: Moldura Flexível, Colocada Na Parte Posterior Da Placa, Livre De Movimentação Nos Quatro Cantos, Que Garante Uma Ótima Instalação Mascarando As Imperfeições Da Parede Ou No Caso De Caixas De Gesso Cartonado.
A Separação Entre As Partes Estéticas E Funcionais Permite Finalizar A Instalação De Forma Profissional Evitando Arranhões Ou Sujeira</t>
  </si>
  <si>
    <t>505383079114770</t>
  </si>
  <si>
    <t>MLB4592584921</t>
  </si>
  <si>
    <t>U3894820364</t>
  </si>
  <si>
    <t>SIL-001</t>
  </si>
  <si>
    <t>5 Und. Saco De Ancoragem Silobag Peso Silagem 1,20 X 0,27m</t>
  </si>
  <si>
    <t>aco de ancoragem SiloBag (gravel bag) é uma solução inovadora e eficiente para a vedação de silos. Esta bolsa resistente e flexível, com dimensões de 1,20 x 27 cm, é preenchida com pedra de seixo ou areia grossa. Projetada para substituir o uso convencional de terra e pneus na vedação de silos, ela se adapta perfeitamente às ondulações do silo, garantindo uma vedação eficaz.
Principais aplicações e benefícios do SiloBag:
• Substitui o uso de terra na lona de vedação do silo, oferecendo uma solução mais higiênica e eficiente.
• Contribui para a redução significativa da mão de obra necessária para a vedação do silo.
• Minimiza a contaminação da silagem por terra e microrganismos indesejados, preservando a qualidade do produto armazenado.
• Diminui a quantidade de resíduos, como pneus velhos, proporcionando um impacto ambiental positivo.
• Oferece uma durabilidade impressionante de até 10 anos, representando um excelente investimento a longo prazo.( necessária a rotacao do bag a cada 3 meses para garantir longevidade), o produto possui uma faixa amarela de um dos lados para orientacao do manuseio.
O kit à venda contém 5 unidades do SiloBag, proporcionando uma cobertura eficiente para o perímetro e superfície do silo. É recomendado posicionar as bolsas em fileiras com espaçamento de 5 metros, no sentido transversal do silo, para obter os melhores resultados. Utilizando o SiloBag, você garante uma vedação mais rápida, limpa e duradoura para seu silo.</t>
  </si>
  <si>
    <t>1342199968432592</t>
  </si>
  <si>
    <t>MLB3591703857</t>
  </si>
  <si>
    <t>U605644865</t>
  </si>
  <si>
    <t>LD 0015</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</si>
  <si>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t>
  </si>
  <si>
    <t>778171525542225</t>
  </si>
  <si>
    <t>MLB3592459167</t>
  </si>
  <si>
    <t>U605665681</t>
  </si>
  <si>
    <t>LD 0001</t>
  </si>
  <si>
    <t xml:space="preserve">Par Barra Led Drl Flexivel Farol Aux Carro 20cm Decorativo </t>
  </si>
  <si>
    <t>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de embalagem: 2 unidades (lâmpadas LEDs Cob)
Categoria ECE: R87/R7
#LED #DRL #IluminaçãoAutomotiva #CarroLED #EstiloAutomotivo #TuningDeCarro #AcessóriosAutomotivos #ModificaçõesAutomotivas #EstiloPersonalizado #CarrosModernos #UpgradeDeCarro #CarroPersonalizado #fitaLed #automotivoled #UpgradeCar</t>
  </si>
  <si>
    <t>6904022014791312</t>
  </si>
  <si>
    <t>MLB4434002378</t>
  </si>
  <si>
    <t>U2400404311</t>
  </si>
  <si>
    <t>LD 0018</t>
  </si>
  <si>
    <t>Par Led Drl Redondo Farol Auxiliar Carro Automotivo Fita</t>
  </si>
  <si>
    <t>8351798157362362</t>
  </si>
  <si>
    <t>MLB4434018500</t>
  </si>
  <si>
    <t>U610280696</t>
  </si>
  <si>
    <t>LD 0017</t>
  </si>
  <si>
    <t>Par Barra Led Flexivel Drl Farol Auxiliar Car 20cm Aut Fita</t>
  </si>
  <si>
    <t>6353422752616399</t>
  </si>
  <si>
    <t>MLB4435772936</t>
  </si>
  <si>
    <t>U607779011</t>
  </si>
  <si>
    <t>LD 0005</t>
  </si>
  <si>
    <t>Par Barra Led Flexivel Drl Farol Aux Carro 17cm Aut Fita</t>
  </si>
  <si>
    <t>3502796438532645</t>
  </si>
  <si>
    <t>MLB4447768523</t>
  </si>
  <si>
    <t>U3754374781</t>
  </si>
  <si>
    <t>VIS-001</t>
  </si>
  <si>
    <t>Viseira Allegro Fumê Capacete Bieffe Original</t>
  </si>
  <si>
    <t>A viseira Allegro Fumê da Bieffe é a escolha ideal para motociclistas que buscam proteção e estilo. Com um design que combina funcionalidade e estética, esta viseira proporciona uma visão clara e segura, mesmo em condições de luz intensa. 
Fabricada com materiais de alta qualidade, a viseira é resistente e durável, garantindo que você possa enfrentar qualquer aventura sobre duas rodas. Seu tom fumê oferece uma proteção eficaz contra os raios solares, permitindo que você mantenha o foco na estrada.
Compatível com capacetes Bieffe, a instalação é simples e rápida, permitindo que você troque a viseira sempre que necessário. A viseira Allegro Fumê é perfeita para quem valoriza segurança e conforto durante suas viagens. 
Invista na sua experiência de pilotagem e sinta a diferença que uma viseira de qualidade pode fazer. A escolha certa para quem não abre mão de segurança e estilo na estrada.</t>
  </si>
  <si>
    <t>Viseiras de capacetes para motos</t>
  </si>
  <si>
    <t>7516374844416683</t>
  </si>
  <si>
    <t>MLB5166963468</t>
  </si>
  <si>
    <t>U2712623827</t>
  </si>
  <si>
    <t>LD 0025</t>
  </si>
  <si>
    <t>5751179147993919</t>
  </si>
  <si>
    <t>MLB6251251774</t>
  </si>
  <si>
    <t>U3795062466</t>
  </si>
  <si>
    <t>PES-004</t>
  </si>
  <si>
    <t>Linha De Pesca Cortland 444 Intermediate Saltwater 27m</t>
  </si>
  <si>
    <t>Linha De Pesca Cortland 444 Intermediate Wf8l Azul
Disponível em um impressionante azul gelo, esta linha intermediária de diâmetro fino oferece 27 metros de linha de pesca com mosca multifilamento trançada e afunda a uma taxa de 3,8 a 5 centímetros por segundo, dando aos peixes em movimento muitas oportunidades de notar o que parece ser um petisco saboroso se aproximando e incentivando-os a agir.
Disponível em diversas espessuras de linha e com cores que favorecem o lançamento, a linha Cortland 444 Intermediate possui um laço frontal soldado, projetado para facilitar o lançamento e a troca rápida de alimentadores, tornando-a uma linha adequada para pescadores de mosca iniciantes.
Projetada para oferecer praticidade, esta linha durável foi feita para durar e oferece alto desempenho a qualquer equipamento de pesca com mosca . Encomende sua linha de pesca com mosca Cortland 444 Intermediate online hoje mesmo ou visite a seção de equipamentos de pesca com mosca da sua loja Angling Direct local para comparar nossa linha de linhas e acessórios.
PRINCIPAIS CARACTERÍSTICAS:
ARREMESSOS PRECISOS NO VENTO
Seu perfil Weight Forward (WF) concentra o peso na parte frontal, carregando a vara rapidamente. Isso permite arremessar moscas maiores e pesadas com facilidade, mesmo contra o vento forte do litoral.
RESISTENCIA AO CALOR E SALINIDADE
Construída com alma de monofilamento e revestimento de PVC rígido. Essa tecnologia garante que a linha deslize bem nos passadores mesmo em dias muito quentes e oferece alta resistência à abrasão contra pedras, cracas e a corrosão da água salgada.
ALTA VISIBILIDADE
A cor amarela vibrante facilita a visualização do loop durante o arremesso e ajuda a acompanhar a posição da isca na água, essencial para correções de linha (mending).
ESPECIFICAÇÕES TÉCNICAS:
Marca: Cortland
Modelo: 444 Intermediate (Classic Series)
Tipo: Floating (Flutuante)
Comprimento Total: 27,4 metros (90 pés)
Alma: Monofilamento
Origem: Fabricado nos EUA
ITENS INCLUSOS:
01 Linha de Pesca</t>
  </si>
  <si>
    <t>MLB3597397599</t>
  </si>
  <si>
    <t>Termostato Analogico Piso Chao Banheiro Sala Aquecido 220v</t>
  </si>
  <si>
    <t>Os termostatos analógicos geralmente são mais simples de operar do que os digitais, o que pode ser mais intuitivo para algumas pessoas, especialmente aquelas que não estão acostumadas com tecnologia digital. E para quem procura uma opção econômica, tendem a ser mais baratos também. 
Como os termostatos analógicos têm menos partes móveis e componentes eletrônicos, acabam sendo mais duráveis e menos propensos a falhas técnicas em comparação com os modelos digitais mais complexos. 
Alguns sistemas de aquecimento ou refrigeração mais antigos podem não ser compatíveis com os termostatos digitais mais avançados, sendo nesses casos, um termostato analógico a melhor opção.
#TermostatoAnalógico #ControleDeTemperatura #Climatização #AquecimentoResidencial #ArCondicionado #ControleAnalógico #EconomiaDeEnergia #ManutençãoDoméstica #ConfortoResidencial #InstalaçãoDeTermostato</t>
  </si>
  <si>
    <t>4990237954147526</t>
  </si>
  <si>
    <t>MLB4478515903</t>
  </si>
  <si>
    <t>U3794033641</t>
  </si>
  <si>
    <t>TAM-001</t>
  </si>
  <si>
    <t>Tampa Do Radiador Cosworth Alta Pressão 1.5 Bar Motorsport</t>
  </si>
  <si>
    <t>Leve o sistema de arrefecimento do seu projeto ao nível máximo com a Tampa de Radiador Cosworth de Alta Pressão (1.5 Bar).
 Esta é uma peça indispensável para motores de alta performance que operam em condições extremas de temperatura e rotação.
Diferente das tampas comuns, este modelo eleva a pressão do sistema para 1.5 Bar (21.7 PSI), aumentando significativamente o ponto de ebulição do líquido. Isso evita a formação de vapor e garante que o motor receba a troca de calor necessária mesmo em Track Days ou competições.
Diferenciais:
• Padrão Cosworth: Marca líder mundial em engenharia de motores de performance.
• Construção Robusta: Corpo em aço inoxidável escovado com mola de alta carga.
• Vedação de Silicone: Garante estanqueidade perfeita sob pressões elevadas.
LEIA ANTES DA COMPRA (ORIENTAÇÕES TÉCNICAS):
1. Compatibilidade (Tipo A / Mini Cap): Verifique se o seu radiador utiliza a tampa do modelo pequeno (comum em Subaru, Mitsubishi, Nissan e radiadores de alumínio esportivos). A vedação interna tem aproximadamente 28-30mm.
2. Pressão Elevada (1.5 Bar): Esta tampa é classificada para Motorsport. Certifique-se de que suas mangueiras, abraçadeiras e o próprio radiador estão em excelentes condições. Mangueiras de silicone são altamente recomendadas para suportar os 1.5 Bar de pressão.
3. Dica de Identificação: O valor gravado na base de metal pode parecer "1.3" dependendo da posição, mas a calibração correta da mola e o selo superior confirmam o padrão 1.5 Bar.
4. Segurança: Nunca abra a tampa com o motor quente ou morno. Risco de queimaduras graves.
CONTEÚDO DA EMBALAGEM:
01 Tampa de Radiador Cosworth 1.5 Bar.</t>
  </si>
  <si>
    <t>Tampas de radiador para veículos</t>
  </si>
  <si>
    <t>100013323143907</t>
  </si>
  <si>
    <t>MLB4502331287</t>
  </si>
  <si>
    <t>U3815109467</t>
  </si>
  <si>
    <t>ARA-001</t>
  </si>
  <si>
    <t>Kit 5kg Arame Galvanizado Thorxx Bwg 12 - 2,77mm (5 Rolos)</t>
  </si>
  <si>
    <t>POTENCIALIZE SUA OBRA OU CERCA COM A QUALIDADE THORXX!
Você está buscando resistência, durabilidade e facilidade no manuseio? O Arame Galvanizado Thorxx BWG 12 é a escolha ideal para quem não abre mão de qualidade profissional.
Este kit exclusivo contém 5 rolos de 1kg, totalizando 5kg de material. Por ser fracionado, facilita muito o transporte e o uso em diferentes pontos da sua propriedade ou obra, evitando desperdícios e o peso excessivo de um rolo único grande.
POR QUE ESCOLHER O ARAME THORXX?
Alta Durabilidade: Revestimento de zinco de alta qualidade que protege contra a ferrugem e corrosão, mesmo exposto a sol e chuva.
Espessura Robusta: Com 2,77mm de diâmetro (BWG 12), oferece a segurança necessária para cercas rurais, industriais e amarrações estruturais.
Versatilidade: Ideal para cercas de arame liso, sustentação de parreiras, fixação de telas, artesanato pesado e manutenções gerais.
Praticidade: Rolos individuais de 1kg que facilitam o desenrolar sem embaraçar.
ESPECIFICAÇÕES TÉCNICAS:
Diâmetro: 2,77 mm.
Acabamento: Galvanizado (Zincado).
Resistência: Alta tração.
Indicação: Cercas, amarrações, construção civil e agropecuária.
CONTEÚDO DA EMBALAGEM:
05 Rolos de Arame Galvanizado BWG 12 (1kg cada).</t>
  </si>
  <si>
    <t>Arames de metal</t>
  </si>
  <si>
    <t>2025127565658780</t>
  </si>
  <si>
    <t>MLB5995146242</t>
  </si>
  <si>
    <t>U3651693568</t>
  </si>
  <si>
    <t>BAR-001</t>
  </si>
  <si>
    <t>Barbeador Elétrico 4d Kemei Strong Shaver 3 Em 1 Azul</t>
  </si>
  <si>
    <t>Azul 220v</t>
  </si>
  <si>
    <t>Barbeador Eletrico Kemei Strong Shaver KM-1150
- Design moderno.
- Fácil manuseio.
- Compacto e resistente.
- A prova de água.
- Tecnologia inovadora.
- Multifuncional: faz barba, pezinhos, acabamento de sobrancelha, tira pelo do nariz e orelhas.
- Possui 5 grandes funções práticas, barbear duplo úmido e seco, cabeça de corte flutuante, longo tempo de uso, 3 cabeças flexíveis que se adaptam ao contorno facial e aderem na pele sem machucar.
- Cabeças de cortes rotativos.
- 4D experiência de barbear inteligente, 360 graus.
- Sistema de lâmina de corte confortável, bordas curvas podem mover-se suavemente sobre a pele, barbea enquanto protege a pele.
- Fácil para mudar a cabeça, não há necessidade para torcer e desmontar, basta puxar para cima e você pode facilmente mudar a cabeça
CARACTERÍSTICAS
- Duração de barbear: 50 minutos
- Tempo de Carregamento: 5 horas
- Método de barbear: rotativo
- Método de Limpeza: lavagem do corpo
- Sistema de barbear: barbear limpo
- Bateria: Construído - em bateria de lítio
itens inclusos
- 1 aparelho de barbear
- 1 capa protetora para armazenar e transportar
- 1 suporte para o aparelho
- 1 cabeça para pelos
- 1 cabeça para cortes
- 1 carregador</t>
  </si>
  <si>
    <t>Maquinas de cortar cabelo, barbeadores elétricos e recortadores de cabelo</t>
  </si>
  <si>
    <t>2358721895982118</t>
  </si>
  <si>
    <t>MLB6164221224</t>
  </si>
  <si>
    <t>U3722294591</t>
  </si>
  <si>
    <t>UMI-003</t>
  </si>
  <si>
    <t>Luminária Abajur E Umidificador E Aromatizador Lua Cheia 3d Cor Branco</t>
  </si>
  <si>
    <t>LUA UMIDIFICADOR DE AR E LUMINÁRIA EM 3 TONALIDADES COM SUPORTE DE MADEIRA.
Lua feita com tecnologia de impressão 3D, realista em forma da lua cheia.
Abajur com 3 tonalidades de coloração, sendo escolhidas conforme o toque no controle.
Adequado para salas de pequeno e médio porte.
Ideal para umidificação de ar principalmente em dias mais secos, e ambientes com ar condicionado.
Excelente para a aromaterapia com essências para relaxamento, foco, disposição e energização.
Utilize sempre essências com base água, pois o óleo essencial pode entupir a saída de ar, o filtro do umidificador suja rápido de mais e deixa de umidificar sendo necessário a troca, além de a limpeza do produto se tornar bem difícil.
Objeto de decoração, aromaterapia, iluminação e umidificador de ar.
Ideal para deixar o ambiente mais aconchegante, geralmente utilizado em quartos, salas residenciais, escritórios, salas de espera, entre outros.
Excelente e diferente produto para presentear, trazendo sensações únicas para quem a utiliza, com cores diferenciadas para o momento que melhor desejar, podendo ser escolhidas com um simples toque, e também aromas que desejar no momento que quiser.
Características do Produto:
* Lua em 3D com luminária e com tecnologia difusor
* Controles da iluminação e umidificação por pinos metálicos dispostos na tampa
* Suporte de madeira
* Fio USB para corrente de energia
* Filtro dentro do aparelho
* Manual de Instruções
Informações do produto:
- Capacidade do tanque: 800ML
- Especificações Elétricas: 110-240V (Bivolt) - ENTRADA USB
- Tensão de entrada: DC5V
- Método de umidificação: Descarga de Névoa
- Desligamento automático por falta de água: Sim
- Saída de névoa: cerca de 30ML/H
- Tipo: umidificação ultrassônico
- Aplicação: 21-30m²
- Função: Aromaterapia/Umidificador
- Dimensões: 14x14x15 / Diâmetro: 13cm
- Material: polipropileno (imitação de madeira)
- Tecnologia anti-ruído: &lt;36db(A)
- Cores luzes de LED: Branco, branco mais suave e amarelo.
- Material: PVC + componentes eletrônicos.
- Duração da água: Aprox. 8 horas
- Desliga automaticamente quando a água acaba quando o sensor é acionado.
Funcionamento:
- Para funcionar a umidificação é necessário adicionar água no interior da lua
- Para aromaterapia é só adicionar gotas de essências na água
- Para ligar e controlar a luz e a tonalidade é necessário pressionar levemente o pino metálico disposto na tampa da lua próximo à saída da umidificação
- Para ligar e controlar a umidificação é necessário pressionar levemente o outro pino metálico disposto na tampa da lua próximo à saída da umidificação.</t>
  </si>
  <si>
    <t>5516023999295052</t>
  </si>
  <si>
    <t>MLB6246791798</t>
  </si>
  <si>
    <t>U3791629300</t>
  </si>
  <si>
    <t>CNC-004</t>
  </si>
  <si>
    <t>Svod3 Gravador Usb Universal Programador Notebook Nand Flash</t>
  </si>
  <si>
    <t>Gravador Svod 3 - Suporte a Bios, IO, Nand e muito mais
Grava chips de 3.3v, 2.5v, 1.8v e 1.2v sem necessidade de adaptadores para reduzir tensão
Grava IOs com eeprom interna diretamente na placa através do conector do teclado
Grava Nand, Nor, EMCC e outros (adaptadores são necessários de acordo com o modelo do chip)
Testa teclados e consegue ler códigos POST de notebook
Software atualizado constantementeMELHOR PROGRAMADOR PARA
MIO KB9012, KB9016, KB930, ITE8586, ITE8580, ITE8585, ITE8587, ENE9012, MEC, NUVOTON!
Programador SVOD Ver 3 é um programador universal para vários microcircuitos.
Modelos de IO om memória interna
ENE - 9010, 9012, 9016, 9018, 9020, 9022, 9026, 9028
ITE = 8371, 8380, 8386, 8522, 8585, 8586, 8587, 8589, 8885, 8886, 8985, 8986, 8987, 8995
NUVOTON = 288NA, 388NA
MEC = 1609, 1619, 5045, 5055, 5075, 5085
Todos os modos de trabalhar com o MIO estão disponíveis no pacote básico! Nenhum equipamento adicional é necessária!
A Caixa é feita de plástico de alta qualidade, com um conveniente suporte dobrável, semelhante ao tipo de testadores.
Para o programador, um módulo de comunicação (incluído no pacote) é conectado, através do qual você pode se conectar a praticamente qualquer laptop motherboard com uma pluma (12 peças do kit) para o conector do teclado. UMA grande base de placas-mãe online, permite-lhe poupar tempo em estudar a placa de circuito tapete .. Basta escolher o seu motherboard taxa em um banco de dados online, o software escreveu em qual conector para colocar um loop e o cabo .. E all-trabalho! Na conveniência de trabalho, não há igual!
No teste de software há um teclado .. Isto é quase todo o teclado do portátil, você pode verificar se há eficiência usando o SVOD3 programador.
O modo de exibição de códigos de POST do laptop motherboard é implementado. Escolher o software na linha de base de sua mãe, faça o download, selecioná-lo na escolha da mãe, conectar a mãe com um laço para o conector do teclado, e ler os códigos postais executando o software em modo de leitura de códigos de POST.
Detecção automática de "mau contato" quando a conexão de batatas fritas. Pinos de teste.
Especificações:
-Porta de conexão com o computador: usb 2.0 de alta velocidade,
-Conexão de microcircuitos: 48 zif,
-Número de portas de entrada/saída: 48,
-Tensão de alimentação: 3.3 V/1.8 V.
Protocolos suportados:
SPI, I2C, 1-Wire, NAND, NOR, EMMC, JTAG, UART, PODE, paralela síncrona e assíncrona protocolos. (no momento, o trabalho está em andamento para adicionar NAND, NOR, EMMC chips de software)
1 programador PC SVOD Ver 3
1 PC módulo de Comutação
1 cabo USB do PC
1 Adaptador 150mil SOP8
1 PC SOP8 adaptador 200mil</t>
  </si>
  <si>
    <t>Gravadores e programadores</t>
  </si>
  <si>
    <t>1339168348586706</t>
  </si>
  <si>
    <t>MLB6438661522</t>
  </si>
  <si>
    <t>U3842525134</t>
  </si>
  <si>
    <t>PUL-003</t>
  </si>
  <si>
    <t>Pulverizador Elétrico Portátil 1,5l Recarregável Ubs Verde</t>
  </si>
  <si>
    <t>Verde</t>
  </si>
  <si>
    <t>Este pulverizador automático é a solução perfeita para quem busca eficiência e conforto. Com apenas um clique, você tem um fluxo constante de pulverização, ideal para jardinagem, limpeza doméstica ou cuidados automotivos.
POR QUE ESCOLHER ESTE MODELO?
Operação de Um Toque: Esqueça o esforço manual. Basta apertar o botão para iniciar a rega ou aplicação de produtos.
Bico Regulável de Alta Precisão: Gire o bico para alternar entre uma névoa fina (ideal para plantas delicadas e higienização) e um jato direto (perfeito para limpeza de sujeiras localizadas).
Bateria de Longa Duração: Equipado com bateria de lítio recarregável via USB, garantindo autonomia para várias sessões de uso sem interrupções.
Design Ergonômico e Estiloso: Corpo em polímero resistente com design geométrico moderno na cor azul-turquesa, oferecendo pegada confortável e segura.
ESPECIFICAÇÕES TÉCNICAS:
Capacidade: 1 Litro.
Material: ABS / PE de alta densidade (Resistente e leve).
Alimentação: Bateria Recarregável (Cabo USB incluso).
Indicação de Uso: Água, fertilizantes líquidos, álcool 70%, produtos de limpeza leves e detalhamento automotivo.
Cor: Verde</t>
  </si>
  <si>
    <t>1674763143582097</t>
  </si>
  <si>
    <t>MLB6477991358</t>
  </si>
  <si>
    <t>U3856271420</t>
  </si>
  <si>
    <t>Kit 3 Cintos Nylon Tático Militar Fivela - Preto/azul/prata</t>
  </si>
  <si>
    <t>Preto / Azul / Prata Lisa 125</t>
  </si>
  <si>
    <t>kit 3 unidade
Cor: 1 preto, 1 azul, 1 prata - no mesmo kit.
O Cinto Longo Nylon Masculino Tático Lona Militar Fivela PVC da marca Armymen é a escolha ideal para quem busca durabilidade e funcionalidade. Com um design liso e elegante, este cinto é perfeito para qualquer ocasião, seja em atividades ao ar livre ou no dia a dia.
Feito em poliéster lona, ele oferece resistência e conforto, com uma largura de 4 cm que garante um ajuste seguro. A fivela preta, de design simples, complementa o visual, tornando-o versátil para diferentes estilos.
Este cinto é unissex, atendendo tanto homens quanto mulheres que valorizam a praticidade e a estética em seus acessórios. Adicione um toque de estilo e funcionalidade ao seu guarda-roupa com este cinto tático, que se destaca pela sua qualidade e versatilidade.</t>
  </si>
  <si>
    <t>2139162280002578</t>
  </si>
  <si>
    <t>MLB6581389112</t>
  </si>
  <si>
    <t>U3880733763</t>
  </si>
  <si>
    <t>GUI-001</t>
  </si>
  <si>
    <t>Guilhotina De Papel Menno Gpm 200 Preta 330mm Capacidade 8 Folhas</t>
  </si>
  <si>
    <t>A Guilhotina Cortadeira GPM 200 Preta da Menno é a ferramenta ideal para quem busca precisão e eficiência no corte de papel. Com uma capacidade de corte de até 8 folhas de 75 g, ela se destaca pela sua navalha afiada, garantindo cortes limpos e exatos. O comprimento de corte é de 330 mm, permitindo trabalhar com diferentes tamanhos de papel. Sua base é pintada com tinta eletrostática, conferindo durabilidade e resistência. Além disso, a serigrafia com escala milimétrica facilita a medição e o alinhamento dos cortes. O apoio em borracha proporciona maior aderência durante o uso, aumentando a segurança. Com dimensões compactas de 526 x 226 x 82 mm e peso de apenas 1,49 kg, é fácil de manusear e armazenar. A Guilhotina Menno é um produto novo, ideal para escritórios, escolas e uso doméstico, garantindo qualidade e praticidade em cada corte.</t>
  </si>
  <si>
    <t>Cortadores manuais de papel</t>
  </si>
  <si>
    <t>2144281894818643</t>
  </si>
  <si>
    <t>MLB6696701044</t>
  </si>
  <si>
    <t>U3939812090</t>
  </si>
  <si>
    <t>Sirene Alto-falante Senken Yd-100-30 100w 8 Ohms - Original</t>
  </si>
  <si>
    <t>Potência e Durabilidade para Segurança e Emergência
O Alto-falante de Sirene Senken YD-100-30 é a escolha profissional para veículos que exigem alta performance sonora e confiabilidade. Com um design ultra-fino (slim), ele é perfeito para instalações discretas e eficientes em espaços reduzidos, como atrás da grade frontal de viaturas, ambulâncias e veículos de apoio.
Equipado com imãs de neodímio de alta classe, este equipamento entrega uma pressão sonora impressionante de 122dB, garantindo que o alerta seja ouvido com clareza mesmo em ambientes ruidosos.
Destaques do Produto:
•	Design Ultra-Slim: Facilita a instalação em qualquer veículo.
•	Alta Resistência: Carcaça em nylon rígido resistente à corrosão e testada contra intempéries.
•	Som de Alta Performance: Tecnologia de neodímio para máxima eficiência acústica.
•	Certificação de Qualidade: Equipamento de padrão internacional amplamente utilizado em viaturas.
Especificações Técnicas:
•	Marca: Senken
•	Modelo: YD-100-30
•	Potência: 100 Watts
•	Impedância: 8 Ohms
•	Pressão Sonora: \(\ge \) 122 dB
•	Faixa de Frequência: 200Hz - 5000Hz
•	Peso: Aprox. 4,3kg
•	Temperatura de Operação: -40°C a +55°C
Conteúdo da Embalagem:
•	01 Alto-falante Senken YD-100-30
•	01 Suporte de fixação em "U"
•	Manual de instruções original
Ficha Técnica (Para preencher no sistema do Mercado Livre):
•	Marca: Senken
•	Modelo: YD-100-30
•	Potência de saída (RMS): 100W
•	Tipo de alto-falante: Corneta / Sirene
•	Materiais: Nylon de alta resistência e Neodímio</t>
  </si>
  <si>
    <t>3310340808255383</t>
  </si>
  <si>
    <t>MLB3592740247</t>
  </si>
  <si>
    <t>U608082542</t>
  </si>
  <si>
    <t>LD-0004</t>
  </si>
  <si>
    <t xml:space="preserve">Par Barra Led Drl Farol Aux Carro 20cm Aut Fita Decorativo </t>
  </si>
  <si>
    <t>137487572985169</t>
  </si>
  <si>
    <t>MLB3592854281</t>
  </si>
  <si>
    <t>U605577215</t>
  </si>
  <si>
    <t>LD 0022</t>
  </si>
  <si>
    <t xml:space="preserve">Par Barra Led Flexivel Drl Farol Aux Carro Fita Formato </t>
  </si>
  <si>
    <t>7968663551347151</t>
  </si>
  <si>
    <t>MLB3655606585</t>
  </si>
  <si>
    <t>U1151199768</t>
  </si>
  <si>
    <t>Luz Traseira E Reboque Ambar</t>
  </si>
  <si>
    <t>Luz de reboque redonda impermeável de 12,7 cm de diâmetro, 11 LEDs serve a 3 funções como luz de parada, luz de seta e luz traseira; montagem embutida com ilhós e tranças; aceita plugue padrão de 3 pinos; compatível com sistemas CC de 12 V; aprox. Anel de argola de 12,7 cm de diâmetro e diâmetro interno de de 3,5 cm; lente Ambar com 11 diodos de LED; luminária IP65 à prova d'água e suporta efetivamente a invasão e corrosão de areia, poeira, sujeira, chuva, neve etc. ; Fácil instalação: branco é o chão, vermelho é o alto brilho para luz de parada/luz de seta/luzes de freio e preto para baixo brilho como luz traseira/luz de corrida; Estas luzes são resistentes a impactos e menos suscetíveis a danos por choque. Cada luz LED é selada à prova d'água. Estes LEDs consomem menos corrente, geram menos calor e são mais brilhantes e leves mais rápido do que uma lâmpada incandescente; 12 volts de entrada; compatível com quase todos os automóveis e dispositivos equipados com uma fonte de alimentação CC de 8-16 volts como semi caminhão, semirreboque, caminhão de serviço, ônibus, caminhão de serviço, caminhão utilitário, reboque utilitário, reboque de barco, boia de desfile, reboque de cavalo, reboque utilitário. er, Caminhão de recolha, UTE, UTV  DAF, Foton, Hyundai, Iveco, Mercedes-Benz, MAN, Scania, Volkswagen e Volvo</t>
  </si>
  <si>
    <t>Luzes para bicicletas</t>
  </si>
  <si>
    <t>1226815569132786</t>
  </si>
  <si>
    <t>MLB4148511657</t>
  </si>
  <si>
    <t>U3345296014</t>
  </si>
  <si>
    <t>PET 009</t>
  </si>
  <si>
    <t>Tapete Colchonete Gelado Para Pets Cães Cachorro 60x45</t>
  </si>
  <si>
    <t>O Tapete Colchonete Gelado da CassPet é a solução perfeita para manter seu pet confortável e fresco em dias quentes. Com um tamanho médio de 60x45,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60X45: COMPRIMENTO:60CM LARGURA:45CM ALTURA: 3CM</t>
  </si>
  <si>
    <t>2629699410753653</t>
  </si>
  <si>
    <t>MLB4161569251</t>
  </si>
  <si>
    <t>U3356432613</t>
  </si>
  <si>
    <t>PIS001</t>
  </si>
  <si>
    <t>Pistola Pintura Profissional Bico 1,4mm 600ml Baixa Pressao</t>
  </si>
  <si>
    <t>Características e benefícios
Pistola de pulverização de alto volume e baixa pressão Conjuntos de bicos 100% ajustados manualmente garantem um nível alto e consistente, tanto para pistolas completas quanto para conjuntos de bicos de reposição Tampas de ar duráveis são feitas de latão (não alumínio), garantindo uma longa vida útil Adequado para tintas à base de água A agulha e o bico de tinta são feitos de aço inoxidável e o corpo da pistola de pulverização foi cuidadosamente anodizado A superfície cuidadosamente anodizada da pistola de pulverização também reduz a necessidade de limpeza Com controle contínuo do leque de pulverização redondo/plano, o padrão de pulverização pode ser ajustado para se adequar a qualquer objeto.
•	Padrão de pulverização em tamanho real, tornando-o ideal para pintura de detalhes
•	Usado para trabalhos de acabamento externo e interno
•	Aplicação de revestimentos protetores, decorativos e isolantes em diversas superfícies
•	Pistola de pintura profissional com bico de aço inoxidável, para trabalhos de pulverização eficientes
•	Pulverizador de tinta profissional altamente eficaz que evita o trabalho de pintar
Entrada de ar: 1/4” (bsp/npt/nps)
Pressão ideal de trabalho: 3 bar / 42 PSI
Largura do jato: 240 mm.
Consumo de ar: 6 – 16 cfm
Distância de pulverização: 200 mm
Capacidade do copo: 600 ml.
Bico: 1,4</t>
  </si>
  <si>
    <t>Pistolas de pintura pneumáticas</t>
  </si>
  <si>
    <t>636558654407568</t>
  </si>
  <si>
    <t>MLB4414889473</t>
  </si>
  <si>
    <t>U3727251566</t>
  </si>
  <si>
    <t>BOSS001</t>
  </si>
  <si>
    <t>Boss Cprd3.5 Capacitor De 3,5 Farad Com Voltímetro Digital</t>
  </si>
  <si>
    <t>Capacitor Boss Audio CPBK3.5 - 3.5 Farad com Display Digital LED e Alertas Sonoros
Melhore o grave e a performance do seu som automotivo com o capacitor Boss Audio Systems CPBK3.5 de 3.5 Farad.
Ideal para sistemas com amplificadores potentes e subwoofers que exigem muita energia instantanea. Este capacitor armazena energia e entrega picos de potencia quando o grave bate forte, evitando quedas de luz, pisca-pisca nos farois e perda de qualidade no som.
Principais caracteristicas:
- Capacitancia: 3.5 Farad (3.500.000 microfarad) - reserva de energia impressionante
- Resistencia interna ultra baixa (menor que 0.004 ohm) - entrega de energia rapida e eficiente
- Display digital LED super brilhante com 3 digitos e iluminacao vermelha - mostra a voltagem da bateria em tempo real
- Alertas sonoros inteligentes: polaridade invertida, sobrecarga de voltagem, bateria baixa
- Terminais com acabamento nickel de alta qualidade
- Suporte de fixacao (brackets) incluso para instalacao facil e segura
- Tensao nominal: 12V DC - Maxima: 16V DC
Perfeito para som pesado, pancadao, graves fortes sem comprometer a bateria ou o desempenho do veiculo.
Produto novo, original Boss Audio Systems - marca reconhecida mundialmente por qualidade e durabilidade no mercado de som automotivo.
Instalacao simples e resultado imediato: mais grave limpo, mais potencia e protecao para todo o sistema eletrico do carro.
Marca: Boss Audio Systems
Modelo: CPBK3.5</t>
  </si>
  <si>
    <t>Capacitor de áudio para veículos</t>
  </si>
  <si>
    <t>3007673977636753</t>
  </si>
  <si>
    <t>MLB4433990726</t>
  </si>
  <si>
    <t>U2396613289</t>
  </si>
  <si>
    <t>LD0026</t>
  </si>
  <si>
    <t>Par Barra Led Drl Flexivel Farol Aux Carro 20cm Aut Fita</t>
  </si>
  <si>
    <t>1488188209512000</t>
  </si>
  <si>
    <t>MLB4449836919</t>
  </si>
  <si>
    <t>U3766123144</t>
  </si>
  <si>
    <t>PUL-002</t>
  </si>
  <si>
    <t>Pulverizador Elétrico Voltz 2l Recarregável 2h De Bateria</t>
  </si>
  <si>
    <t>O Pulverizador Elétrico Voltz 2L Recarregável da marca THORxx é a solução ideal para quem busca praticidade e eficiência na hora de pulverizar. Com uma capacidade total de 2 litros, este pulverizador é perfeito para uso em jardins, hortas e até mesmo na limpeza de ambientes. Seu design leve, pesando apenas 600 g, facilita o manuseio, permitindo que você alcance todos os cantos sem esforço.
Equipado com uma bateria de lítio que oferece até 2 horas de autonomia, o Voltz garante que você possa realizar suas tarefas sem interrupções. O carregador USB incluído proporciona conveniência, permitindo que você recarregue o dispositivo em qualquer lugar. Com uma pressão máxima de 2 bar, ele assegura uma pulverização uniforme e eficaz.
O corpo do pulverizador é feito de plástico ABS premium, garantindo durabilidade e resistência. Além disso, o produto vem com um bocal extra, permitindo que você adapte a pulverização conforme a necessidade. Com dimensões compactas de 29 cm de altura, 14 cm de largura e 14 cm de comprimento, o Voltz é fácil de armazenar e transportar.
Se você procura um pulverizador que una tecnologia e praticidade, o Pulverizador Elétrico Voltz é a escolha certa. Ideal para quem valoriza eficiência e conforto em suas atividades diárias.</t>
  </si>
  <si>
    <t>7069581557615248</t>
  </si>
  <si>
    <t>MLB4473487663</t>
  </si>
  <si>
    <t>U3785096285</t>
  </si>
  <si>
    <t>SOM-004</t>
  </si>
  <si>
    <t>Caixa De Som Jardim Ambiente Soundtube Xt550 Ip 68 Outdoor</t>
  </si>
  <si>
    <t>Verde-escuro 127/220v</t>
  </si>
  <si>
    <t>TRANSFORME SEU JARDIM EM UM CINEMA AO AR LIVRE COM ÁUDIO PREMIUM 
Você investiu no visual do seu jardim, agora é hora de investir na experiência. A SoundTube XT550 não é apenas uma caixa de som; é a solução definitiva para quem busca alta fidelidade sonora sem interferir na estética do paisagismo.
Com design discreto na cor verde-escuro, ela se camufla perfeitamente entre plantas e folhagens, entregando um som cristalino e envolvente que parece vir "do nada".
POR QUE ESCOLHER A SOUNDTUBE XT550?
-Resistência Total (IP55): Chuva, sol intenso, poeira ou respingos da piscina? Sem problemas. Construída com materiais de nível industrial, ela é resistente a raios UV, arranhões, cloro e intempéries. Feita para durar anos ao ar livre.
-Som de Alta Performance: Diferente das caixas comuns, a XT550 oferece uma verdadeira resposta de graves e clareza vocal. Seu design de engenharia avançada garante uma dispersão sonora incrível ("fora do eixo"), preenchendo todo o ambiente com música de qualidade.
-Versatilidade Profissional: Ideal tanto para sua casa quanto para comércios (hotéis, resorts, parques). Possui chave seletora para sistemas de 25/70/100V ou uso convencional (Bypass), adaptando-se a qualquer projeto de som.
- Segurança Anti-Furto: Fique tranquilo. O produto inclui hardware de montagem resistente a roubo, garantindo que seu equipamento permaneça seguro no jardim.
IDEAL PARA:
Jardins e áreas de lazer residenciais.
Áreas de piscina e churrasqueiras.
Resorts, hotéis e parques temáticos.
Paisagismo corporativo e shoppings a céu aberto.
ESPECIFICAÇÕES TÉCNICAS:
Marca: SoundTube (Referência mundial em áudio outdoor).
Modelo: XT550.
Potência: 60W RMS (Som potente e limpo).
Woofer: 5.25" (133mm) para médios e graves definidos.
Proteção: IP55 (À prova d'água e poeira).
Instalação: Solo / Jardim / Superfície.
Transformador: Tap de 5 posições (25/70.7/100V) + Posição 8 Ohm (Bypass).
Cor: Verde-escuro (Camo para jardins).
Dimensões: Design compacto e robusto.</t>
  </si>
  <si>
    <t>Caixas de som</t>
  </si>
  <si>
    <t>3445743807128467</t>
  </si>
  <si>
    <t>MLB4654507317</t>
  </si>
  <si>
    <t>U3947626298</t>
  </si>
  <si>
    <t>ARA-003</t>
  </si>
  <si>
    <t>Kit 5kg Arame Galvanizado Thorxx Bwg 16 - 1,65mm (5 Rolos)</t>
  </si>
  <si>
    <t>POTENCIALIZE SUA OBRA OU CERCA COM A QUALIDADE THORXX!
Você está buscando resistência, durabilidade e facilidade no manuseio? O Arame Galvanizado Thorxx BWG 16 é a escolha ideal para quem não abre mão de qualidade profissional.
Este kit exclusivo contém 5 rolos de 1kg, totalizando 5kg de material. Por ser fracionado, facilita muito o transporte e o uso em diferentes pontos da sua propriedade ou obra, evitando desperdícios e o peso excessivo de um rolo único grande.
POR QUE ESCOLHER O ARAME THORXX?
Alta Durabilidade: Revestimento de zinco de alta qualidade que protege contra a ferrugem e corrosão, mesmo exposto a sol e chuva.
Espessura Robusta: Com 21,65mm de diâmetro (BWG 16), oferece a segurança necessária para cercas rurais, industriais e amarrações estruturais.
Versatilidade: Ideal para cercas de arame liso, sustentação de parreiras, fixação de telas, artesanato pesado e manutenções gerais.
Praticidade: Rolos individuais de 1kg que facilitam o desenrolar sem embaraçar.
ESPECIFICAÇÕES TÉCNICAS:
Diâmetro: 1,65 mm.
Acabamento: Galvanizado (Zincado).
Resistência: Alta tração.
Indicação: Cercas, amarrações, construção civil e agropecuária.
Comprimento total: 315 m
CONTEÚDO DA EMBALAGEM:
05 Rolos de Arame Galvanizado BWG 16 (1kg cada).</t>
  </si>
  <si>
    <t>6000906553440463</t>
  </si>
  <si>
    <t>MLB5498777692</t>
  </si>
  <si>
    <t>U3293095351</t>
  </si>
  <si>
    <t>Luz Motocicleta 20w Lampada Redondo De Trabalho 6500k</t>
  </si>
  <si>
    <t>Serve principalmente para melhorar a visibilidade e a segurança do veículo, além de adicionar um toque estilístico, especialmente em condições de baixa luminosidade.
Material: Aluminium+LED
Voltage: DC9-30V
LED power: 20W
Lumen value: 1800LM
size: 3*2inch
Color temperature: 6500k
waterproof grade: IP66</t>
  </si>
  <si>
    <t>8512766066558679</t>
  </si>
  <si>
    <t>MLB5546000602</t>
  </si>
  <si>
    <t>U3342047737</t>
  </si>
  <si>
    <t>PET019</t>
  </si>
  <si>
    <t>Tapete Piscina Chafariz Inflável Para Pet E Crianças 170cm</t>
  </si>
  <si>
    <t>Piscina Chafariz Inflável para Pets e Crianças – Diversão Refrescante no Verão!
Ideal para dias quentes, este tapete com chafariz é uma maneira divertida e refrescante de entreter seus pets e crianças no jardim, camping ou quintal. Uma combinação perfeita de fonte de água e piscina rasa, pensada para garantir diversão com segurança.
REFRESCÂNCIA GARANTIDA PARA SEUS COMPANHEIROS:
Projetado para proporcionar alívio nos dias de calor, este tapete com jatos d’água transforma qualquer ambiente externo em um espaço de lazer para cães, gatos e crianças.
DIVERSÃO SEGURA E INTELIGENTE:
A superfície do tapete possui textura antiderrapante, minimizando riscos de escorregões enquanto os pequenos – humanos ou de quatro patas – brincam com os jatos de água. Segurança e alegria em um só produto!
FÁCIL DE MONTAR E GUARDAR:
Conecte facilmente a uma mangueira comum e regule a pressão da água para ajustar a altura dos jatos. Quando terminar, é só esvaziar, dobrar e guardar. Leve e compacto para transporte.
DICA IMPORTANTE:
Antes de usar, corte as unhas do seu pet para evitar perfurações no material e garantir uma brincadeira tranquila.
Presenteie com diversão neste verão!
Perfeito para transformar os dias quentes em momentos inesquecíveis com seus filhos e animais de estimação
Características
Cor: Azul
Material: PVC Ecológico
Design Antiderrapante
Fácil de montar
Fácil de usar
Fácil de guardar
Dobrável
Divertido
Ampla Aplicação
Brincadeira
Dimensões Aproximadas
Largura/Diâmetro: 1,7 Metro
Altura: 14cm
Conteúdo da Embalagem:
1 Fonte Piscina
1 Bico Conector (Da mangueira ou tubo à fonte)</t>
  </si>
  <si>
    <t>Brinquedos y tobogãs infláveis</t>
  </si>
  <si>
    <t>3638835016680463</t>
  </si>
  <si>
    <t>MLB5578281196</t>
  </si>
  <si>
    <t>U3357343807</t>
  </si>
  <si>
    <t>PSI003</t>
  </si>
  <si>
    <t>Pistola Pintura Profissional Hvlp 1.4 H Caneca De Alumínio</t>
  </si>
  <si>
    <t>Pistola de pintura  bico 1.4mm 
Pistola de pintura com tecnologia HVLP, alto volume e baixa pressão, que proporciona melhor acabamento final, melhor atomização da tinta em relação ao sistema convencional.
Ideal para repintura automotiva onde se deseja ótimo acabamento, com baixo custo operacional e manutenção.
Características:
- Sistema HVLP;
- Equipada com regulador do leque e regulador do ar;
- Gatilho leve e preciso;
- Caneca Alumínio;
Informações Técnicas:
- Diâmetro do bico: 1.4mm / 1.7 mm
- Pressão do ar: 50 a 70 psi;
- Capacidade caneca: 1000 ml;
- Tipo de alimentação: Gravidade;</t>
  </si>
  <si>
    <t>1094766966297699</t>
  </si>
  <si>
    <t>MLB5649091208</t>
  </si>
  <si>
    <t>U3386219515</t>
  </si>
  <si>
    <t>Kit 2 Farol De Milha Led Retangular Mini Barra 6 Leds 18w</t>
  </si>
  <si>
    <t>Kit 2 unidades.
O Farol Mini Barra Led 18 Watts possui iluminação de alto brilho e pode ser utilizado em veículos off road, caminhões, reboques, ambientes externos e internos etc.
Indicado para veículos 4×4, veículos normais, caminhões, ônibus, entre outros.
Em caso de uso em ambientes residenciais deve-se utilizar uma fonte 10 à 30v.
Iluminação de alto brilho, possui 18w e conta com 6 LEDs garantindo visualização com total nitidez em momentos noturnos.
Possui longa vida útil, além de possuir proteção contra sujeiras e poeiras.
CARACTERÍSTICAS TÉCNICAS:
- Potência total: 18 watts
- Quantidade de LEDs: 6
- Tipo de Lente: 5D (3D+4D)
- Lentes: Flood / Melhor Abertura
- Potência por LED: 3 watts - Alta intensidade
- Tipo de LED/Chip: Epistar original
- Temperatura de cor: 6000K / branco
- Fluxo luminoso (± 15%): 1080LM CADA
- Distância de iluminação: ± 200~300 metros (par)
- Tensão de funcionamento: 12VDC A 24VDC
- Grau de proteção de água: IP67
- Corpo: Alumínio fundido
- Material das lentes: Policarbonato
- Bases de fixação: Metal
- Vida útil estimada: Acima 20.000 horas
- Comprimento do Cabo: 20cm
- Medidas :
Altura 4,2cm
Profundidade 4,3cm
Largura 15,6cm
APLICAÇÃO:
- CARRO
- CAMINHÃO
- TRATOR
- Off-Road
- Modelos 4X4
- Pick-ups
- Jeep
- Modelos universais com Santo Antônio
•• ITENS INCLUSOS:
01 Farol de LED Auxiliar 6 LEDS Mini Barra (COR DA ILUMINAÇÃO BRANCA)
01 Kit de Instalação (parafusos, porcas e base)
OBS: ** Recomendamos a aplicação por profissional especializado, não nos responsabilizamos pela má aplicação do produto. **
#FarolDeMilha #LED #IluminaçãoAutomotiva #AcessóriosAutomotivos #FarolLED #FarolDeMilhaLED #FarolMini #CarroLED #Automotivo #PersonalizaçãoDeCarro</t>
  </si>
  <si>
    <t>5941810698644003</t>
  </si>
  <si>
    <t>MLB6202365310</t>
  </si>
  <si>
    <t>U3762557082</t>
  </si>
  <si>
    <t>FITA-001</t>
  </si>
  <si>
    <t>Fita De Vídeo Sony Digital Video Cassette 1 Un</t>
  </si>
  <si>
    <t>A fita de vídeo Sony Digital Video Cassette 1 unidade é a escolha ideal para quem busca qualidade e confiabilidade na gravação de vídeos. Com o formato Mini DV, ela oferece uma excelente resolução e clareza, permitindo que você capture momentos especiais com detalhes impressionantes.
Com um tempo de gravação de 60 minutos em modo SP, esta fita é perfeita para gravações de eventos, entrevistas ou qualquer ocasião que você deseje registrar. A marca Sony é reconhecida mundialmente pela sua inovação e tecnologia, garantindo que você tenha um produto de alto desempenho em suas mãos.
Seja para uso pessoal ou profissional, a fita de vídeo Sony é compatível com uma variedade de câmeras e dispositivos, facilitando a sua utilização. Não perca a oportunidade de preservar suas memórias com a qualidade que só a Sony pode oferecer.</t>
  </si>
  <si>
    <t>8623309774691947</t>
  </si>
  <si>
    <t>MLB6203563978</t>
  </si>
  <si>
    <t>U3763617338</t>
  </si>
  <si>
    <t>VIS-002</t>
  </si>
  <si>
    <t>Viseira Transparente Zeus Para Motos De Trilha</t>
  </si>
  <si>
    <t>A viseira transparente Zeus para motos de trilha é a escolha ideal para os motociclistas que buscam segurança e visibilidade em suas aventuras. Com um design que se adapta perfeitamente ao capacete, proporciona uma visão clara e sem distorções, essencial para enfrentar os desafios das trilhas.
Fabricada pela renomada marca Zeus, esta viseira é resistente e durável, garantindo proteção contra impactos e elementos externos. Sua transparência permite que você aproveite ao máximo a luz natural, sem comprometer a segurança durante a pilotagem.
Além disso, a viseira é fácil de instalar e remover, facilitando a manutenção do seu equipamento. Invista na sua segurança e conforto com a viseira transparente Zeus, um acessório indispensável para quem vive a emoção das trilhas.</t>
  </si>
  <si>
    <t>8817782815093787</t>
  </si>
  <si>
    <t>MLB6259240894</t>
  </si>
  <si>
    <t>U3794098407</t>
  </si>
  <si>
    <t>AMP-001</t>
  </si>
  <si>
    <t>Medidor Amperímetro Ponteiro Ac 30a Quadrado  48x48mm</t>
  </si>
  <si>
    <t>O Medidor Amperímetro Ponteiro AC 30A Quadrado 48x48mm é a solução ideal para quem busca precisão e confiabilidade em medições elétricas. Com um design analógico, este aparelho permite uma leitura clara e fácil, sendo perfeito para profissionais e entusiastas da eletricidade. 
Compatível com tensões de 110/220V e com uma tensão máxima de 500V, o modelo T48-A é capaz de medir correntes de até 30A, garantindo versatilidade em diversas aplicações. Sua frequência máxima de 60Hz e temperatura de operação de até 80°C tornam este amperímetro uma ferramenta robusta e eficiente.
Com dimensões compactas de 48x48mm, ele se adapta facilmente a diferentes painéis e ambientes de trabalho. O peso de apenas 300g facilita o transporte e manuseio, tornando-o uma escolha prática para quem precisa de um medidor confiável em qualquer situação. 
Se você procura um instrumento que combine qualidade e funcionalidade, o Medidor Amperímetro Ponteiro é a escolha certa para suas necessidades elétricas. Ideal para uso em laboratórios, oficinas e projetos de eletricidade, este produto é um aliado indispensável para garantir medições precisas e seguras.</t>
  </si>
  <si>
    <t>Alicates amperímetros</t>
  </si>
  <si>
    <t>7963524411876837</t>
  </si>
  <si>
    <t>MLB6273349032</t>
  </si>
  <si>
    <t>U3795579161</t>
  </si>
  <si>
    <t>Acessorio Turbonebulizador An12 Para Pulverizadores</t>
  </si>
  <si>
    <t>O Acessório Turbonebulizador AN12 é a solução ideal para quem busca eficiência e praticidade na pulverização. Compatível com pulverizadores elétricos ou manuais, este acessório da marca Kawashima é projetado para funcionar com uma entrada de 12V e possui um peso líquido de 1,5 kg. Embora não acompanhe bateria, sua versatilidade permite o uso com diferentes tipos de pulverizadores. Com capacidade para um volume líquido de 33 litros, é perfeito para aplicações que exigem precisão e eficácia. Este produto é inflamável e vem embalado em formato aerossol, garantindo facilidade de uso e armazenamento. Ideal para quem precisa de um equipamento confiável e de alta performance.</t>
  </si>
  <si>
    <t>Inseticidas</t>
  </si>
  <si>
    <t>5471731977404689</t>
  </si>
  <si>
    <t>MLB6946415658</t>
  </si>
  <si>
    <t>U4075557593</t>
  </si>
  <si>
    <t>SIN-001</t>
  </si>
  <si>
    <t>Kit 3 Sinalizadores Emergência Led Road Flares Maleta Imã</t>
  </si>
  <si>
    <t>GARANTA SUA SEGURANÇA E DA SUA FAMÍLIA EM SITUAÇÕES DE EMERGÊNCIA NA ESTRADA!
PRINCIPAIS BENEFÍCIOS E CARACTERÍSTICAS:
•	FIXAÇÃO MAGNÉTICA ULTRAFORTE: Possui potentes ímãs na base. Fixe facilmente na lataria, teto ou porta-malas do carro sem arranhar a pintura.
•	9 MODOS DE ILUMINAÇÃO: Alterne facilmente entre funções de pisca-pisca rápido, rotação de luz, SOS em código Morse e modo lanterna branca.
•	RECARREGÁVEL E COMPLETO: Esqueça as pilhas! A própria maleta rígida serve como estação de recarga. Acompanha carregador de tomada residencial (Bivolt) e carregador veicular de 12V.
•	RESISTÊNCIA EXTREMA: Fabricado em plástico ABS com revestimento em borracha térmica. É à prova d'água (IP67) e resiste até mesmo se um veículo passar por cima.
•	ALTA VISIBILIDADE: Os LEDs brilhantes garantem sinalização eficiente em 360° mesmo sob chuva forte, neblina ou escuridão total.
O QUE VEM NA EMBALAGEM:
•	01 Maleta Rígida Organizadora e Carregadora
•	03 Discos Sinalizadores de LED Magnéticos (Laranja)
•	01 Carregador de Tomada Residencial (Bivolt)
•	01 Carregador Veicular 12V (Acendedor de cigarros)
ESPECIFICAÇÕES TÉCNICAS:
•	Alimentação: Bateria interna recarregável de Lítio
•	Material: ABS e Borracha Térmica (TPE)
•	Cor da luz: Âmbar / Laranja
•	Fixação: Magnética e gancho traseiro para pendurar
FICHA TÉCNICA 
•	Modelo: Kit Sinalizador LED Road Flares 3 Unidades
•	Tipo de luz: LED
•	Quantidade de LEDs: 16 por disco
•	É à prova d'água: Sim</t>
  </si>
  <si>
    <t>994474047896629</t>
  </si>
  <si>
    <t>MLB3654386695</t>
  </si>
  <si>
    <t>U1149853436</t>
  </si>
  <si>
    <t xml:space="preserve">Farol Milha Led Barra Slim Reta 9w 12/24v </t>
  </si>
  <si>
    <t>9 WATTS de Potência
2000 Lúmens
Tensão de alimentação 12 a 24 Volts DC.
- Dimensões dos faróis: 14,3 cm (com os suportes) x 3 cm.
Quanto maior o número de lúmens mais ilumina, independente de quantos Leds tem, pois pode ter menos Leds e mais lúmens se os Leds forem mais potentes ou mais eficientes.
#LEDlighting #offroad #automotive #vehicleaccessories #LEDbar #lighting #automotiveparts #LED #lightbar #milhaledd #farolled #slimbar #12V24V #highlumens #vehiclelights</t>
  </si>
  <si>
    <t>5868472263906257</t>
  </si>
  <si>
    <t>MLB4186186602</t>
  </si>
  <si>
    <t>U1158826179</t>
  </si>
  <si>
    <t>Cone Flexível Deholog A 109 Sinalização Segurança</t>
  </si>
  <si>
    <t>Descrição
8 UNIDADES - Cones flexiveis e ou cones retráteis Reflexivos para transito (sistema telescopico), forças de segurança, caminhões de combustiveis e quimicos ou outro para estrada
Descrição do produto:
Cone com sistema telescópico de transito e segurança com luz de advertência de LED COM Abertura de 72 cm à prova de chuva e alta resistencia.
O cone de transito retratil é dobrável e se acondiciona em pequenos compartimentos, fácil de operar e fácil de transportar. O cone é feito de tecido de oxford reflexivo impermeável macio e equipado com cinto refletor de 150x100mm.
A parte superior é equipada com o led intermitente (Estilo pisca pisca) com freqüência de intermitencia de mais de 150 vezes/min, o Led e com força para atravessar nevoeiros, noites com chuva e outras interpéries.
Especificações:
Quqntidade: 7 unidades
Material: pano de oxford e base em borracha com placa PP
* Tamanho: 380*380*720mm,
* Peso cerca de 3.4kgs;
* Refletor: 2pcs, 150+100mm;
* Cor: vermelho, cinza, preto;
* Luz inferior: 1pc LED, estilo pisca pisca &amp; steady-on, alimentado por 2pcs pilhas AAA (não incluído no produto e preço unitário);
* Sem top ligh
Tamanho: aprox.230x230x40mm/9.1x9.1x1.6 polegada
#SegurançaViária #ConesFlexíveis #SinalizaçãoEficiente #TráfegoSeguro #ConesDeSegurança #VisibilidadeNoTrânsito #MobilidadeUrbana #SinalizaçãoFlexível #ConeDeTrânsito #SegurançaNasEstradas #ConesRefletivos #AlertaNoTrânsito #ManutençãoDeEstradas #TrabalhoSeguro #SinalizaçãoRodoviária</t>
  </si>
  <si>
    <t>804785830060678</t>
  </si>
  <si>
    <t>MLB4201693313</t>
  </si>
  <si>
    <t>U3412909661</t>
  </si>
  <si>
    <t>LIX001</t>
  </si>
  <si>
    <t>Lixadeira Pneumatica Lixa, Aspira, Coleta E Polimento</t>
  </si>
  <si>
    <t>- Projetada para trabalhos de lixamento, acabamento em superfícies diversas
- Possui um sistema de aspiração e saco coletor, que suga parcialmente a fuligem decorrente de sua operação
- Perfeitamente equilibrada, transmite menos vibração ao operador e mantém a rotação constante, com isto garante produtividade em seu trabalho
ESPECIFICAÇÕES:
Disco de lixa 6" (150mm)
Velocidade 10000RPM
Entrada de ar 1/4"
Mangueira 3/8"
Pressão do ar: 90PSI
Consumo de ar: 3CFM
INCLUI:
Lixadeira Pneumática
Bico engate rápido
Chave de aperto
Saco coletor de pó
Mangueira</t>
  </si>
  <si>
    <t>Lixadeiras pneumáticas</t>
  </si>
  <si>
    <t>8762023856130281</t>
  </si>
  <si>
    <t>MLB4379503035</t>
  </si>
  <si>
    <t>U3695877412</t>
  </si>
  <si>
    <t>CIN-008</t>
  </si>
  <si>
    <t>Kit 150 Cintos Antialergico Fivela De Engate Rapido - Azul</t>
  </si>
  <si>
    <t>Azul 125</t>
  </si>
  <si>
    <t>Produtos de alta qualidade e tecnologia para todos os segmentos esportivos. Seus produtos possuem excelente acabamento e durabilidade, sendo desenvolvidos com matérias-primas diferenciadas para que os atletas se preocupem unicamente em seus próprios resultados. O cinto com fivela de engate rápido sem metal é ideal para adultos de ambos os gêneros, com uma fivela preta feita de PVC e plástico de alta resistência. Fabricado em lona de poliéster, este cinto tem uma largura de 3.8 cm e é altamente durável. A marca GUIFITSHOP garante que este produto é novo e sem validade, perfeito para quem busca qualidade e praticidade.</t>
  </si>
  <si>
    <t>7633690780677043</t>
  </si>
  <si>
    <t>MLB4419831269</t>
  </si>
  <si>
    <t>U3733455624</t>
  </si>
  <si>
    <t>CV-001</t>
  </si>
  <si>
    <t>Motor De Cortina Estacionário A-ok Am68-1/80-eq-p Branco</t>
  </si>
  <si>
    <t>O Motor de Cortina Estacionário A-OK AM68-1/80-EQ-P é a solução ideal para quem busca eficiência e praticidade. Com um design compacto, suas dimensões de 35 cm de comprimento e 10 cm de largura permitem fácil adaptação em diversos ambientes. Este motor elétrico, com peso de apenas 1,15 kg, é construído em metal e plástico, garantindo durabilidade e resistência.
Com uma velocidade máxima de rotação de 80 rpm e um torque máximo de 1 Nm, o A-OK AM68-1/80-EQ-P proporciona um desempenho confiável para suas cortinas. A orientação do eixo horizontal facilita a instalação e o uso, tornando-o uma escolha versátil para diferentes tipos de cortinas. Ideal para residências e escritórios, este motor combina funcionalidade e estética, elevando a experiência do usuário.</t>
  </si>
  <si>
    <t>Motores estacionários</t>
  </si>
  <si>
    <t>1999242963215966</t>
  </si>
  <si>
    <t>MLB4479016225</t>
  </si>
  <si>
    <t>U3795347847</t>
  </si>
  <si>
    <t>AMO-001</t>
  </si>
  <si>
    <t>Kit 2 Amortecedores Elétricos Tampa Traseira De Porta-malas</t>
  </si>
  <si>
    <t>Kit de amortecedores elétricos para abertura e fechamento automático da tampa traseira do porta-malas. Ideal para facilitar o acesso ao compartimento de carga, proporcionando mais conforto e praticidade no dia a dia.
ESPECIFICAÇÕES
- Contém 2 amortecedores elétricos com conectores e chicotes.
- Compatível com diversos modelos de veículos (verifique compatibilidade antes da compra).
- Produto novo, pronto para instalação.
RECOMENDAÇÕES
- VERIFIQUE A COMPATIBILIDADE DO ENCAIXE COM O SEU VEICULO
Recomendamos a instalação por profissional especializado para garantir o funcionamento correto e a segurança do sistema.</t>
  </si>
  <si>
    <t>Amortecedores a gás para veículos</t>
  </si>
  <si>
    <t>2750792692201751</t>
  </si>
  <si>
    <t>MLB4486661875</t>
  </si>
  <si>
    <t>U3816370964</t>
  </si>
  <si>
    <t>EST-001</t>
  </si>
  <si>
    <t>Estribo Lateral Plataforma Hyundai Santa Fe 2013 A 2018</t>
  </si>
  <si>
    <t>Dê um upgrade no visual e na praticidade do seu Hyundai Santa Fe!
O Estribo Lateral tipo Plataforma é o acessório ideal para quem busca facilitar o embarque e desembarque de passageiros, além de proporcionar uma proteção extra para a lateral do veículo contra barro, pedras e pequenos impactos de portas em estacionamentos.
COMPATIBILIDADE:
Hyundai Santa Fe: 2013, 2014, 2015, 2016, 2017 e 2018.
(Também compatível com versões Grand Santa Fe - verificar se o seu modelo é de 5 ou 7 lugares).
CARACTERÍSTICAS TÉCNICAS:
Material: Alumínio de alta resistência (não enferruja).
Acabamento: Ponteiras em plástico ABS injetado com proteção UV.
Segurança: Superfície antiderrapante para total firmeza ao pisar.
Instalação: Fixação nos pontos originais do chassi, dispensando novas furações.
Capacidade: Suporta até 120kg a 150kg por lado (dependendo do modelo do suporte).
CONTEÚDO DA EMBALAGEM:
02 Estribos Laterais (Lado Direito e Esquerdo).</t>
  </si>
  <si>
    <t>7836075380471861</t>
  </si>
  <si>
    <t>MLB4504137499</t>
  </si>
  <si>
    <t>U3817351607</t>
  </si>
  <si>
    <t>AQC-002</t>
  </si>
  <si>
    <t>Aquecedor Industrial A Gás Sial 50kw - Canhão De Calor</t>
  </si>
  <si>
    <t>O Aquecedor a Gás SIAL de 50kW é a solução ideal para quem busca eficiência no aquecimento de grandes áreas. Projetado para ambientes industriais e comerciais, como galpões, oficinas, obras e eventos, este equipamento oferece alto desempenho e segurança.
Potência Térmica: 50 kW (aproximadamente 171.000 BTU/h) – ideal para aquecer rapidamente espaços amplos. 
Vazão de Ar: Cerca de 1.500 m³/h, garantindo uma distribuição uniforme do calor. 
Segurança: Equipado com sistema de proteção contra superaquecimento e corte automático de gás em caso de falha na chama. 
Portabilidade: Design robusto com alça superior para fácil transporte.
Combustível: Funciona com gás GLP/Propano (já acompanha mangueira e regulador de pressão).</t>
  </si>
  <si>
    <t>Aquecedores de ambiente a gás</t>
  </si>
  <si>
    <t>4811574121675342</t>
  </si>
  <si>
    <t>MLB4504200103</t>
  </si>
  <si>
    <t>U3827261734</t>
  </si>
  <si>
    <t>ACD-001</t>
  </si>
  <si>
    <t>Aquecedor Industrial Canhão De Calor A Diesel/querosene</t>
  </si>
  <si>
    <t>Aqueça grandes ambientes de forma rápida e eficiente com este aquecedor industrial de alto desempenho. Ideal para canteiros de obras, oficinas, galpões, eventos e uso em aviários ou estufas.
Combustível: Funciona com Diesel ou Querosene.
Mobilidade: Design com rodas robustas e alça ergonômica para fácil transporte.
Segurança: Sistema de combustão controlada e grade de proteção frontal.
Aplicação: Secagem de pintura, aquecimento de ambientes amplos e controle de temperatura em criações.
Estado: Equipamento robusto e pronto para uso pesado.
Ficha Técnica (Estimada):
Tipo: Aquecedor de ar forçado.
Tanque: Alta capacidade para longa autonomia.
Voltagem: 220V (para acionamento do ventilador).</t>
  </si>
  <si>
    <t>Aquecedores a querosene</t>
  </si>
  <si>
    <t>3330320308642168</t>
  </si>
  <si>
    <t>MLB4508106781</t>
  </si>
  <si>
    <t>U3830724128</t>
  </si>
  <si>
    <t>Arame Migacos Er70s-6 1,20mm Em Carretel Para Soldagem</t>
  </si>
  <si>
    <t>Cobre</t>
  </si>
  <si>
    <t>O Arame MigAcos ER70S-6 1,20mm em Carretel é a escolha ideal para profissionais e entusiastas da soldagem que buscam qualidade e versatilidade. Com um calibre de 12 e espessura de 1,2 mm, este arame é projetado para atender a diversas aplicações em aço carbono, garantindo resultados consistentes e duradouros.
Este modelo é moldável e apto para soldar, o que o torna uma opção multiuso para diferentes projetos. Seu peso de 15 kg proporciona uma quantidade adequada para trabalhos extensos, permitindo que você se concentre na execução sem preocupações com a reposição constante.
A marca MigAcos é reconhecida pela sua excelência e confiabilidade no mercado, oferecendo produtos que atendem às necessidades dos soldadores mais exigentes. Ao escolher o Arame MigAcos ER70S-6, você investe em um material que combina resistência e facilidade de manuseio, ideal para garantir a qualidade do seu trabalho.</t>
  </si>
  <si>
    <t>MLB4571378669</t>
  </si>
  <si>
    <t>Pulverizador Elétrico Voltz 2l Recarregável 2h De Bateria Laranja</t>
  </si>
  <si>
    <t>O Pulverizador Elétrico Voltz 2L Recarregável é a solução ideal para quem busca praticidade e eficiência na hora de pulverizar. Com uma capacidade total de 2 litros, este pulverizador é perfeito para uso em jardins, hortas e na limpeza de ambientes. Seu design leve, pesando apenas 600 g, facilita o manuseio, permitindo que você alcance todos os cantos sem esforço.
Equipado com uma bateria de lítio que oferece até 2 horas de autonomia, o Voltz garante que você possa realizar suas tarefas sem interrupções. O carregador USB incluído proporciona conveniência, permitindo que você recarregue o dispositivo em qualquer lugar. Com uma pressão máxima de 2 bar, ele assegura uma pulverização uniforme e eficaz.
O corpo do pulverizador é feito de plástico ABS premium, garantindo durabilidade e resistência. Além disso, o produto vem com um bocal extra, permitindo que você adapte a pulverização conforme a necessidade. Com dimensões compactas de 29 cm de altura, 14 cm de largura e 14 cm de comprimento, o Voltz é fácil de armazenar e transportar.
Se você procura um pulverizador que una tecnologia e praticidade, o Pulverizador Elétrico Voltz é a escolha certa.</t>
  </si>
  <si>
    <t>4679779947659090</t>
  </si>
  <si>
    <t>MLB4595179054</t>
  </si>
  <si>
    <t>U610950364</t>
  </si>
  <si>
    <t>F0016</t>
  </si>
  <si>
    <t>4 Strobo 12 Led Estroboscópio 12v 722w Ipx-4</t>
  </si>
  <si>
    <t>Tensão: 12V
Tipo de material: Alumínio
Power: 722W
IPX-4
4 STROBOS 12 LEDS
#strobo #Estroboscópio #12leds</t>
  </si>
  <si>
    <t>125701723501146</t>
  </si>
  <si>
    <t>MLB4595788564</t>
  </si>
  <si>
    <t>U2729290713</t>
  </si>
  <si>
    <t>F0019</t>
  </si>
  <si>
    <t>Farol Luminaria Led Auxiliar Automotivo Potente 40w</t>
  </si>
  <si>
    <t>INFORMAÇÕES TÉCNICAS:
- Material da Carcaça: Alumínio Fundido
- Material da Lente: PMMA
- Material do Suporte: Aço inoxidável
- Luz Branca
- Voltagem: 9~50v
- Taxa à prova d'água: IP 67
(Recomendamos passar um silicone de proteção nos contornos da lente para melhorar a vida útil do produto, pois ele não é totalmente aprova d'água)
- Temperatura de Cor: 6000k
- Vida Útil: Mais de 30000 horas
- Saída de Luz: 3530 LM
- Energia de LED: 40W (4 LEDs de 10W)
- Temperatura: -40~60ªC
#FarolLedAutomotivo #IluminaçãoAuxiliar #40W #LumináriaAutomotiva</t>
  </si>
  <si>
    <t>1576750102980436</t>
  </si>
  <si>
    <t>MLB4595894248</t>
  </si>
  <si>
    <t>U608373699</t>
  </si>
  <si>
    <t>F0021</t>
  </si>
  <si>
    <t>4 Strobo 3 Led Estroboscópio 12v Ipx-4</t>
  </si>
  <si>
    <t>Aplicável a todos os tipos de veículos, especialmente para advertência e outros fins especiais, como ambulâncias; também se aplica a motocicletas.
IP67 Impermeável: a luz estroboscópica adota um design à prova d'água, pode ser usada com segurança em dias chuvosos e nebulosos, melhorando a segurança ao dirigir e evitando acidentes de trânsito.
5 modos de intermitência: Com 5 modos de flash selecionáveis, modos de cor sólida e cores divididas, é fácil de operar com o controlador e cabo de alimentação. 
Forte transmissão de luz: feita de concha preta e lente transparente, a lâmpada intermitente tem forte transmissão de luz, resistência a altas temperaturas, com vida útil de até 50000 horas.
Plug and Play: O fio preto é o pólo negativo e o fio vermelho é o pólo positivo.
A para ligar/desligar; B para acelerar ou desacelerar; C para SWITCH; D para sempre brilhante.</t>
  </si>
  <si>
    <t>5192818569834959</t>
  </si>
  <si>
    <t>MLB4595973722</t>
  </si>
  <si>
    <t>U608442735</t>
  </si>
  <si>
    <t>U0036</t>
  </si>
  <si>
    <t>Luz Traseira De Reboque Led Redondo Ambar 10 Cm 7 Led</t>
  </si>
  <si>
    <t>S/n Preto Ambar</t>
  </si>
  <si>
    <t>Luz de reboque redonda impermeável de 12,7 cm de diâmetro, 7 LEDs serve a 3 funções como luz de parada, luz de seta e luz traseira; montagem embutida com ilhós e tranças; aceita plugue padrão de 3 pinos; compatível com sistemas CC de 12 V; aprox. Anel de argola de 12,7 cm de diâmetro e diâmetro interno de 10 cm e espessura de 3,5 cm; lente Ambar com 7 diodos de LED; luminária IP65 à prova d'água e suporta efetivamente a invasão e corrosão de areia, poeira, sujeira, chuva, neve etc. ; Fácil instalação: branco é o chão, vermelho é o alto brilho para luz de parada/luz de seta/luzes de freio e preto para baixo brilho como luz traseira/luz de corrida; Estas luzes são resistentes a impactos e menos suscetíveis a danos por choque. Cada luz LED é selada à prova d'água. Estes LEDs consomem menos corrente, geram menos calor e são mais brilhantes e leves mais rápido do que uma lâmpada incandescente; 12 volts de entrada; compatível com quase todos os automóveis e dispositivos equipados com uma fonte de alimentação CC de 8-16 volts como semi caminhão, semirreboque, caminhão de serviço, ônibus, caminhão de serviço, caminhão utilitário, reboque utilitário, reboque de barco, boia de desfile, reboque de cavalo, reboque utilitário. er, Caminhão de recolha, UTE, UTV Peterbilt, freightliner, internacional, Kenworth, Mack, caminhão, etc</t>
  </si>
  <si>
    <t>Lâmpadas LED para veículos</t>
  </si>
  <si>
    <t>2362704908179986</t>
  </si>
  <si>
    <t>MLB4662133549</t>
  </si>
  <si>
    <t>U3954697398</t>
  </si>
  <si>
    <t>2458163801766416</t>
  </si>
  <si>
    <t>MLB4662133645</t>
  </si>
  <si>
    <t>U3942846081</t>
  </si>
  <si>
    <t>MLB4662133647</t>
  </si>
  <si>
    <t>U3954697538</t>
  </si>
  <si>
    <t>MLB4662133649</t>
  </si>
  <si>
    <t>U3942847069</t>
  </si>
  <si>
    <t>MLB4662133657</t>
  </si>
  <si>
    <t>U3954704548</t>
  </si>
  <si>
    <t>3013132914278994</t>
  </si>
  <si>
    <t>MLB4794415201</t>
  </si>
  <si>
    <t>U4116899767</t>
  </si>
  <si>
    <t>BOM001</t>
  </si>
  <si>
    <t>Bomba Centrífuga Dancor Cam-w6 2.0cv Trifásica 220v/380v Ir3</t>
  </si>
  <si>
    <t>Preto Trifásico 60 Hz Trifásica</t>
  </si>
  <si>
    <t>Bomba Centrífuga Dancor CAM-W6 2,0 CV Trifásica 220V/380V – Alta Eficiência IR3
Perfeita para aplicações residenciais, prediais, industriais e agrícolas.
FICHA TÉCNICA
Marca: Dancor
Modelo: CAM-W6 T NEMA 56
Potência: 2,0 CV (1,50 kW)
Fase Elétrica: Trifásica
Tensão: 220V / 380V
Vazão Máxima: 4,67 m³/h
Altura Manométrica Máxima: 32,3 mca
Rotação: 3.480 RPM
ESPECIFICAÇÕES TÉCNICAS
• Potência: 2,0 CV (1,50 kW)
• Alimentação: Trifásica (220V em Triângulo / 380V em Estrela )
• Frequência: 60 Hz
• Corrente Nominal: 5,70 A (220V) / 3,30 A (380V)
• Vazão Máxima: 4,67 m³/h
• Altura Manométrica Máxima: 32,3 m.c.a.
• Rotação: 3.480 RPM
• Grau de Proteção do Motor: IP21
DIFERENCIAIS DO PRODUTO
• Motor Hercules Premium IR3 com rendimento de 85,5%, proporcionando maior eficiência energética.
• Carcaça robusta com excelente dissipação térmica e alta resistência mecânica.
• Permite fechamento elétrico para redes trifásicas de 220V e 380V.
• Ideal para aplicações residenciais, comerciais, industriais e agrícolas.
CONTEÚDO DA EMBALAGEM
• 01 Motobomba Dancor CAM-W6 2,0 CV Trifásica.
• Manual original de instruções e instalação hidráulica/elétrica.</t>
  </si>
  <si>
    <t>Bombas centrífugas e periféricas</t>
  </si>
  <si>
    <t>561810528079005</t>
  </si>
  <si>
    <t>MLB5290093866</t>
  </si>
  <si>
    <t>U3017045133</t>
  </si>
  <si>
    <t>T002</t>
  </si>
  <si>
    <t>Toldo Retrátil Motorizado 3,5x2,5m Motor Aluminio</t>
  </si>
  <si>
    <t>Cáqui</t>
  </si>
  <si>
    <t>Toldo motorizado Estrutura de alumínio | Braço com luz
O design de caixa cheia permite que o tecido e os braços de suporte sejam mais bem protegidos quando armazenados na caixa, destacando as linhas e a unidade do esqueleto.
O braço curvo pode ser uma faixa de luz opcional, para que o espaço escuro adicione alguns brilhantes.
Operação flexível e conveniente, manivela ou controle remoto elétrico opcional.
Usando tecido importado da Espanha CITEL, solidez da cor até 10 anos.
Adequado para vilas, clubes de lazer, residenciais e outros locais de moradia
A estrutura de segurança suporta até 500 libras de peso ou mais.
Dispositivo de cobertura, protege efetivamente a estrutura e o tecido de todos os tipos de sujeira.
Conector peças de conexão de laca cozida resistentes ao desgaste e sem ferrugem.
Corrente de aço inoxidável, juntas de braço curvas de liga de alumínio  com corrente resistente ao desgaste de aço inoxidável para aumentar o uso de durabilidade.</t>
  </si>
  <si>
    <t>3070235910573505</t>
  </si>
  <si>
    <t>MLB5525429942</t>
  </si>
  <si>
    <t>U3330253520</t>
  </si>
  <si>
    <t>PET004</t>
  </si>
  <si>
    <t>Piscina Banheira Cachorro Pets Dobrável Azul 60 X 20 Cm</t>
  </si>
  <si>
    <t>Transforme os dias do seu melhor amigo em pura alegria com a nossa Piscina para Pets Cachorros Pet Tub 60x20cm!
Com dimensões espaçosas de 60x20cm, este oásis aquático é perfeito para momentos de diversão e relaxamento. Veja seu peludo se refrescar, brincar e esbanjar felicidade enquanto você cria memórias inesquecíveis juntos. Dobre e leve para onde quiser, proporcionando ao seu pet a felicidade de um mergulho refrescante a qualquer hora.
Faça da diversão uma rotina e compartilhe sorrisos molhados com seu fiel companheiro</t>
  </si>
  <si>
    <t>Produtos para animais e bichos de estimação</t>
  </si>
  <si>
    <t>4948166215177958</t>
  </si>
  <si>
    <t>MLB5545558556</t>
  </si>
  <si>
    <t>U3347979868</t>
  </si>
  <si>
    <t>PET017</t>
  </si>
  <si>
    <t>Tapete Piscina Chafariz Inflável Para Pet E Crianças 100cm</t>
  </si>
  <si>
    <t>Piscina Chafariz Inflável para Pets e Crianças – Diversão Refrescante no Verão!
Ideal para dias quentes, este tapete com chafariz é uma maneira divertida e refrescante de entreter seus pets e crianças no jardim, camping ou quintal. Uma combinação perfeita de fonte de água e piscina rasa, pensada para garantir diversão com segurança.
REFRESCÂNCIA GARANTIDA PARA SEUS COMPANHEIROS:
Projetado para proporcionar alívio nos dias de calor, este tapete com jatos d’água transforma qualquer ambiente externo em um espaço de lazer para cães, gatos e crianças.
DIVERSÃO SEGURA E INTELIGENTE:
A superfície do tapete possui textura antiderrapante, minimizando riscos de escorregões enquanto os pequenos – humanos ou de quatro patas – brincam com os jatos de água. Segurança e alegria em um só produto!
FÁCIL DE MONTAR E GUARDAR:
Conecte facilmente a uma mangueira comum e regule a pressão da água para ajustar a altura dos jatos. Quando terminar, é só esvaziar, dobrar e guardar. Leve e compacto para transporte.
DICA IMPORTANTE:
Antes de usar, corte as unhas do seu pet para evitar perfurações no material e garantir uma brincadeira tranquila.
Presenteie com diversão neste verão!
Perfeito para transformar os dias quentes em momentos inesquecíveis com seus filhos e animais de estimação
Características
Cor: Azul
Material: PVC Ecológico
Design Antiderrapante
Fácil de montar
Fácil de usar
Fácil de guardar
Dobrável
Divertido
Ampla Aplicação
Brincadeira
Dimensões Aproximadas
Largura/Diâmetro: 1 Metro
Altura: 14cm
Conteúdo da Embalagem:
1 Fonte Piscina
1 Bico Conector (Da mangueira ou tubo à fonte)</t>
  </si>
  <si>
    <t>5069939515287062</t>
  </si>
  <si>
    <t>MLB5691447022</t>
  </si>
  <si>
    <t>U3412987919</t>
  </si>
  <si>
    <t>PIS006</t>
  </si>
  <si>
    <t>Pistola De Pintura Arprex Ar Direto Mod 90 Bico 1,2mm 650ml Preto</t>
  </si>
  <si>
    <t>:: Ficha Técnica ::
Pistola de Pintura Ar Direto Nylon 500g Mod-90 Arprex
Modelo: 90 – Ar Direto 650ml Bico 1,2mm
Marca: Arprex
&gt;&gt; Especificações Técnicas &lt;&lt;
Tipo: Pistola de Pintura por Pressão (Ar Direto)
Corpo: Nylon com fibra de vidro (alta resistência)
Caneca: Polietileno de alta densidade – tipo rosca
Capacidade da Caneca: 650ml
Peso da Pistola: 500g
Pressão de Trabalho: 40 PSI (Lbs/pol²)
Consumo de Ar: 0,90 PCM a 40 PSI
Sistema de Pintura: Adaptável a compressores portáteis sem reservatório
Acompanha: Espalhador de leque e redondo
&gt;&gt;&gt; Indicações de Uso &lt;&lt;&lt;
Ideal para pintura em geral com compressores portáteis. Pode ser utilizada em aplicações automotivas, industriais, artesanais, marcenaria, serralheria e mais.</t>
  </si>
  <si>
    <t>Pistolas elétricas para pintura</t>
  </si>
  <si>
    <t>3384111116060546</t>
  </si>
  <si>
    <t>MLB6159750464</t>
  </si>
  <si>
    <t>U3727414810</t>
  </si>
  <si>
    <t>INF001</t>
  </si>
  <si>
    <t>Placa De Captura Vídeo Hdmi Ejz Mini 4k 1080p Usb 2.0</t>
  </si>
  <si>
    <t>A mini placa de captura ejz captura áudio e vídeo via hdmi, enviando os sinais para o seu computador. Apropriado para a alta definição, transmita a imagem do seu celular, do videogame, de outro computador ou da sua câmera direto para o computador.
Ideal para uso em lives e streamings. Compartilhe o seu jogo, amplie seu mundo gamer
Conexão e operação:
- conecte o seu pc, videogame, celular ou câmera à entrada hdmi da placa de captura com um cabo hdmi (não incluído).
- conecte a placa de captura no pc com a conexão usb, para transmitir a imagem.
Características:
- suporta resolução máxima de entrada até 4k (3840×2160) 30hz.
- suporta resolução máxima de saída até 1080p (1920×1080) 30hz.
- suporte a maioria dos softwares de transmissão, tais como vlc, obs, amcap.
- suporte à windows, android e mac os.
- cumpre com especificação uvc de vídeo usb.
- cumpre com especificação uac de áudio usb.
- sem necessidade de fonte de alimentação externa.
- não há necessidade de instalação de drivers adicionais.
- compacto e fácil de transportar.
Especificações técnicas:
- resolução máxima de entrada hdmi: 4k
- resolução máxima para saída de vídeo via usb: 1080p
- formato de entrada de vídeo: 8/10/12 bits profundidade de cor
- modo de saída de vídeo: yuv, jpeg
- suporte formato de áudio: l-pcm
- comprimento do cabo de entrada: 15 metros ou mais, cabo padrão awg26 hdmi
- corrente de trabalho máxima: 0.4a / 5vdc
Requisitos de hardware do computador:
- cpu: i5-3400 ou superior
- placa gráfica: nvidia gt630 ou superior
- armazenamento: 4g ram
Itens inclusos:
1x placa de captura usb2.0 (cabo hdmi não incluído)
1x manual de instruções.</t>
  </si>
  <si>
    <t>MLB6160080976</t>
  </si>
  <si>
    <t>Placa De Captura Vídeo Hdmi Mini 4k 1080p Usb 2.0</t>
  </si>
  <si>
    <t>HDMI Video Capture USB 4K
A placa de captura de vídeo possibilita captar áudio e vídeo através de sua entrada HDMI em perfeita qualidade 4K.
Esse sinal captado que pode ser de qualquer aparelho que a saída seja HDMI Ex. Filmadoras Câmeras DSLR Webcan Celulares entre outros dispositivos que a saída seja HDMI ou que tenha alguns conversor pra se transformar a saída em HDMI.
E enviar esse sinal para um Computador ou Notebook na entrada USB, e assim podendo gravar essas imagens que pode ser aulas online imagens médicas gravar jogos Games online APPs de vídeos Streaming Lives e muito mais.
Recursos:
Conexão e Operação:
1: Conecte a fonte de sinal UHD à entrada HDMI da captura de vídeo com um cabo HDMI.
2: Conecte o computador à porta USB da captura de vídeo com o cabo USB.
3: Etapas de operação para captura de vídeo USB (OBS): Abra o software: Escolha as fontes de Dispositivo de captura de vídeo; Defina o tamanho da imagem; Escolha Modo de estúdio (janela dupla).
Escolha Iniciar gravação.
Exemplo de operação como abaixo
Conexão e Operação
1. Adicione novas fontes, escolha "Dispositivo de captura de vídeo"
Requisitos:
Requisitos de configuração de hardware do computador
CPU: PC i5-3400 ou superior NB i7-3537U 2.0GHZ ou superior
Placa gráfica: PC NVIDIA GT630 ou superior NC NVIDIA GT735M ou superior
Memória de execução: 4G RAM
Acompanha o Produto:
1. captura de vídeo
2. manual do usuário
- Suporte de resolução máxima de entrada 3840 2160 30Hz;
- Suporta resolução máxima de saída 1920 1080 30Hz;
- Suporte 8/10 / 12bit cor profunda;
- Suporte cabo padrão AWG26 HDMI: entrada até 15 metros,
(1080P e abaixo da resolução);
- Suporte à maioria dos softwares de aquisição, como VLC, OBS, AMCAP, etc;
- Suporte Windows Android e MacOS;
- Em conformidade com USB Vídeo e UVC padrão;
- Em conformidade com o padrão USB Áudio UAC;
- Sem fonte de alimentação externa, compacta e portátil.</t>
  </si>
  <si>
    <t>1924890192076095</t>
  </si>
  <si>
    <t>MLB6225034558</t>
  </si>
  <si>
    <t>U3769832685</t>
  </si>
  <si>
    <t>SOM-003</t>
  </si>
  <si>
    <t>Subwoofer Pioneer 12 Ts-w312s4 1 Bobina 4 Ohms 1600w 500rms Preto</t>
  </si>
  <si>
    <t>O subwoofer Pioneer TS-W312S4 é um sistema de som de alta qualidade projetado para melhorar a experiência auditiva em seu veículo. Este subwoofer de 12 polegadas, com uma elegante cor preta, é perfeito para quem procura um som poderoso e claro. Com uma potência de 1600 Watts e 500 RMS, este subwoofer garante desempenho excepcional e qualidade de som incomparável. Ele possui uma única bobina de 4 ohms que ajuda a produzir um som claro e sem distorção. Sua faixa de frequência é de 20 Hz a 1,6 kHz, o que significa que ele pode lidar com uma ampla variedade de sons com facilidade. Este subwoofer tem uma profundidade de 157 mm, tornando-o compacto e fácil de instalar em carros, picapes e SUVs. O modelo TS-W312S4 é unidirecional, o que significa que todos os sons vêm de uma única fonte, resultando em um som mais coerente e unificado. Além disso, este subwoofer da Pioneer tem um único alto-falante, simplificando a instalação e minimizando a interferência sonora. Resumindo, o subwoofer Pioneer TS-W312S4 é uma excelente escolha para quem deseja melhorar o sistema de som do veículo.</t>
  </si>
  <si>
    <t>8037662054175306</t>
  </si>
  <si>
    <t>MLB6246954002</t>
  </si>
  <si>
    <t>U3782214869</t>
  </si>
  <si>
    <t>PES-002</t>
  </si>
  <si>
    <t>Carretilha Cheeky Boost 350 Para Pesca Eficiente</t>
  </si>
  <si>
    <t>Vermelho Esquerdo</t>
  </si>
  <si>
    <t>A COMBINAÇÃO PERFEITA ENTRE LEVEZA EXTREMA E POTÊNCIA DE FRENAGEM!
A Cheeky Boost 350 é um exemplo de engenharia de precisão para pescadores exigentes. Se você busca uma carretilha que não pese no seu conjunto, mas que tenha a robustez necessária para brigar com peixes rápidos, a série Boost é o seu próximo passo no Fly Fishing.
Diferente de modelos fundidos, a Boost é totalmente usinada a partir de um bloco sólido de alumínio aeroespacial, resultando em uma peça única, sem emendas e incrivelmente durável.
Destaques do Produto:
Usinagem CNC de Precisão: Construída em alumínio 6061-T6, oferecendo a máxima resistência estrutural com o menor peso possível.
Sistema de Drag Rev Carbon: Um freio de disco de carbono totalmente selado e ajustável, à prova de sujeira e resíduos, garantindo uma saída de linha sem solavancos.
Design MAX Arbor: Diâmetro grande que permite um recolhimento de linha ultra rápido e reduz drasticamente a "memória" da linha.
Leveza Incomparável: Pesando apenas 113g (4.0 oz), ela é uma das carretilhas mais leves do mercado para a sua categoria.
Troca Rápida de Carretel: Sistema simples que permite trocar o carretel em segundos, ideal para quem alterna entre linhas flutuantes e afundantes.
Especificações Técnicas:
Modelo: Boost 350
Peso: 113 gramas (4.0 oz)
Diâmetro: 3.5 polegadas (8,9 cm)
Capacidade: WF5 + 90yds de backing 20lb
Indicação de Vara: Ideal para numerações #4, #5 e #6
Ambiente: Água Doce e Água Salgada (sistema de freio selado)
Espécies Alvo: Trutas, Black Bass, Tilápias grandes, Piraputangas e pequenos Tucunarés.</t>
  </si>
  <si>
    <t>5376884179369310</t>
  </si>
  <si>
    <t>MLB6293402082</t>
  </si>
  <si>
    <t>U3804176985</t>
  </si>
  <si>
    <t>LAM-003</t>
  </si>
  <si>
    <t>Lâmpada Xênon D1s Original</t>
  </si>
  <si>
    <t>PRODUTO ORIGINAL PHILIPS – TECNOLOGIA XENSTART HID
Se o seu veículo perdeu o brilho original ou uma das lâmpadas queimou, a reposição com a Philips XenStart é a única forma de garantir a mesma tonalidade, alcance e segurança de quando o carro saiu da fábrica.
Diferente das lâmpadas paralelas, a Philips oferece foco preciso que não ofusca o motorista que vem no sentido contrário e protege os componentes eletrônicos (reatores) do seu carro.
ESPECIFICAÇÕES TÉCNICAS:
Modelo: D3S (Verifique se o seu encaixe é este ou D1S)
Tecnologia: Xenon HID (High Intensity Discharge)
Potência: 35W
Temperatura de Cor: 4300K (Branco Original/Quente - ideal para máxima visibilidade em chuva e neblina)
Base: PK32d-5 (Base metálica com ignitor integrado)
POR QUE ESCOLHER ESTA LÂMPADA?
Segurança: Projeção de luz até 200% superior às lâmpadas halógenas comuns.
Economia: Alta durabilidade, evitando trocas frequentes e gastos com mão de obra.
Preservação do Farol: Possui filtro UV que impede o amarelamento da lente de policarbonato do seu farol.
COMPATIBILIDADE:
Volkswagen: Golf (GTI/Highline), Jetta, Tiguan, Passat, Amarok E outros.
Audi: A1, A3, A4, A5, Q3, Q5.
Ford: Focus Titanium, Fusion.
Chevrolet: Tracker, Cruze (LTZ).
Land Rover / Volvo / BMW / Mercedes-Benz.
(Na dúvida, consulte o manual do proprietário ou a gravação na base da sua lâmpada antiga).</t>
  </si>
  <si>
    <t>Lâmpadas para veículos</t>
  </si>
  <si>
    <t>6979669473495930</t>
  </si>
  <si>
    <t>MLB6415541524</t>
  </si>
  <si>
    <t>U3821321235</t>
  </si>
  <si>
    <t>Phoenix Contact Vl2-bpc-9000 Computador Industrial 2400499</t>
  </si>
  <si>
    <t>8966964583713944</t>
  </si>
  <si>
    <t>MLB6415544564</t>
  </si>
  <si>
    <t>U3831334422</t>
  </si>
  <si>
    <t>TIN-001</t>
  </si>
  <si>
    <t>Tanque De Pressão Para Pintura 10 Litros Com Agitador Manual</t>
  </si>
  <si>
    <t>Maximize sua produtividade com o Tanque de Pressão Profissional de 10L!
Ideal para serviços de pintura comercial, industrial ou residencial de grande porte, este tanque permite a aplicação contínua de grandes volumes de tinta sem a necessidade de recargas constantes, economizando tempo e garantindo um acabamento uniforme.
Destaques do Produto:
Capacidade de 10 Litros: Perfeito para vernizes, primers, fundos e tintas de baixa a média viscosidade.
Agitador Manual Incluso: Permite misturar a tinta durante o uso, evitando a decantação de pigmentos e garantindo a homogeneidade da cor.
Construção Robusta: Fabricado em aço resistente com fechamento hermético através de travas tipo borboleta.
Controle de Precisão: Equipado com manômetro e regulador de pressão para ajuste fino conforme a necessidade do trabalho.
Segurança: Possui válvula de alívio de segurança integrada.
Especificações Técnicas:
Volume do tanque: 10 Litros (aprox. 2.5 galões).
Pressão máxima de trabalho: 50 - 70 PSI.
Entrada/Saída de ar: 1/4".
Saída de tinta: 3/8".
Tipo de agitação: Manual (via manivela superior).
Itens Inclusos:
1 Tanque de Pressão 10L.
1 Manômetro de controle.
1 Pistola para Pintura</t>
  </si>
  <si>
    <t>534382990779411</t>
  </si>
  <si>
    <t>MLB6655398104</t>
  </si>
  <si>
    <t>U3910753773</t>
  </si>
  <si>
    <t>FOG-001</t>
  </si>
  <si>
    <t>Fogão Industrial 4 Bocas Misto Grelha 30x30 Preto</t>
  </si>
  <si>
    <t>Preto Gas</t>
  </si>
  <si>
    <t>Potência e Versatilidade para sua Cozinha Profissional!
O Fogão Industrial Pillar Food Standard (Cód. 1773) é a escolha ideal para restaurantes, lanchonetes e cozinhas industriais que buscam eficiência e durabilidade. Com um sistema misto de queimadores, ele oferece o controle total para diferentes tipos de preparo, desde cozimentos lentos até frituras rápidas.
PRINCIPAIS DIFERENCIAIS:
•	Sistema Misto de Queimadores: Equipado com 2 queimadores simples (economia) e 2 queimadores duplos (máxima potência), garantindo agilidade no atendimento.
•	Estrutura Reforçada: Fabricado em aço carbono de alta resistência com pintura eletrostática epóxi, resistente à corrosão e altas temperaturas.
•	Grelhas 30x30: Dimensionadas para suportar panelas de grande porte com total estabilidade.
•	Bandejas Coletoras: Possui bandejas individuais abaixo dos queimadores, facilitando muito a limpeza e higiene do seu ambiente de trabalho.
ESPECIFICAÇÕES TÉCNICAS:
•	Marca: Pillar Food
•	Modelo: Standard 4 Bocas
•	Tipo de Queimadores: 2 Simples e 2 Duplos
•	Dimensões da Mesa: 65 cm (Largura) x 70 cm (Profundidade)
•	Altura: 80 cm
•	Medida das Grelhas: 30 cm x 30 cm
•	Alimentação: Gás GLP (Botijão)
•	Pressão: Baixa Pressão (utiliza regulador de gás comum)
CONTEÚDO DA EMBALAGEM:
•	01 Fogão Industrial 4 Bocas Pillar Food
•	Bandejas coletoras de resíduos
•	Kit de pés para montagem</t>
  </si>
  <si>
    <t>Fogões</t>
  </si>
  <si>
    <t>89</t>
  </si>
  <si>
    <t>79</t>
  </si>
  <si>
    <t>25</t>
  </si>
  <si>
    <t>36.95</t>
  </si>
  <si>
    <t>1841460451554131</t>
  </si>
  <si>
    <t>MLB6716405888</t>
  </si>
  <si>
    <t>U3947575320</t>
  </si>
  <si>
    <t>ARA-002</t>
  </si>
  <si>
    <t>Kit 5kg Arame Galvanizado Thorxx Bwg 14 - 2,11mm (5 Rolos)</t>
  </si>
  <si>
    <t>POTENCIALIZE SUA OBRA OU CERCA COM A QUALIDADE THORXX!
Você está buscando resistência, durabilidade e facilidade no manuseio? O Arame Galvanizado Thorxx BWG 14 é a escolha ideal para quem não abre mão de qualidade profissional.
Este kit exclusivo contém 5 rolos de 1kg, totalizando 5kg de material. Por ser fracionado, facilita muito o transporte e o uso em diferentes pontos da sua propriedade ou obra, evitando desperdícios e o peso excessivo de um rolo único grande.
POR QUE ESCOLHER O ARAME THORXX?
Alta Durabilidade: Revestimento de zinco de alta qualidade que protege contra a ferrugem e corrosão, mesmo exposto a sol e chuva.
Espessura Robusta: Com 2,11mm de diâmetro (BWG 14), oferece a segurança necessária para cercas rurais, industriais e amarrações estruturais.
Versatilidade: Ideal para cercas de arame liso, sustentação de parreiras, fixação de telas, artesanato pesado e manutenções gerais.
Praticidade: Rolos individuais de 1kg que facilitam o desenrolar sem embaraçar.
ESPECIFICAÇÕES TÉCNICAS:
Diâmetro: 2,11 mm.
Acabamento: Galvanizado (Zincado).
Resistência: Alta tração.
Indicação: Cercas, amarrações, construção civil e agropecuária.
Comprimento total: 185 m
CONTEÚDO DA EMBALAGEM:
05 Rolos de Arame Galvanizado BWG 14 (1kg cada).</t>
  </si>
  <si>
    <t>6370828036866192</t>
  </si>
  <si>
    <t>MLB6899752966</t>
  </si>
  <si>
    <t>U4055033250</t>
  </si>
  <si>
    <t>SK001</t>
  </si>
  <si>
    <t>Corrente Comando Suzuki Vz 800 Original Genuina 12760-38a20</t>
  </si>
  <si>
    <t>Seu motor Suzuki merece a precisão da peça Original Japonesa!
Se você é motociclista, sabe que a corrente de comando é o coração da distribuição do seu motor. Negligenciar essa peça ou usar paralelas de baixa qualidade pode resultar em um prejuízo gigante e estragar a sua viagem.
Se você é mecânico, conhece o valor de trabalhar com peças que dão "encaixe de primeira", sem retrabalho, garantindo a satisfação do seu cliente e a reputação da sua oficina.
Esta é a Corrente de Comando Original Suzuki (Código 12760-38A20), fabricada com os mais altos padrões de engenharia japonesa para garantir sincronismo perfeito, silêncio na rodagem e resistência extrema ao desgaste.
Compatibilidade Garantida
Ideal para os modelos da linha VZ e similares que utilizam esta especificação (verifique o manual ou a peça antiga):
Suzuki Boulevard 800 / M800 / C800
Suzuki Intruder VS 700 / 750 / 800 / VZ800 Marauder
(Dica: Confirme sempre o código 12760-38A20 com o seu mecânico de confiança antes da compra).
Por que escolher esta Corrente Original?
Para o Mecânico: Instalação limpa. O passo da corrente e os elos têm a têmpera correta de fábrica, o que significa que o tensionador vai trabalhar na posição exata, sem folgas precoces.
Para o Motociclista: Durabilidade muito superior às marcas paralelas do mercado. Menos ruído metálico no motor e total paz de espírito nas estradas.
Material Premium: Liga de aço de alta resistência, projetada para suportar altas temperaturas e o esforço contínuo do óleo do motor.
Especificações Técnicas
Produto: Corrente de Comando / Distribuição
Condição: Novo, na embalagem oficial Suzuki Genuine Parts
Código da Peça (OEM): 12760-38A20
Origem: Japão (Original Suzuki)
Dica de Garagem (Avisos Importantes)
Atenção Mecânico e Piloto: Recomendamos que a troca seja feita por um profissional qualificado. Ao substituir a corrente de comando, inspecione também o estado dos guias e do tensionador para garantir a vida útil máxima do novo componente.</t>
  </si>
  <si>
    <t>Correntes de transmissão para veículos</t>
  </si>
  <si>
    <t>MLB3605433823</t>
  </si>
  <si>
    <t>Protetor Auricular Abafador De Ruídos Tipo Concha 14db Plastcor Preto</t>
  </si>
  <si>
    <t>O Protetor Auricular Tipo Concha 13db Plastcor é a escolha perfeita para quem busca conforto e proteção auditiva. Com design ergonômico e ajuste perfeito, este protetor auricular proporciona uma experiência única, bloqueando até 13 dB de ruídos indesejados. Seu formato tipo concha garante um encaixe seguro e confortável, permitindo que você desfrute de momentos de tranquilidade em qualquer ambiente. Além disso, sua cor preta confere um visual moderno e discreto. Não é eletrônico, o que o torna prático e fácil de usar. Ideal para uso em ambientes barulhentos, como construções, shows e eventos esportivos. Não possui cordão, o que o torna ainda mais conveniente. Aproveite a oportunidade de adquirir este protetor auricular de alta qualidade da marca Plastcor e cuide da sua audição com estilo e conforto.</t>
  </si>
  <si>
    <t>4673266617119362</t>
  </si>
  <si>
    <t>MLB3610858939</t>
  </si>
  <si>
    <t>U1145631036</t>
  </si>
  <si>
    <t>LS002</t>
  </si>
  <si>
    <t>Sinalização Led Dupla Face Caminhao Vermelho Cromado Pedesta</t>
  </si>
  <si>
    <t>Produto novo vendido como usado por ter vindo como amostra sem embalagem de venda.
As luzes de sinalização de face dupla são usadas principalmente em veículos, como ônibus e caminhões, para fornecer indicações visíveis tanto para os motoristas atrás do veículo quanto para os motoristas que se aproximam na direção oposta. Isso é especialmente útil em situações onde a visibilidade pode ser reduzida, como durante condições de neblina, chuva intensa ou à noite, aumentando a segurança rodoviária.
Característica especial: ambos os lados para funções de estacionamento e pisca, redonda, dupla face, luz multifuncional 
Potência: 30 watts
Cor da lente: Vermelha
Material da lente: Policarbonato
Conjunto de luz selada 12V, 24 diodos, montagem em pedestal, lente à prova d'água.
Tamanho da luz: 146 mm x 106 mm x 58 mm (5,7'' x 4,2'' x 2,3'')
Nota: Função de estacionamento e giro se você tiver interruptor ou pisca-pisca instalado, caso contrário, a luz terá apenas uma função;
FÁCIL DE INSTALAR: O Fio Preto é o Terra; Preto+Branco, um lado funciona; Preto + Vermelho, outro lado funciona.
 #SegurançaRodoviária #CaminhãoLED #IluminaçãoVeicular #SinalizaçãodeTráfego #TecnologiaLED #SinalizaçãoSegura #VisibilidadenoTrânsito #SinalizaçãoLED #CaminhãoSeguro #Ledduplaface</t>
  </si>
  <si>
    <t>1954895118054134</t>
  </si>
  <si>
    <t>MLB3615565377</t>
  </si>
  <si>
    <t>U1146323266</t>
  </si>
  <si>
    <t>F0010</t>
  </si>
  <si>
    <t>Luz Motocicleta 20w Lampada Quadrada De Trabalho 6500k</t>
  </si>
  <si>
    <t>Serve principalmente para melhorar a visibilidade e a segurança do veículo, além de adicionar um toque estilístico, especialmente em condições de baixa luminosidade.
Material: Aluminium+LED
Voltage: DC9-30V
LED power: 20W
Lumen value: 1800LM
size: 3*2inch
Color temperature: 6500k
waterproof grade: IP66
#LuzDeTrabalho #IluminaçãoProfissional #LuzDeTrabalhoLED #TrabalhoNoturno #LuzQuadrada #IluminaçãoDeQualidade #EficiênciaEnergética #LuzDeTrabalho20W #TrabalhoPesado #LuzDeTrabalhoPortátil</t>
  </si>
  <si>
    <t>4916470927319559</t>
  </si>
  <si>
    <t>MLB3617863707</t>
  </si>
  <si>
    <t>U608146380</t>
  </si>
  <si>
    <t xml:space="preserve">Máquina Laser Gravadora Em Couro Metal Borracha Pneus </t>
  </si>
  <si>
    <t>90 - 240v</t>
  </si>
  <si>
    <t>Marcador a Laser de fácil manuseio, prático e portátil. Com esse equipamentos é possível marcar diversos materiais, sendo os principais deles a borracha (pneu), metal em geral, couro.. entre outros. A marcação pode ser feita em letras, números, numeração de Serial com contagem automática, QR Codes e códigos de barra. Além disso, pode ser incluído, através de uma porta USB, arquivos de logos e desenhos que podem ser usados no equipamento.
Marcação em pneus: podem ser usados para gravar informações importantes nos pneus, como números de série, códigos de lote, data de fabricação ou até mesmo logotipos de marcas.
Marcação em couro: Para produtos de couro, como bolsas, carteiras, cintos ou sapatos, um marcador a laser pode ser usado para adicionar logotipos, monogramas, padrões decorativos ou informações de identificação.
Marcação em metal: No caso de metais, um marcador a laser pode ser utilizado para gravar códigos de identificação, números de peça, logotipos, datas de fabricação ou qualquer outra informação necessária para rastreamento, identificação ou personalização.
Precisão e durabilidade: A marcação a laser é precisa e durável, garantindo que as informações gravadas permaneçam legíveis por um longo período de tempo, mesmo em condições adversas.
Características:
Potencia 30W
Vida útil do laser: &gt;100.000 horas
Voltagem: 90 - 240v / 60HZ
#GravaçãoALaser #PersonalizaçãoDeCouro #GravuraEmMetal #MarcaçãoALaser #ArteEmCouro #IdentificaçãoDeMetal #PersonalizaçãoDeProdutos #GravadoraLaser #ArteEmBorracha #MarcaçãoIndustrial</t>
  </si>
  <si>
    <t>7572642138435153</t>
  </si>
  <si>
    <t>MLB3622863461</t>
  </si>
  <si>
    <t>U1147040224</t>
  </si>
  <si>
    <t>6012939917940</t>
  </si>
  <si>
    <t>Fechadura Reconhecimento Facial Tuya Digital Automatico 3d</t>
  </si>
  <si>
    <t>Principais especificações: 
Porta: Porta de madeira, Porta de aço, Porta de Aço inoxidável, De alumínio da porta, Porta de bronze;
Rede: Wi-fi
Número do Modelo: 919
Opções de Armazenamento de dados: Nuvem
Maneiras de abrir: Rosto 3D, APP, Impressão Digital, Senha, Cartão, Chave
A função do olho de gato: Abertura visual remota da porta com olho de gato
Prompt de inicialização: 0,96 LED com navegação por voz (inglês/chinês)
Capacidade de impressão digital/senha/cartão: 100
Fonte de alimentação de emergência: Banco de carregamento de celular
Modo de fonte de alimentação: bateria de lítio 4200mA
Modo de carga: Carregador DC5V
Cor: Preto brilhante, preto fosco, marrom avermelhado
Velocidade de reconhecimento: &lt;0,1S
Serviço: ODM OEM
Oferece segurança adicional em residências ou estabelecimentos comerciais, utilizando tecnologia de reconhecimento facial para permitir o acesso apenas a pessoas autorizadas. Isso pode ser especialmente útil em ambientes onde é importante controlar quem entra e sai, como escritórios, apartamentos, ou até mesmo residências particulares. Com o reconhecimento facial, não é necessário carregar chaves ou cartões de acesso, tornando o acesso mais conveniente e potencialmente mais seguro.
#SegurançaFacial #AcessoInteligente #FechaduraTuya #ReconhecimentoFacial #TecnologiaDeSegurança #ControleDeAcesso #SmartLock #ProteçãoResidencial #InovaçãoEmSegurança #FuturoDaSegurança</t>
  </si>
  <si>
    <t>Fechaduras elétricas</t>
  </si>
  <si>
    <t>4926600721056470</t>
  </si>
  <si>
    <t>MLB3625188047</t>
  </si>
  <si>
    <t>U1147233130</t>
  </si>
  <si>
    <t>U0006</t>
  </si>
  <si>
    <t>Led Reboque Carreta Luz Traseira Marcador Vermelha Redonda</t>
  </si>
  <si>
    <t>Características
- cor da luz: lâmpada vermelha
- luzes de sinalização 24v.
- material: luzes traseiras pc.
- possui uma ampla gama de aplicações, como na maioria das lanternas traseiras de caminhões
- é feito de material de pc, que é seguro, durável e com boa textura de luz lateral de caminhão
- as luzes LED economizam mais energia e são ecologicamente corretas, têm baixo consumo de energia.
*produto vendido como usado por não ter embalagem original de fabrica, mas está novo.
#ledreboque #luzled #reboquecarreta #luzdereboque</t>
  </si>
  <si>
    <t>6779530061568889</t>
  </si>
  <si>
    <t>MLB3633658619</t>
  </si>
  <si>
    <t>U1144241359</t>
  </si>
  <si>
    <t>U0010</t>
  </si>
  <si>
    <t>Luz Led Lateral Lampada Traseira Caminhão Ambar</t>
  </si>
  <si>
    <t>Visibilidade aumentada: As luzes LED amarelas têm uma alta visibilidade, especialmente em condições de neblina, chuva ou neve, ajudando outros motoristas a identificar a presença do seu caminhão na estrada.
Eficiência energética: Os LEDs consomem menos energia do que as lâmpadas incandescentes, o que pode resultar em economia de combustível para o seu caminhão.
Segurança aprimorada: Uma melhor visibilidade geral aumenta a segurança na estrada, reduzindo o risco de acidentes.
Compatibilidade com regulamentos: Em muitas regiões, as luzes amarelas são exigidas por regulamentos de segurança, especialmente para caminhões e veículos pesados.
Estilo e aparência: Além de sua funcionalidade, as luzes LED também podem adicionar um toque moderno e estiloso ao seu caminhão, melhorando sua aparência geral.
#IluminaçãoLED #SegurançaRodoviária #CaminhãoLED #VisibilidadeAmpliada #EficiênciaEnergética #EstiloAutomotivo #LuzesDeEmergência #CaminhãoPesado #LuzesÂmbar #ModernizaçãoVeicular
Produto novo, veio como amostra, vendido como usado apenas por estar sem a embalagem.</t>
  </si>
  <si>
    <t>3414958159457767</t>
  </si>
  <si>
    <t>MLB3633684881</t>
  </si>
  <si>
    <t>U1148092358</t>
  </si>
  <si>
    <t>U0012</t>
  </si>
  <si>
    <t>Luz Led Lateral Lampada Traseira Caminhão Vermelha</t>
  </si>
  <si>
    <t>5541240867972525</t>
  </si>
  <si>
    <t>MLB3637332849</t>
  </si>
  <si>
    <t>U1147912660</t>
  </si>
  <si>
    <t>U0017</t>
  </si>
  <si>
    <t>Lampada De Marcador Folga Caminhão Luz Emergencia Ambar</t>
  </si>
  <si>
    <t>Tensão: 12v-24v
Taxa impermeável: IP67
Material: Plástico ABS
Fonte de luz: 28LED
Cor: Ambar
Características:
Pode ser usado para luzes de marcador laterais do sinal de volta, luzes traseiras, etc.
Alta qualidade, baixo consumo de energia. Se encaixa para a maioria dos ônibus/caminhões/reboques.
Fácil de instalar.
Produto é novo mas recebemos como amostra sem embalagem, ótimo estado.</t>
  </si>
  <si>
    <t>Envios por conta própria</t>
  </si>
  <si>
    <t>3088726620848655</t>
  </si>
  <si>
    <t>MLB3637587119</t>
  </si>
  <si>
    <t>U1148058722</t>
  </si>
  <si>
    <t>U0019</t>
  </si>
  <si>
    <t>Lampada De Marcador Folga Caminhão Luz Emergencia Vermeha</t>
  </si>
  <si>
    <t>Tensão: 12v-24v
Taxa impermeável: IP67
Material: Plástico ABS
Fonte de luz: 28LED
Cor: Vermelha
Características:
Pode ser usado para luzes de marcador laterais do sinal de volta, luzes traseiras, etc.
Alta qualidade, baixo consumo de energia. Se encaixa para a maioria dos ônibus/caminhões/reboques.
Fácil de instalar.
Produto é novo mas recebemos como amostra sem embalagem, ótimo estado.
Garantia do vendedor: 3 meses</t>
  </si>
  <si>
    <t>3556883623333840</t>
  </si>
  <si>
    <t>MLB3638240841</t>
  </si>
  <si>
    <t>U1144250525</t>
  </si>
  <si>
    <t>U0020</t>
  </si>
  <si>
    <t>Led Caminhão Reboque Dianteiro Traseiro Luz Lateral Vermelha</t>
  </si>
  <si>
    <t>Funciona como luz de LED marcador, lâmpadas laterais automotivas, luz de liberação, luz de identificação, luz de reboque, etc;
Lente de luz à prova d'água e selada, aplique para iluminação de folga traseira esquerda direita na parte superior;
Serve universalmente para veículos de 12 V como pickups, caminhão, trailers, SUV, van, Caravan, Camper, Motorhome, Boat, Lorry, Bus, etc.
Conexão de 2 fios: Preto é negativo e vermelho é positivo. 
#Caminhão #Reboque #LED #LuzesIndicadoras #Lâmpadas #IluminaçãoVeicular #SegurançaRodoviária #Sinalização #EficiênciaEnergética #TecnologiaAutomotiva</t>
  </si>
  <si>
    <t>8663183908691798</t>
  </si>
  <si>
    <t>MLB3638310709</t>
  </si>
  <si>
    <t>U1144397261</t>
  </si>
  <si>
    <t>U0009</t>
  </si>
  <si>
    <t>Luzes Marcador Lateral Luz De Freio 12v 24v Caminhao 20 Led</t>
  </si>
  <si>
    <t>Tensão: 12V/24V
Nível impermeável: IP67
Tamanho de luz: 19,3 cm (7,6) em * 8,3 cm (3,27) em * 1,7 cm (0,67) em
Materiais: ABS + PC
Horário De Trabalho:&gt; 50.000 horas
Comprimento do fio: 16cm
Número LED: 20
Cor clara: branco
Tipo de serviço do veículo: Semi-reboque do caminhão/recolhimento/carro/reboque/barco/ônibus/caravana/rv/SUV/tratores/
Características
Projeto impermeável IP67: Assem-blies selados e impermeáveis, suporta qualquer areia, água, sujeira, neve ou poeira.
Fácil de instalar: A linha preta é negativa, a linha branca e a linha vermelha são positivas
Aplicação larga: As luzes de freio apropriadas para todos os veículos 12V/24V, tais como o caminhão/recolhimento/carro/reboque/semi-reboque/ônibus/caravana/RV/SUV/tratores/barco etc.
#luztraseira #luztrailer #luzcaminhao #luzreboque</t>
  </si>
  <si>
    <t>9005448629391379</t>
  </si>
  <si>
    <t>MLB3638337391</t>
  </si>
  <si>
    <t>U1144357611</t>
  </si>
  <si>
    <t>U0011</t>
  </si>
  <si>
    <t>Luzes Marcador Lateral Ou De Freio 12v 24v Caminhao Vermelha</t>
  </si>
  <si>
    <t>Tensão: 12V/24V
Nível impermeável: IP67
Tamanho de luz: 19,3 cm (7,6) em * 8,3 cm (3,27) em * 1,7 cm (0,67) em
Materiais: ABS + PC
Horário De Trabalho:&gt; 50.000 horas
Comprimento do fio: 16cm
Número LED: 20
Cor: vermelha
Tipo de serviço do veículo: Semi-reboque do caminhão/recolhimento/carro/reboque/barco/ônibus/caravana/rv/SUV/tratores/
Características
Projeto impermeável IP67: Assem-blies selados e impermeáveis, suporta qualquer areia, água, sujeira, neve ou poeira.
Fácil de instalar: A linha preta é negativa, a linha branca e a linha vermelha são positivas
Aplicação larga: As luzes de freio apropriadas para todos os veículos 12V/24V, tais como o caminhão/recolhimento/carro/reboque/semi-reboque/ônibus/caravana/RV/SUV/tratores/barco etc.
Produto novo, vendido como usado apenas pela falta da embalagem original, recebemos como amostra.
#luztraseira #luztrailer #luzcaminhao #luzreboque</t>
  </si>
  <si>
    <t>8151364659164143</t>
  </si>
  <si>
    <t>MLB3638353199</t>
  </si>
  <si>
    <t>U1144275933</t>
  </si>
  <si>
    <t>U0025</t>
  </si>
  <si>
    <t>Cromo Strobo Em Led Linear Mini Sinalizador Cromado 12v</t>
  </si>
  <si>
    <t>Mini sinalizador em formato linear, com base em borracha e aro de acabamento na cor cromada, sincronizado face a face, composto por 3 LEDs de alta potência (1W);
Dotado de lentes difusoras em plástico de engenharia com resistência automotiva e alta visibilidade;
Gerenciamento da corrente elétrica através de modulação PWM garantindo a intensidade luminosa mesmo que veículo esteja desligado ou em baixa rotação;
Sistema de fixação ajustável para diversos pontos do veículo;
Consumo inferior a 2,0A.
Produto é novo, recebemos como amostra portanto está sendo vendido como usado, devido falta da embalagem. 
#Cromo #Strobo #Cromado #IluminaçãoVeicular #PersonalizaçãoAutomotiva #EstiloAutomotivo #AcessóriosAutomotivos</t>
  </si>
  <si>
    <t>830163438702487</t>
  </si>
  <si>
    <t>MLB3639287467</t>
  </si>
  <si>
    <t>U1145974461</t>
  </si>
  <si>
    <t>U0023</t>
  </si>
  <si>
    <t xml:space="preserve"> Lente Ambar Luzes De Reboque Com Luz Marcadora Lateral Led </t>
  </si>
  <si>
    <t>Âmbar</t>
  </si>
  <si>
    <t>Âmbar LED 
LED de 12 superdiodos de alta qualidade
Aplicação: lâmpadas de marcadores laterais, lâmpadas de folga, lâmpadas indicadoras
Um substituto direto para luzes LED para caminhões, lâmpadas LED para trailers, lâmpadas para trailers, lâmpadas para campistas.
A instalação é fácil, basta remover as luzes do pára-choque de estoque e conectá-las aos soquetes de estoque, em seguida, descascar e colar.
O design de 2 fios inclui fio condutor e fio terra para montagem em todas as superfícies
#Âmbar #LED #Apuramento #Retângulo #12V #LuzesMarcadoras #Laterais #Sinalização #SegurançaVeicular #IluminaçãoVeicular #EficiênciaEnergética #TecnologiaLED #VeículosComerciais #Utilitários</t>
  </si>
  <si>
    <t>Luzes de cortesia náuticas</t>
  </si>
  <si>
    <t>8611283980733052</t>
  </si>
  <si>
    <t>MLB3641273507</t>
  </si>
  <si>
    <t>U1145976591</t>
  </si>
  <si>
    <t>U0030</t>
  </si>
  <si>
    <t xml:space="preserve">Luz Traseira Neblina Redonda 12v Vermelha 12 Leds </t>
  </si>
  <si>
    <t>Vermelho 12 LED
redondo
luzes de seta de interrupção 
Ótima substituição para luzes incandescentes – sem lâmpadas para substituir/sem filamentos frágeis
#IluminaçãoTraseira #KitDeLEDs #LuzesDeNeblina #LuzesDeRé #SegurançaVeicular
#TrailerDeCaminhão #LuzesParaCaminhões #IluminaçãoDeQualidade #SinalizaçãoVeicular
#LentesRefletoras #AcessóriosAutomotivos #DurabilidadeLED #DesignModerno
#AltaVisibilidade #ConfortoNoTrânsito</t>
  </si>
  <si>
    <t>576495592311171</t>
  </si>
  <si>
    <t>MLB3644983297</t>
  </si>
  <si>
    <t>U1145203005</t>
  </si>
  <si>
    <t>U0034</t>
  </si>
  <si>
    <t>Farol Barra Aux Milha Retangular Slim 6 Led 18w 6000k 12v</t>
  </si>
  <si>
    <t>Modelo: Slim 
Qtd de LED: 6 
Potencia: 18w
Cor: 6000k
Voltagem: 12/24v
Utilidades: 
Iluminação Off-road: Ideal para veículos todo-terreno, como jipes, ATVs e motocicletas, proporcionando iluminação adicional para explorar trilhas e terrenos acidentados durante a noite.
Iluminação de trabalho: Pode ser usado em ambientes de trabalho, como oficinas mecânicas, garagens e canteiros de obras, para fornecer luz extra onde for necessário.
Iluminação agrícola: Ótimo para equipar máquinas agrícolas, tratores e colheitadeiras, auxiliando na visibilidade durante operações noturnas ou em condições de pouca luz.
Iluminação marítima: Pode ser instalado em barcos, lanchas e outras embarcações como luzes de navegação ou luzes auxiliares para melhorar a visibilidade durante a navegação noturna.
Iluminação de emergência: Serve como uma fonte de luz de emergência em veículos de resgate, caminhões de bombeiros ou ambulâncias, para situações onde uma iluminação adicional é necessária.
Iluminação de segurança: Pode ser usado em veículos de segurança pública, como carros de polícia e veículos de patrulha, para aumentar a visibilidade em áreas escuras ou para iluminar áreas de interesse durante operações noturnas.
Iluminação em veículos comerciais: Pode ser instalado em caminhões, vans e reboques para melhorar a visibilidade e a segurança durante o transporte de carga.
#IluminaçãoOffRoad #ExploraçãoNoturna #Trilhas #VeículosTodoTerreno #Jipes #ATVs #Motocicletas #IluminaçãoAdicional #AventuraNoturna #OffRoadLife #LuzExtra #ExploraçãoOffRoad</t>
  </si>
  <si>
    <t>1446111148655266</t>
  </si>
  <si>
    <t>MLB3651728871</t>
  </si>
  <si>
    <t>U1150521740</t>
  </si>
  <si>
    <t>F0017</t>
  </si>
  <si>
    <t>12-24v 18w Carro Caminhão De Emergência Advertência Strobo</t>
  </si>
  <si>
    <t>Taxa de impermeabilidade: IPX-4
Power: 18W
voltage: 12-24V
Sinalização de Emergência: Esta luz pode ser usada para alertar outros motoristas sobre uma situação de emergência, como um acidente, veículo quebrado ou condições perigosas na estrada.
Visibilidade em Condições de Baixa Luz: Em condições de pouca luz, como à noite ou em condições climáticas adversas, a luz estroboscópica pode melhorar a visibilidade do seu veículo, reduzindo o risco de colisões.
Trabalhos de Manutenção e Serviços de Emergência: Veículos de serviço, como reboques, veículos de manutenção e socorro rodoviário, podem usar essa luz para alertar os outros sobre a presença de trabalhadores na estrada.
Segurança Pública: Veículos de segurança pública, como carros de polícia, bombeiros e ambulâncias, usam essas luzes para sinalização de emergência durante operações de socorro e em situações de trânsito intenso.
Conformidade com Regulamentos: Em muitas jurisdições, é obrigatório que veículos de serviço e de emergência tenham luzes estroboscópicas para sinalização de emergência, garantindo a conformidade com regulamentos de segurança rodoviária.
#SegurançaRodoviária #Emergência #VeículosDeServiço #PrevençãoDeAcidentes #SinalizaçãoDeEmergência #Visibilidade #TrabalhoDeManutenção #SegurançaPública #CarroDeEmergência #CaminhãoDeEmergência #LuzEstroboscópica #ConformidadeRegulatória #LEDs #SocorroRodoviário #VeículosComLuzEstroboscópica</t>
  </si>
  <si>
    <t>3096093614752380</t>
  </si>
  <si>
    <t>MLB3659681483</t>
  </si>
  <si>
    <t>U1151252704</t>
  </si>
  <si>
    <t xml:space="preserve">Led Reboque Carreta Luz Traseira </t>
  </si>
  <si>
    <t>Luz de reboque redonda impermeável de 13,5 de comprimento serve a 3 funções como luz de parada, luz de seta e luz traseira;; sistemas 12 Volts; aprox. Anel de argola de 13,5 cm se comprimento e espessura de 3,5 cm; lente Ambar ,luminária IP67 à prova d'água e suporta efetivamente a invasão e corrosão de areia, poeira, sujeira, chuva, neve etc. ; Fácil instalação: alto brilho para luz de parada/luz de seta/luzes de /luz de corrida; Estas luzes são resistentes a impactos e menos suscetíveis a danos por choque. Cada luz LED é selada à prova d'água. Estes LEDs consomem menos corrente, geram menos calor e são mais brilhantes e leves mais rápido do que uma lâmpada incandescente; 12 volts de entrada quase todos os automóveis e dispositivos equipados com uma semi caminhão, semirreboque, caminhão de serviço, ônibus, caminhão de serviço, caminhão utilitário, reboque utilitário, reboque de barco, boia de desfile, reboque de cavalo, reboque utilitário. er, Caminhão de recolha, Volvo, DAF, Volkswagen, Scania, Mercedes-Benz, Iveco e FordGarantia do vendedor: 3 meses.</t>
  </si>
  <si>
    <t>Sensores de estacionamento para veículos</t>
  </si>
  <si>
    <t>2402238365320825</t>
  </si>
  <si>
    <t>MLB3659829125</t>
  </si>
  <si>
    <t>U1146968165</t>
  </si>
  <si>
    <t>Led Reboque Carreta Ambar</t>
  </si>
  <si>
    <t>Características
- cor da luz: Ambar
- luzes de sinalização 12 volts
- material: luzes traseiras pc.
- possui uma ampla gama de aplicações, como na maioria das lanternas traseiras de caminhões
- é feito de material de pc, que é seguro, durável e com boa textura de luz lateral de caminhão
- as luzes LED economizam mais energia e são ecologicamente corretas, têm baixo consumo de energia.
melhor visibilidade ao dirigir na rodovia; vedação sônica, caixa à prova d'água IP67 Dicas de fiação: Cada luz de marcação lateral redonda inclui um fio padrão de 2 pinos: vermelho é o negativo e preto é o positivo.
Estas luzes de reboque LED redondas de 2 polegadas são universais para caminhões: Volvo, DAF, Volkswagen, Scania, Mercedes-Benz, Iveco e Ford.</t>
  </si>
  <si>
    <t>7981150992035064</t>
  </si>
  <si>
    <t>MLB3659949387</t>
  </si>
  <si>
    <t>U1146967555</t>
  </si>
  <si>
    <t>Led Reboque Carreta Luz Treseira Ambar</t>
  </si>
  <si>
    <t>Características
- cor da luz: lâmpada ambar
- luzes de sinalização 12 volts.
- material: luzes traseiras pc.
- possui uma ampla gama de aplicações, como na maioria das lanternas traseiras de caminhões
- é feito de material de pc, que é seguro, durável e com boa textura de luz lateral de caminhão
- as luzes LED economizam mais energia e são ecologicamente corretas, têm baixo consumo de energia.</t>
  </si>
  <si>
    <t>3813920994350038</t>
  </si>
  <si>
    <t>MLB3780534059</t>
  </si>
  <si>
    <t>U609144472</t>
  </si>
  <si>
    <t>LEG006</t>
  </si>
  <si>
    <t>Central De Aquecimento Compacta Com Alimentador Automático</t>
  </si>
  <si>
    <t>Central de Aquecimento Compacta com Alimentador
Automático - CAC 60.000 - Motor 5CV - Cavaco, pellet, chip, briquete
Praticidade
A taxa de combustão é controlada automaticamente possibilitando uma economia de até 80% da lenha, quando comparada com as campânulas tradicionais. O manejo é prático e fácil, pois o abastecimento do equipamento é centralizado em um único local e fora da instalação principal, eliminando o transporte de lenha para o seu interior. Além disso, criamos um cinzeiro de remoção dos resíduos produzidos pelo equipamento (cinzas), aumentamos também, a área interna da máquina para colocação de lenha.
Durabilidade
Neste modelo a câmara de combustão é envolvida por uma corrente de ar que está sempre em movimento, ou seja, quando a máquina estiver ligada este ar é sugado para dentro do aviário e quando estiver desligada, este ar é movimentado por diferença de temperatura, refrigerando naturalmente a máquina. Esse processo aumenta significativamente a vida útil do equipamento.
Tecnologia da automação
Criamos alternativas inovadoras para o monitoramento de mais de um galpão de aves ou suínos ao mesmo tempo. Lançamos um painel de controle totalmente gerenciável pelo computador, em que podemos monitorar todos os galpões interligados, sendo possível alterar programações e acompanhar todo o histórico de aquecimento desde a entrada do lote até o final do aquecimento. Os dados são armazenados em um banco com a criação de gráficos explicativos.
Após testes efetuados na CAC chegamos à conclusão de que sua vazão atinge até 40% a mais do que os produtos disponíveis no mercado, com uma velocidade de fluxo de 95 a 100 km/h e mantendo a temperatura de fluxo entre 65 a 75º C.
Eficiência
O Sistema de aquecimento central da TERMOAVES capta 100% do ar externo (fora das instalações) e ao ser aquecido não entra em contato com os gases resultantes do processo de combustão, mantendo a taxa normal de oxigênio e por diluição reduz a concentração de amônia no interior do ambiente, pois o ar é constantemente renovado seguindo as normas para ventilação mínima.
Em função da qualidade do ambiente ser uniforme em todos os pontos da instalação, proporciona ambiente com qualidade de ar-condicionado, otimizando a distribuição dos animais.
Sistema de difusor de ar
Como nos demais modelos produzidos a CAC conta com o sistema de distribuição de ar via difusor, reduzindo custo de tubulação interna nas instalações, melhorando a circulação de ar no ambiente em aquecimento.
A distribuição do ar é feita através de um sistema de alhetas que movimenta o ar ambiente, conforme mostram as setas na figura ao lado. Este processo mantém a temperatura uniforme em todos os pontos do pinteiro. No momento de ampliar o pinteiro, basta redirecionar as alhetas para os cantos opostos ao difusor.
Obs: o difusor só funciona em máquina com alta vazão e velocidade adequada do ar.</t>
  </si>
  <si>
    <t>2743134792973371</t>
  </si>
  <si>
    <t>MLB3780565131</t>
  </si>
  <si>
    <t>U609231836</t>
  </si>
  <si>
    <t>LEG008</t>
  </si>
  <si>
    <t>Triturador De Cama Para Aviário 13cv Com Espalhador De Cal</t>
  </si>
  <si>
    <t>Removedor e Triturador de Cama para Aviário - 13CV Pró Simples com espalhador de cal
Finalidade
Este equipamento foi desenvolvido para desempenhar três funções primordiais:
- A PRIMEIRA é mexer a cama do aviário, triturando os torrões que se formam no decorrer do alojamento, evitando assim os calos de peito e calos de pé nos frangos.
- A SEGUNDA função é queimar a pena ao final do alojamento, com o sistema de queima anexado atrás do removedor de cama, o avicultor trabalha queimando a pena do aviário sem contato com o excesso de calor gerado pelo queimador, com redução de tempo de manejo e sem esforço físico.
- A TERCEIRA é espalhar cal virgem no preparo da cama para o próximo alojamento, reduzindo a umidade e desinfetando-a. Fácil de utilizar, o espalhador de cal vai acoplado ao removedor, possibilitando segurança ao produtor, uniformizando a aplicação e sem levantar pó.
Agilidade
A agilidade do equipamento se dá pela largura de corte de 1,10m que foi dimensionada conforme a distância média entre linhas de niple e comedor automático, comparando-o com outros equipamentos podemos agilizar em até 300% o tempo desse manejo.
O sistema de tração do removedor é hidráulico com velocidade variável e progressiva, proporcionando ao cliente comandar a velocidade de deslocamento do equipamento facilitando na trituração da cama do aviário. Além disso o operador fica posicionado sobre o equipamento conduzido com muito conforto sua operacionalização.
Eficiência
Pensando no baixo nível de refugo de peitos e pés criamos um equipamento que possa bater a cama durante o alojamento (com frangos dentro), pois o formato triangular frontal com saia de borracha, vai abrindo caminho evitando o atropelamento dos frangos e reduzindo o nível de poeira no ambiente.</t>
  </si>
  <si>
    <t>MLB3780571567</t>
  </si>
  <si>
    <t>U606727809</t>
  </si>
  <si>
    <t>LEG005</t>
  </si>
  <si>
    <t>Central de Aquecimento Compacta com Alimentador
Automático - CAC 50.000 - Motor 4CV - Cavaco, pellet, chip, briquete
Praticidade
A taxa de combustão é controlada automaticamente possibilitando uma economia de até 80% da lenha, quando comparada com as campânulas tradicionais. O manejo é prático e fácil, pois o abastecimento do equipamento é centralizado em um único local e fora da instalação principal, eliminando o transporte de lenha para o seu interior. Além disso, criamos um cinzeiro de remoção dos resíduos produzidos pelo equipamento (cinzas), aumentamos também, a área interna da máquina para colocação de lenha.
Durabilidade
Neste modelo a câmara de combustão é envolvida por uma corrente de ar que está sempre em movimento, ou seja, quando a máquina estiver ligada este ar é sugado para dentro do aviário e quando estiver desligada, este ar é movimentado por diferença de temperatura, refrigerando naturalmente a máquina. Esse processo aumenta significativamente a vida útil do equipamento.
Tecnologia da automação
Criamos alternativas inovadoras para o monitoramento de mais de um galpão de aves ou suínos ao mesmo tempo. Lançamos um painel de controle totalmente gerenciável pelo computador, em que podemos monitorar todos os galpões interligados, sendo possível alterar programações e acompanhar todo o histórico de aquecimento desde a entrada do lote até o final do aquecimento. Os dados são armazenados em um banco com a criação de gráficos explicativos.
Após testes efetuados na CAC chegamos à conclusão de que sua vazão atinge até 40% a mais do que os produtos disponíveis no mercado, com uma velocidade de fluxo de 95 a 100 km/h e mantendo a temperatura de fluxo entre 65 a 75º C.
Eficiência
O Sistema de aquecimento central da TERMOAVES capta 100% do ar externo (fora das instalações) e ao ser aquecido não entra em contato com os gases resultantes do processo de combustão, mantendo a taxa normal de oxigênio e por diluição reduz a concentração de amônia no interior do ambiente, pois o ar é constantemente renovado seguindo as normas para ventilação mínima.
Em função da qualidade do ambiente ser uniforme em todos os pontos da instalação, proporciona ambiente com qualidade de ar-condicionado, otimizando a distribuição dos animais.
Sistema de difusor de ar
Como nos demais modelos produzidos a CAC conta com o sistema de distribuição de ar via difusor, reduzindo custo de tubulação interna nas instalações, melhorando a circulação de ar no ambiente em aquecimento.
A distribuição do ar é feita através de um sistema de alhetas que movimenta o ar ambiente, conforme mostram as setas na figura ao lado. Este processo mantém a temperatura uniforme em todos os pontos do pinteiro. No momento de ampliar o pinteiro, basta redirecionar as alhetas para os cantos opostos ao difusor.
Obs: o difusor só funciona em máquina com alta vazão e velocidade adequada do ar.</t>
  </si>
  <si>
    <t>7255020244551162</t>
  </si>
  <si>
    <t>MLB3780613827</t>
  </si>
  <si>
    <t>U606736365</t>
  </si>
  <si>
    <t>LEG015</t>
  </si>
  <si>
    <t>Esteira Transportadora Para Cama De Aviário</t>
  </si>
  <si>
    <t>Esteira Transportadora para Cama de Aviário
Características
Esteira para carregamento de cama de aviário, com caçamba e  correntes para facilitar o seu transporte, produzida em material de alta resistência evitando o seu desgaste precoce por corrosão. Sistema de roletes protegidos do contato direto com material transportado, oferecendo um produto de alta durabilidade com maior velocidade de carregamento.</t>
  </si>
  <si>
    <t>4022339866323347</t>
  </si>
  <si>
    <t>MLB3792668735</t>
  </si>
  <si>
    <t>U606738163</t>
  </si>
  <si>
    <t>LEG027</t>
  </si>
  <si>
    <t>Aquecedor Com Alimentação Automática - Mz 1200</t>
  </si>
  <si>
    <t>Aquecedor com alimentação Automática - Incluso painel de controle - Tradicional - Cj 40 canos - MZ 1200 - briquete, pellet, chip, cavaco, lenha - 1 exaustor 4cv - 7.200m³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</si>
  <si>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4328640986779337</t>
  </si>
  <si>
    <t>MLB3792687041</t>
  </si>
  <si>
    <t>U609236786</t>
  </si>
  <si>
    <t>LEG031</t>
  </si>
  <si>
    <t>Aquecedor Com Alimentação Automática - Mz 4000</t>
  </si>
  <si>
    <t>Aquecedor com alimentação Automática - Incluso painel de controle - Tradicional - Cj 40 canos - MZ 4000 - briquete, pellet, chip, cavaco, lenha  - 2 exaustores 4cv - 15.900m³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</si>
  <si>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3449788322760547</t>
  </si>
  <si>
    <t>MLB3792692401</t>
  </si>
  <si>
    <t>U606803565</t>
  </si>
  <si>
    <t>LEG026</t>
  </si>
  <si>
    <t>Aquecedor Lenha - Cj 40 Canos Mz 2000 - 2 Exaustores 4cv</t>
  </si>
  <si>
    <t>Aquecedor Lenha - Cj 40 canos MZ 2000 - 2 exaustores 4cv - 14.100m³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</si>
  <si>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1472169451955298</t>
  </si>
  <si>
    <t>MLB3792715803</t>
  </si>
  <si>
    <t>U609303396</t>
  </si>
  <si>
    <t>LEG024</t>
  </si>
  <si>
    <t>Aquecedor Lenha - Cj 40 Canos Mz 1200 - 1 Exaustor 4cv - 7.2</t>
  </si>
  <si>
    <t>Aquecedor Lenha - Cj 40 canos MZ 1200 - 1 exaustor 4cv - 7.200m³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</si>
  <si>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2606892689383843</t>
  </si>
  <si>
    <t>MLB3792719977</t>
  </si>
  <si>
    <t>U606739971</t>
  </si>
  <si>
    <t>LEG028</t>
  </si>
  <si>
    <t>Aquecedor Com Alimentação Automática - Mz 1600</t>
  </si>
  <si>
    <t>Aquecedor com alimentação Automática - Incluso painel de controle - Tradicional - Cj 40 canos - MZ 1600 - briquete, pellet, chip, cavaco, lenha - 2 exaustores 4cv - 9.200m³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</si>
  <si>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2328171659389317</t>
  </si>
  <si>
    <t>MLB3792721933</t>
  </si>
  <si>
    <t>U609234860</t>
  </si>
  <si>
    <t>LEG029</t>
  </si>
  <si>
    <t>Aquecedor Com Alimentação Automática - Mz 2000</t>
  </si>
  <si>
    <t>Aquecedor com alimentação Automática - Incluso painel de controle - Tradicional - Cj 40 MZ 2000 - briquete, pellet, chip, cavaco, lenha  - 2 exaustores 4cv - 12.100m³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</si>
  <si>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333091697322299</t>
  </si>
  <si>
    <t>MLB3792730299</t>
  </si>
  <si>
    <t>U606727893</t>
  </si>
  <si>
    <t>LEG025</t>
  </si>
  <si>
    <t>Aquecedor Lenha - Cj 40 Canos Mz 1600 - 2 Exaustores 4cv</t>
  </si>
  <si>
    <t>Aquecedor Lenha - Cj 40 canos MZ 1600 - 2 exaustores 4cv - 12.100m³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</si>
  <si>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6181724131670010</t>
  </si>
  <si>
    <t>MLB3794076663</t>
  </si>
  <si>
    <t>U609234982</t>
  </si>
  <si>
    <t>LEG037</t>
  </si>
  <si>
    <t>Enrolador De Lona De Parede (01 Rolo De 3m Com Acessórios)</t>
  </si>
  <si>
    <t>ENROLADOR DE LONAS DE PAREDE PARA CAMA DE AVIÁRIO - 01 rolo de 3m com acessórios de instalação
Tecnologia exclusiva, este produto simplifica o processo de enrolar a lona, após a fermentação da cama de aviário. É fácil de usar e não exige esforço físico. 
Fixado na parede do aviário, ele enrola a lona automaticamente, ao mesmo tempo em que já retira uma boa parte das penas. Após o processo, a lona fica armazenada ali mesmo, impossibilitando a ação de ratos e pronta para ser utilizada novamente.
Facilidade e rapidez para enrolar as lonas de fermentação, não exigindo esforço físico do produtor;
As lonas ficam armazenadas dentro do aviário, impossibilitando a ação de ratos;
Os rolos são fixados nas paredes das cabeceiras;
Com sistema para retirada das penas
Painel de Comando e Motorredutor móvel, possibilitando o uso do sistema em vários rolos. Basta acoplar no eixo enrolador;
Rolo com três metros de comprimento, permitindo enrolar lonas de diversas larguras;
Possibilita enrolar até 200 metros de lona dobrada em duas partes;
Equipamento fabricado em aço, robusto e de fácil utilização.</t>
  </si>
  <si>
    <t>94867951341870</t>
  </si>
  <si>
    <t>MLB3799619121</t>
  </si>
  <si>
    <t>U609771146</t>
  </si>
  <si>
    <t>LEG068</t>
  </si>
  <si>
    <t>Coqueteleira 400ml Com Divisória</t>
  </si>
  <si>
    <t>8872193997864184</t>
  </si>
  <si>
    <t>MLB3807353243</t>
  </si>
  <si>
    <t>U607268867</t>
  </si>
  <si>
    <t>TGR85WIFI-EP</t>
  </si>
  <si>
    <t>Beok Termostato Programável Aquecedor De Água 3a Termostato</t>
  </si>
  <si>
    <t>127/220v 0 W</t>
  </si>
  <si>
    <t>2940795980465238</t>
  </si>
  <si>
    <t>MLB4132074145</t>
  </si>
  <si>
    <t>U3316399276</t>
  </si>
  <si>
    <t>LD0008</t>
  </si>
  <si>
    <t>Par Barra Led Drl Farol Aux Carro 17cm Aut Fita Decorativo</t>
  </si>
  <si>
    <t>Par Barra Led Drl Farol Aux Carro 17cm Aut Fita Decorativo
Por que investir em luzes de LED?
Melhoria da visibilidade: As luzes de LED tendem a produzir uma luz mais brilhante e nítida em comparação com as lâmpadas convencionais, o que pode aumentar a visibilidade do veículo durante a noite ou em condições de baixa luminosidade, melhorando a segurança.
Estilo personalizado: As luzes de LED vêm em uma variedade de cores e designs, permitindo que os motoristas personalizem o visual de seus carros e expressem sua individualidade.
Eficiência energética: Os LEDs consomem menos energia do que as lâmpadas convencionais, o que pode ajudar a economizar combustível e reduzir a carga sobre o sistema elétrico do veículo.
Durabilidade: Os LEDs têm uma vida útil significativamente mais longa do que as lâmpadas tradicionais, o que significa que exigem menos substituições e manutenção ao longo do tempo.
Resposta rápida: Os LEDs acendem instantaneamente, proporcionando uma resposta mais rápida do que as lâmpadas incandescentes, o que pode ser crucial em situações de frenagem repentina.
Resistência a vibrações: Os LEDs são mais resistentes a vibrações e impactos do que as lâmpadas tradicionais, o que os torna ideais para uso em veículos.
Áreas de aplicação:
Luz estroboscópica
Luz de ré
Luzes de estacionamento
Luzes de marcação laterais
Luz da placa
Luz de circulação diurna
Luz de posição
Luz de nevoeiro.
Características do produto:
Tecnologia Flip Chip COB LEDs*, LEDs COB ultra brilhantes;
Alimentado por empresas internacionais LEDs COB automotivos;
Caixa de alumínio de alta qualidade para melhor dissipação térmica;
ngulo de feixe mais amplo para melhor campo visual em condições climáticas adversas;
Tecnologia Lightguide para design de estilo (opcional);
Certificação IP 67 para proteção intensa contra água;
A maioria das lâmpadas universais são instaladas sem necessidade de modificação do veículo;
Eficiência energética - Até 65% de economia de energia a mais do que o modelo original;
Compatível com carros mais recentes equipados com tecnologia Hybrid ou start/stop;
Vida útil: até 5.000h;
Fácil instalação através de sua construção compacta;
Sem manutenção;
Opção de cores;
Certificado de acordo com os regulamentos ECE, SAE e IP homologado.
Dados técnicos:
Descrição do produto: Lâmpadas de funções LEDs COB
Por ser multivoltagem serve para carro, caminhão e até tratores;
Corrente de entrada: &lt;1A
Entrada de energia: &lt;10W (1 unidade)
Vida útil Tc: 5.000h
Tamanho da linha: Maior igual a 75CM
Tamanho do pacote: 280*70*20mm
Unidade por embalagem: 2 unidades (lâmpadas LEDs Cob)
Categoria ECE: R87/R7
#LED #DRL #IluminaçãoAutomotiva #CarroLED #EstiloAutomotivo #TuningDeCarro #AcessóriosAutomotivos #ModificaçõesAutomotivas #EstiloPersonalizado #CarrosModernos #UpgradeDeCarro #CarroPersonalizado #fitaLed #automotivoled #UpgradeCar</t>
  </si>
  <si>
    <t>8233355777491076</t>
  </si>
  <si>
    <t>MLB4148526133</t>
  </si>
  <si>
    <t>U3345319188</t>
  </si>
  <si>
    <t>PET010</t>
  </si>
  <si>
    <t>Tapete Colchonete Gelado Para Pets Cães Cachorro 65x50</t>
  </si>
  <si>
    <t>O Tapete Colchonete Gelado da CassPet é a solução perfeita para manter seu pet confortável e fresco em dias quentes. Com um tamanho médio de 65x50,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65X50: COMPRIMENTO:65CM LARGURA:50CM ALTURA: 3CM</t>
  </si>
  <si>
    <t>4054391950687928</t>
  </si>
  <si>
    <t>MLB4148696687</t>
  </si>
  <si>
    <t>U3339388213</t>
  </si>
  <si>
    <t>PET011</t>
  </si>
  <si>
    <t>Tapete Colchonete Gelado Para Pets Cães Cachorro 90x50</t>
  </si>
  <si>
    <t>O Tapete Colchonete Gelado da CassPet é a solução perfeita para manter seu pet confortável e fresco em dias quentes. Com um tamanho médio de 90x50,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90X50:  COMPRIMENTO:90CM LARGURA:50CM  ALTURA: 3CM</t>
  </si>
  <si>
    <t>6457819107733227</t>
  </si>
  <si>
    <t>MLB4148727115</t>
  </si>
  <si>
    <t>U3346110224</t>
  </si>
  <si>
    <t>PET012</t>
  </si>
  <si>
    <t>Tapete Colchonete Gelado Para Pets Cães Cachorro 90x60</t>
  </si>
  <si>
    <t>O Tapete Colchonete Gelado da CassPet é a solução perfeita para manter seu pet confortável e fresco em dias quentes. Com um tamanho médio de 90x60, este tapete é ideal para cães de porte médio. Sua tecnologia permite que ele esfrie em contato com o corpo do animal, proporcionando um alívio imediato sem a necessidade de congelamento prévio. O gel interno é completamente não tóxico, garantindo a segurança do seu pet. Além disso, o tapete é extremamente fácil de limpar e manter, sendo lavável e à prova d'água. O material de PVC-Nylon assegura durabilidade e resistência. Este modelo de Colchonete Refrescante não é personalizável, mas seu design e eficácia o tornam um acessório indispensável para o bem-estar do seu cachorro.
MEDIDAS:
TAPETE 90X60:  COMPRIMENTO:90CM LARGURA:60CM  ALTURA: 3CM</t>
  </si>
  <si>
    <t>5587062402823732</t>
  </si>
  <si>
    <t>MLB4161652837</t>
  </si>
  <si>
    <t>U3363214222</t>
  </si>
  <si>
    <t>PIS002</t>
  </si>
  <si>
    <t>Pistola De Pintura Hvlp Profissional Mini H2000 Azul-marinho</t>
  </si>
  <si>
    <t>Pinte de forma mais rápida, eficiente e organizada com a pistola elétrica da Epm Tools.
Tecnologia HLVP
O sistema de pulverização HVLP funciona com alto volume de ar e baixa pressão, proporcionando maior eficiência: uma grande quantidade de tinta sai do bico e atinge a superfície a ser pintada. Além disso, a baixa pressão reduz a atomização da tinta, resultando em menos excesso de pulverização, detritos e contaminação.
ESPECIFICAÇÕES TÉCNICAS:
BICO: 0,8MM
ENTRADA DE AR PADRÃO: 1/4"
CAPACIDADE DO COPO: 125ML
CONSUMO DE AR MÉDIO: 6 PÉS
PRESSÃO DE TRABALHO: 25 A 35 PSI
DIMENSÕES:
PESO: 250GR
ALTURA: 25CM
LARGURA: 6,5CM
COMPRIMENTO: 12CM</t>
  </si>
  <si>
    <t>6198476684112097</t>
  </si>
  <si>
    <t>MLB4175124747</t>
  </si>
  <si>
    <t>U3378472859</t>
  </si>
  <si>
    <t>DEB001</t>
  </si>
  <si>
    <t>Kit 5 Vivo/debrum Estofados  Automotivos Preto Fita 1 Metro</t>
  </si>
  <si>
    <t>Características Gerais do Produto:
Aplica-se a: Estofados automotivos veículos antigos/clássicos, bolsas e mochilas
Material: 100% PVC virgem / Largura 11mm
Cor/Estampa: Preto
Indicação de Uso: Acabamento de estofados automotivos, bolsas, mochilas
Acompanha o produto:
5 fitas de 1 metro vivo/debrum
O produto poderá ser dobrado para o envio.
Comprimento: 100 cm</t>
  </si>
  <si>
    <t>6103023345719223</t>
  </si>
  <si>
    <t>MLB4180060469</t>
  </si>
  <si>
    <t>U3384303215</t>
  </si>
  <si>
    <t>QUE001</t>
  </si>
  <si>
    <t>Quebra Cabeça - Kit Com 5 Modelos - Educativos</t>
  </si>
  <si>
    <t>O Kit Quebra-Cabeça Educacional Way é a escolha ideal para unir aprendizado e diversão, proporcionando momentos de desenvolvimento e interação entre crianças e familiares. Composto por diferentes jogos educativos, ele estimula a coordenação motora fina, a percepção visual, o raciocínio lógico e a associação de cores, além de ensinar noções importantes como regras de trânsito e valores para uma vida mais feliz.
Indicado para crianças a partir de 3 anos, este kit pode ser utilizado tanto individualmente quanto em grupo, sendo perfeito para brincar em casa ou como recurso pedagógico em escolas. Cada jogo foi pensado para estimular habilidades essenciais de forma lúdica e segura, com peças grandes e resistentes, adequadas para o manuseio infantil.
Produzido pela marca Way – No Caminho do Saber, o kit reúne materiais coloridos, atrativos e de qualidade, garantindo uma experiência educativa completa. Um verdadeiro aliado no processo de aprendizagem, incentivando o desenvolvimento cognitivo, motor e social da criança.
Itens inclusos no Kit:
Meu Bebê – Coleção 1
18 peças
6 joguinhos educativos
Estimula percepção visual e coordenação motora
Idade: +3 anos
Regras de Trânsito
1 caixa com 2 jogos
Trabalha associação, coordenação motora e conhecimento das regras básicas de trânsito
Idade: +4 anos
Quebra-Cabeça Gigante – Cada Caixa uma Lição
12 peças grandes
Tema: “O que eu não preciso para ser feliz – Gula”
Estimula raciocínio lógico e associação de cores
Idade: +4 anos
Quebra-Cabeça Gigante – Cada Caixa uma Lição
12 peças grandes
Tema: “O que eu não preciso para ser feliz – Crueldade”
Estimula raciocínio lógico e associação de cores
Idade: +4 anos
Quebra-Cabeça Progressivo – Alice no País das Maravilhas
20 peças
5 quebra-cabeças progressivos (2, 3, 4, 5 e 6 peças)
Acompanha história para contação com os pais
Desenvolve percepção visual, coordenação motora e introdução aos números
Idade: +3 anos</t>
  </si>
  <si>
    <t>Quebra-cabeças</t>
  </si>
  <si>
    <t>8658641306577426</t>
  </si>
  <si>
    <t>MLB4194654142</t>
  </si>
  <si>
    <t>U1163003472</t>
  </si>
  <si>
    <t xml:space="preserve"> Cone Flexivel Para Transito Em Oxford Kit Com 20 Unid</t>
  </si>
  <si>
    <t>Descrição
Cones flexiveis e ou cones retráteis Reflexivos para transito (sistema telescopico), forças de segurança, caminhões de combustiveis e quimicos ou outro para estrada
Descrição do produto:
Cone com sistema telescópico de transito e segurança com luz de advertência de LED COM Abertura de 72 cm à prova de chuva e alta resistencia.
O cone de transito retratil é dobrável e se acondiciona em pequenos compartimentos, fácil de operar e fácil de transportar. O cone é feito de tecido de oxford reflexivo impermeável macio e equipado com cinto refletor de 150x100mm.
A parte superior é equipada com o led intermitente (Estilo pisca pisca) com freqüência de intermitencia de mais de 150 vezes/min, o Led e com força para atravessar nevoeiros, noites com chuva e outras interpéries.
Especificações:
Material: pano de oxford e base em borracha com placa PP
* Tamanho: 380*380*720mm,
* Peso cerca de 3.4kgs;
* Refletor: 2pcs, 150+100mm;
* Cor: vermelho, cinza, preto;
* Luz inferior: 1pc LED, estilo pisca pisca &amp; steady-on, alimentado por 2pcs pilhas AAA (não incluído no produto e preço unitário);
* Sem top ligh
Tamanho: aprox.230x230x40mm/9.1x9.1x1.6 polegada
#SegurançaViária #ConesFlexíveis #SinalizaçãoEficiente #TráfegoSeguro #ConesDeSegurança #VisibilidadeNoTrânsito #MobilidadeUrbana #SinalizaçãoFlexível #ConeDeTrânsito #SegurançaNasEstradas #ConesRefletivos #AlertaNoTrânsito #ManutençãoDeEstradas #TrabalhoSeguro #SinalizaçãoRodoviária</t>
  </si>
  <si>
    <t>7118286229523243</t>
  </si>
  <si>
    <t>MLB4201755229</t>
  </si>
  <si>
    <t>U3413073631</t>
  </si>
  <si>
    <t>PIS007</t>
  </si>
  <si>
    <t>Pistola De Pintura Por Gravidade Caneca Alumínio</t>
  </si>
  <si>
    <t>ESPECIFICAÇÕES
- pistola para uso profissional;
- aplicação eficiente;
- agulha e bico frontal em aço inox;
- controle de padrão ajustável;
- caneca de alumínio
- capacidade do reservatório: 400ml
- tipo: sucção;
- bico: 1,5mm;
- entrada de ar: 1/4;
- consumo: 7-12 cfm ( 200-350 l/min);
- pressão de trabalho: 0,3 a 0,5mpa;
- gatilho mola de ar;
Aplicações:
- pintor;
- residência;
- oficina;
- parede;
- pintura automotiva;
- madeira;
- alumínio;
- entre outros.
Inclui:
1x pistola de pintura
1x caneca de alumínio
1x escova de limpeza
Tamanho do produto: aproximadamente 30x14x12cm
Peso do produto: 455g
Tamanho da embalagem: 20x10x11cm
Peso total: 500g</t>
  </si>
  <si>
    <t>7641152096912939</t>
  </si>
  <si>
    <t>MLB4353442015</t>
  </si>
  <si>
    <t>U3667654256</t>
  </si>
  <si>
    <t>MED-001</t>
  </si>
  <si>
    <t>1 Rolo Lencol Descartavel Papel Hospitalar 70cmx50m Branco</t>
  </si>
  <si>
    <t>LENÇOL GREENPACK 70cm x 50 m perfeito para macas e camas
Venda de 1 Unidade do Produto
Lençóis descartáveis indicados para cobrir macas, camas e superfícies, proporcionando proteção contra o contato direto de pessoas com locais de uso comum.
Proporcionam segurança para os clientes em locais que exigem cuidados com limpeza e higiene nas áreas cobertas pelo papel lençol. Adequados para área médica, estética e hospitalar.
Facilitam a troca rápida e prática entre pacientes.
Não estéril.
Uso único.
Conservar em local seco.
Utilização em Maca Divã e outras.
Gramatura: 24 a 27gr por m2.
Alvura: 50% branco.
Matéria Prima: Fibras celulósicas.</t>
  </si>
  <si>
    <t>1144520491712154</t>
  </si>
  <si>
    <t>MLB4433987198</t>
  </si>
  <si>
    <t>U607779991</t>
  </si>
  <si>
    <t>LD 0008</t>
  </si>
  <si>
    <t>6204324716815997</t>
  </si>
  <si>
    <t>MLB4435798316</t>
  </si>
  <si>
    <t>U607823479</t>
  </si>
  <si>
    <t>LD 0006</t>
  </si>
  <si>
    <t>Par Barra Led Drl Farol Aux Car 17cm Aut Fita Flexivel Seta</t>
  </si>
  <si>
    <t>4056137309519420</t>
  </si>
  <si>
    <t>MLB4447678907</t>
  </si>
  <si>
    <t>U3754400983</t>
  </si>
  <si>
    <t>VIS-003</t>
  </si>
  <si>
    <t>Viseira Fume Zeus Para Motos De Trilha</t>
  </si>
  <si>
    <t>A viseira Fume Zeus para motos de trilha é a escolha ideal para os motociclistas que buscam proteção e estilo. Com um design que combina funcionalidade e estética, esta viseira proporciona uma visão clara e sem distorções, essencial para enfrentar os desafios das trilhas.
Fabricada pela renomada marca Zeus, a viseira é projetada para se adaptar perfeitamente ao seu capacete, garantindo segurança e conforto durante a pilotagem. Sua tonalidade fumê oferece uma proteção eficaz contra a luz solar intensa, permitindo que você se concentre na estrada à sua frente.
Além disso, a viseira é resistente a impactos, proporcionando durabilidade e confiança em cada aventura. Invista na sua experiência de pilotagem e sinta a diferença que uma viseira de qualidade pode fazer em suas trilhas.</t>
  </si>
  <si>
    <t>2503715500803729</t>
  </si>
  <si>
    <t>MLB4475128713</t>
  </si>
  <si>
    <t>U3787291475</t>
  </si>
  <si>
    <t>Toldo Retratil 3,5 X 2,5 Metros Cor Caqui</t>
  </si>
  <si>
    <t>O Toldo Toldos Lona Modelo Desconhecido é a solução ideal para quem busca proteção e conforto em áreas externas. Com uma altura de 1 metro e uma largura de 3,5 metros quando aberto, ele proporciona uma cobertura ampla, perfeita para varandas, pátios ou eventos ao ar livre. Sua profundidade de 2,5 metros garante sombra e abrigo, permitindo que você aproveite o espaço ao máximo.
Fabricado em lona resistente, este toldo é projetado para suportar diferentes condições climáticas. O suporte em aço confere durabilidade e estabilidade, assegurando que o produto mantenha sua forma e funcionalidade ao longo do tempo. Com um peso de 130 kg, ele é robusto, ideal para uso em locais que exigem resistência.
Quando fechado, o toldo apresenta uma altura de 1 metro, largura de 4 metros e profundidade de 50 cm, facilitando o armazenamento e o transporte. Seu design prático permite que você o utilize sempre que necessário, sem complicações. Este produto é uma escolha inteligente para quem valoriza qualidade e eficiência em soluções de cobertura.</t>
  </si>
  <si>
    <t>86</t>
  </si>
  <si>
    <t>8</t>
  </si>
  <si>
    <t>2.48</t>
  </si>
  <si>
    <t>129091934039797</t>
  </si>
  <si>
    <t>MLB4480823156</t>
  </si>
  <si>
    <t>U1167524878</t>
  </si>
  <si>
    <t>LS001</t>
  </si>
  <si>
    <t>Sinalização Led Dupla Face Caminhao Estrela Ambar Cromado</t>
  </si>
  <si>
    <t>Produto novo vendido como usado por ter vindo como amostra sem embalagem de venda.
As luzes de sinalização de face dupla são usadas principalmente em veículos, como ônibus e caminhões, para fornecer indicações visíveis tanto para os motoristas atrás do veículo quanto para os motoristas que se aproximam na direção oposta. Isso é especialmente útil em situações onde a visibilidade pode ser reduzida, como durante condições de neblina, chuva intensa ou à noite, aumentando a segurança rodoviária.
Característica especial: ambos os lados para funções de estacionamento e pisca, redonda, dupla face, luz multifuncional 
Potência: 30 watts
Cor da lente: Âmbar
Material da lente: Policarbonato
Conjunto de luz selada 12V, 24 diodos, montagem em pedestal, lente à prova d'água.
Tamanho da luz: 146 mm x 106 mm x 58 mm (5,7'' x 4,2'' x 2,3'')
Nota: Função de estacionamento e giro se você tiver interruptor ou pisca-pisca instalado, caso contrário, a luz terá apenas uma função;
FÁCIL DE INSTALAR: O Fio Preto é o Terra; Preto+Branco, um lado funciona; Preto + Vermelho, outro lado funciona.
 #SegurançaRodoviária #CaminhãoLED #IluminaçãoVeicular #SinalizaçãodeTráfego #TecnologiaLED #SinalizaçãoSegura #VisibilidadenoTrânsito #SinalizaçãoLED #CaminhãoSeguro #Ledduplaface</t>
  </si>
  <si>
    <t>8492468252824783</t>
  </si>
  <si>
    <t>MLB4495335932</t>
  </si>
  <si>
    <t>U608371903</t>
  </si>
  <si>
    <t>Luz Motocicleta Redonda 20w Lampada De Trabalho 6500k</t>
  </si>
  <si>
    <t>As luzes redondas de 20W equipadas com lâmpadas de trabalho de 6500K, são utilizadas para:
Iluminação adicional: Elas fornecem luz adicional para melhorar a visibilidade do motociclista durante a condução noturna ou em condições de baixa luminosidade;
Segurança: Ao aumentar a visibilidade da motocicleta, essas luzes podem ajudar a reduzir o risco de acidentes, tornando mais fácil para outros motoristas e pedestres notarem a presença da moto;
Condução off-road: Em atividades de motociclismo off-road ou em trilhas, onde as condições de iluminação podem ser desafiadoras, essas luzes adicionais podem ser cruciais para melhorar a visibilidade do terreno;
Estilo: Alguns motociclistas usam essas luzes adicionais não apenas por motivos de segurança, mas também para adicionar um toque estilístico à sua motocicleta;
Trabalho: Em algumas situações, as motocicletas são utilizadas para fins de trabalho, como em serviços de entrega ou em ambientes industriais. Nessas situações, as luzes adicionais podem ser necessárias para melhorar a visibilidade durante o trabalho.
Características:
Cor: preto 
Material: alumínio
Potência: 20W 
Tensão: DC9-30V
Fluxo luminoso: 1800LM 
Temperatura da Cor: 6500k
IP66
Amplamente utilizado para automóveis/motocicletas/veículos off-road/caminhão/empilhadeira/navio, Antiluz fraca forte, economiza energia, alto brilho, invólucro de alumínio, dissipador de calor multicamada, dissipação de calor, fácil de instalar e remover.
#IluminaçãoMotocicleta #LuzDeTrabalhoMoto #VisibilidadeNoturna #SegurançaRodoviária #LuzExtraMoto #EstiloMotociclista #ConduçãoSegura #AventuraNoturna
#MotociclismoOffRoad</t>
  </si>
  <si>
    <t>8418884320434973</t>
  </si>
  <si>
    <t>MLB4515454922</t>
  </si>
  <si>
    <t>U1164100367</t>
  </si>
  <si>
    <t>U0001</t>
  </si>
  <si>
    <t xml:space="preserve">Luz De Espera Leitura Led Interior Branco 12v Redondo </t>
  </si>
  <si>
    <t>Sem Conector Branco Branco-frio</t>
  </si>
  <si>
    <t>Cor temp: Branco 6000-6500K 
Vida útil: mais de 60,000hrs
Alto brilho até 250lm
Distribuição suave
Interruptor rocker on/off integrado
Condição: vendido como usado por estar sem a embalagem da peça devido produto ter vindo como amostra. 
Tipo: teto e luz
Utilização: Barcos, RVs, e carros
Tensão: 12V DC
Potência: 3W
Cor do escudo: branco
Fluxo luminoso: 250 lúmens
Ângulo do feixe: 120 graus
Materiais: plástico
Cor: Branco
#LuzDeDescanso #IluminaçãoVeicular #LEDVeicular #ConfortoNoCarro #DescansoNoCarro #AmbienteRelaxante #InteriorDoCarro #ConduçãoConfortável #LuzAmbiente #ViagemRelaxante #InteriorBarcos</t>
  </si>
  <si>
    <t>6849097634520779</t>
  </si>
  <si>
    <t>MLB4515780788</t>
  </si>
  <si>
    <t>U1164095829</t>
  </si>
  <si>
    <t>U0002</t>
  </si>
  <si>
    <t xml:space="preserve">Luz De Marcador De Led Redondo Reboque Lanterna Lateral </t>
  </si>
  <si>
    <t>Potência: 5W
Voltagem: 12V
#LuzDeMarcador #LanternaTraseira #LinhaPesada #LuzDeDescanso #luzdeleitura</t>
  </si>
  <si>
    <t>Lanternas traseiras para outros veículos</t>
  </si>
  <si>
    <t>6464520024875117</t>
  </si>
  <si>
    <t>MLB4519101744</t>
  </si>
  <si>
    <t>U1164097717</t>
  </si>
  <si>
    <t>U0005</t>
  </si>
  <si>
    <t>Led Reboque Carreta Luz Marcador Ambar Redonda</t>
  </si>
  <si>
    <t>Produto está sendo vendido como usado por não ter a embalagem original de fábrica devido item ter vindo como amostra. Mas é uma peça nova. 
Cada luz de marcador de reboque redonda de 2 polegadas vem com 4 LEDs, proporcionando melhor visibilidade ao dirigir na rodovia; vedação sônica, caixa à prova d'água IP65 e unidade de lente submersível. 
Dicas de fiação: Cada luz de marcação lateral redonda inclui um fio padrão de 2 pinos: vermelho é o negativo e preto é o positivo. 
Estas luzes de reboque LED redondas de 2 polegadas são universais para quase todos os veículos de 12 V DC, como caminhões, reboques, picapes, UTE, UTV.
Características:
Cada luz de marcador tem 4 LEDs.
Essas luzes LED redondas de 2 polegadas apresentam lentes com ótica projetada e funcionam como luzes de afastamento, marcador lateral ou luzes de identificação.
Eles são ideais para qualquer aplicação em reboques e universalmente.
Lente. de PC, soldado por ultrassom para garantir uma vedação permanente e à prova d'água.
Classificado para 12V, testado em 13,8V.
Compatibilidade: Adapta-se universalmente a qualquer veículo com DC 12V, como semi-reboque e caminhão, caminhão de serviço, ônibus, van de serviço, caminhão utilitário, caminhão utilitário, UTE, UTE.
#LuzDeReboque #SegurançaVeicular #ReboqueSeguro #IluminaçãoDeSegurança #Carretas #SinalizaçãoVeicular #SegurançaRodoviária #LuzesDeReboque #ReboqueCarreta</t>
  </si>
  <si>
    <t>7777602804498278</t>
  </si>
  <si>
    <t>MLB4519382286</t>
  </si>
  <si>
    <t>U1167826680</t>
  </si>
  <si>
    <t>U0007</t>
  </si>
  <si>
    <t>Led Reboque Carreta Luz Marcador Vermelha Redonda</t>
  </si>
  <si>
    <t>6095588470267196</t>
  </si>
  <si>
    <t>MLB4519413360</t>
  </si>
  <si>
    <t>U1164304975</t>
  </si>
  <si>
    <t>U0004</t>
  </si>
  <si>
    <t>Led Reboque Carreta Luz Traseira Marcador Ambar Redonda</t>
  </si>
  <si>
    <t>Características
- cor da luz: Ambar
- luzes de sinalização 24v.
- material: luzes traseiras pc.
- possui uma ampla gama de aplicações, como na maioria das lanternas traseiras de caminhões
- é feito de material de pc, que é seguro, durável e com boa textura de luz lateral de caminhão
- as luzes LED economizam mais energia e são ecologicamente corretas, têm baixo consumo de energia.
*produto vendido como usado por não ter embalagem original de fabrica, mas está novo.
#ledreboque #luzled #reboquecarreta #luzdereboque</t>
  </si>
  <si>
    <t>1769899815453921</t>
  </si>
  <si>
    <t>MLB4540827444</t>
  </si>
  <si>
    <t>U1167905520</t>
  </si>
  <si>
    <t>U0013</t>
  </si>
  <si>
    <t>Luminária Redonda Led Inox Para Barcos E Lanchas</t>
  </si>
  <si>
    <t>Branco-frio</t>
  </si>
  <si>
    <t>A luminária redonda em inox LED branco para barcos e lanchas é uma peça multifuncional que proporciona iluminação eficiente, segura e esteticamente agradável para melhorar a experiência de navegação e o conforto a bordo.
INFORMAÇÕES ADICIONAIS:
• Led Branco
• Luminária Com Acabamento
#IluminaçãoMarítima #BarcosELanchas #LEDParaEmbarcações #LumináriaEmInox #EstiloNáutico #SegurançaAquática #NavegaçãoNoturna #DesignMarinho #EficiênciaEnergética #AcessóriosNáuticos
• Espelhamento Interno Em Inox
• Lente Transparente
• Tensão: 12v
• 18 Pontos De Led 160 Mad
• Led Branco</t>
  </si>
  <si>
    <t>Luzes de top náuticas</t>
  </si>
  <si>
    <t>8047418599237925</t>
  </si>
  <si>
    <t>MLB4542903436</t>
  </si>
  <si>
    <t>U1167744490</t>
  </si>
  <si>
    <t>U0014</t>
  </si>
  <si>
    <t>Luz De Cortesia Cromada Led Vermelho 12v 24v Embarcações</t>
  </si>
  <si>
    <t>Vermelha</t>
  </si>
  <si>
    <t>Especificações técnicas:
Tensão: 12 e 24 v.
Material: ABS Cromado e Lente em policarbonato.
Cor: Vermelha.
Grau de Proteção IP67.
Vida útil: 50.000 horas
Produto é novo, mas veio como amostra e está sem embalagem, por isso está sendo vendido como usado.*
Material de alta qualidade: lentes de policarbonato, resistentes a colisões, difíceis de danificar, longa durabilidade.
Baixo consumo de energia, alto brilho.
Compatibilidade: tensão de 12 V, adequado para caminhões, trailers, caminhões, pickups etc. 
Instalação simples: fácil de instalar, projetada à prova de choque, não cai facilmente, confiável e durável, sem modificação, pode economizar muito tempo e esforço.
#IluminaçãoMarítima #BarcosELanchas #LEDParaEmbarcações #LuzDeCortesia #SegurançaNáutica #EstiloMarítimo #NavegaçãoNoturna #DesignNáutico #EficiênciaEnergética #DecoraçãoDeBarco</t>
  </si>
  <si>
    <t>8976914455628220</t>
  </si>
  <si>
    <t>MLB4543607226</t>
  </si>
  <si>
    <t>U1167740008</t>
  </si>
  <si>
    <t>U0015</t>
  </si>
  <si>
    <t>Lâmpada De Folga Marcação Vermelha Oval Led Cromado</t>
  </si>
  <si>
    <t>Material: Policarbonato
Acabamento da lente: Cromado
Tipo de conexão: Corte rombudo
Tamanho: 2 1/2"
Caso UPC: 89373164663
Regulamento: FMVSS 108
Funções: P2, P3
VMRS: 034-004-253
Tipo de luminária: lâmpada de folga/marcador
Tipo de montagem: Parafuso
Cor do LED: Vermelho
Cor da lente: Vermelho
amperes: 0,05A
#IluminaçãoLED #MarcadorDeLâmpada #LuzDeFolga #SinalizaçãoVeicular #SegurançaRodoviária #EstiloAutomotivo #DesignDeLuzes #GroteLED #EficiênciaEnergética #LâmpadaVermelha
*Produto novo, recebido como amostra, vendido como usado devido ausência da embalagem.</t>
  </si>
  <si>
    <t>Luzes de freio para carros e caminhonetes</t>
  </si>
  <si>
    <t>7851199014886175</t>
  </si>
  <si>
    <t>MLB4555868518</t>
  </si>
  <si>
    <t>U1164734883</t>
  </si>
  <si>
    <t>U0021</t>
  </si>
  <si>
    <t xml:space="preserve">Lanterna Led 12v 24v Palito Pisca Vigia Lateral Bau Furgao </t>
  </si>
  <si>
    <t>Sinalização Lateral: Pode ser usada como luz de pisca, indicando mudanças de direção em estradas e vias urbanas, melhorando a segurança durante as manobras.
Vigia Lateral: Auxilia na visibilidade do veículo durante a noite, tornando-o mais visível para outros motoristas, pedestres e ciclistas, reduzindo o risco de colisões.
Delimitadora de Espaço: Em caminhões baú, furgões e carrocerias, pode ser utilizada para delimitar o espaço do veículo, ajudando outros motoristas a julgar melhor as distâncias ao ultrapassar ou estacionar.
Iluminação do Bau/Furgão/Carroceria: Pode servir como uma fonte adicional de iluminação para o interior desses veículos durante o carregamento e descarregamento de mercadorias, melhorando a visibilidade e a segurança dos trabalhadores.
Segurança Noturna: A cor branca cristal da lanterna proporciona uma luz brilhante e clara, melhorando a visibilidade do veículo em condições de pouca luz ou no período noturno.
Estilo e Aparência: Além de sua funcionalidade prática, as lanternas LED podem também contribuir para a estética do veículo, especialmente se forem cromadas, adicionando um toque de estilo e modernidade à sua aparência.
Cor: Ambar
Voltagem: 12V / 24V (Bivolt)
Aplicação: Uso geral
Produto novo, recebido como amostra, vendido como usado devido falta da embalagem original.
#LanternaLED #12V #24V #Palito #Pisca #Vigia #LateralDelimitadora #Bau #Furgão #Carroceria #Sinalização #SegurançaVeicular #Iluminação #Durabilidade #EficiênciaEnergética #Versatilidade</t>
  </si>
  <si>
    <t>4118459136202095</t>
  </si>
  <si>
    <t>MLB4556028138</t>
  </si>
  <si>
    <t>U1164528185</t>
  </si>
  <si>
    <t>U0022</t>
  </si>
  <si>
    <t>Lanterna Led 12v 24v Palito Pisca Vigia Lateral Branca</t>
  </si>
  <si>
    <t>Sinalização Lateral: Pode ser usada como luz de pisca, indicando mudanças de direção em estradas e vias urbanas, melhorando a segurança durante as manobras.
Vigia Lateral: Auxilia na visibilidade do veículo durante a noite, tornando-o mais visível para outros motoristas, pedestres e ciclistas, reduzindo o risco de colisões.
Delimitadora de Espaço: Em caminhões baú, furgões e carrocerias, pode ser utilizada para delimitar o espaço do veículo, ajudando outros motoristas a julgar melhor as distâncias ao ultrapassar ou estacionar.
Iluminação do Bau/Furgão/Carroceria: Pode servir como uma fonte adicional de iluminação para o interior desses veículos durante o carregamento e descarregamento de mercadorias, melhorando a visibilidade e a segurança dos trabalhadores.
Segurança Noturna: A cor branca cristal da lanterna proporciona uma luz brilhante e clara, melhorando a visibilidade do veículo em condições de pouca luz ou no período noturno.
Estilo e Aparência: Além de sua funcionalidade prática, as lanternas LED podem também contribuir para a estética do veículo, especialmente se forem cromadas, adicionando um toque de estilo e modernidade à sua aparência.
Cor: Cristal / Branca
Voltagem: 12V / 24V (Bivolt)
Aplicação: Uso geral
Produto novo, recebido como amostra, vendido como usado devido falta da embalagem original.
#LanternaLED #12V #24V #Palito #Pisca #Vigia #LateralDelimitadora #Bau #Furgão #Carroceria #Sinalização #SegurançaVeicular #Iluminação #Durabilidade #EficiênciaEnergética #Versatilidade</t>
  </si>
  <si>
    <t>8691633221364257</t>
  </si>
  <si>
    <t>MLB4556266936</t>
  </si>
  <si>
    <t>U1168191218</t>
  </si>
  <si>
    <t>U0026</t>
  </si>
  <si>
    <t>Sinalizador Lanterna Delimitadora Lateral Led 12v 24v</t>
  </si>
  <si>
    <t>- Aplicação: Pode ser usada para iluminação de porta-malas, pisca auxiliar, caminhões baú, trailer, barcos, baú, carretas, ônibus, placa de licença entre muitas outras utilidades pois é pequena, discreta e com boa iluminação.
Elas são usadas na lateral, dianteira e parte superior do baú, tendo como principal função indicar as dimensões laterais dos veículos, tais como caminhões baú, trailer, barcos, carretas e ônibus facilitando a visibilidade à noite.
É feita de um material de alta qualidade que oferece maior durabilidade, tamanho compacto e acabamento impecável. Além de ser resistente a vibrações e calor, possui grau de proteção IP 65 resistente a água.
ESQUEMA DE LIGAÇÃO ELÉTRICA
- Fio vermelho = positivo.
- Fio preto = negativo (GND, TERRA).
ESPECIFICAÇÕES
- Encaixe: Universal
- Tensão: 12 a 24V
- Equivalência: 3W
- Lente: PMMA anti-UV
- Tipo de LED: SMD
- Linha: Standart
- Grau de proteção de água: IP65
- Fluxo Luminoso: 5 lúmens
Produto é novo, recebemos como amostra e está sem a embalagem, por isso está sendo vendido como usado. 
#Sinalizador #LanternaDelimitadora #Lateral #LED #12V #24V #SegurançaVeicular #IluminaçãoVeicular #Visibilidade #EficiênciaEnergética #TecnologiaLED #VeículosComerciais #Utilitários</t>
  </si>
  <si>
    <t>5902956765139017</t>
  </si>
  <si>
    <t>MLB4563057688</t>
  </si>
  <si>
    <t>U1168365040</t>
  </si>
  <si>
    <t>U0031</t>
  </si>
  <si>
    <t xml:space="preserve">Luz Traseira Neblina Redonda 12v Ambar 12 Leds </t>
  </si>
  <si>
    <t>Ambar
12 LED
redondo
luzes de seta de interrupção 
Ótima substituição para luzes incandescentes – sem lâmpadas para substituir/sem filamentos frágeis
#IluminaçãoTraseira #KitDeLEDs #LuzesDeNeblina #LuzesDeRé #SegurançaVeicular
#TrailerDeCaminhão #LuzesParaCaminhões #IluminaçãoDeQualidade #SinalizaçãoVeicular
#LentesRefletoras #AcessóriosAutomotivos #DurabilidadeLED #DesignModerno
#AltaVisibilidade #ConfortoNoTrânsito</t>
  </si>
  <si>
    <t>7026728418133671</t>
  </si>
  <si>
    <t>MLB4563111784</t>
  </si>
  <si>
    <t>U1164497569</t>
  </si>
  <si>
    <t>U0035</t>
  </si>
  <si>
    <t>Luz De Aviso Estilo Perigo Trator Com Moldura Cromada Ambar</t>
  </si>
  <si>
    <t>Conjunto de luz de advertência estilo de perigo com moldura cromada
Cor da lente: Âmbar
Cor da caixa: Cromado
Lâmpada incluída: Sim
Volts: 12v
A lente é feita de PMMA forte (acrílico) para resistência e alto brilho óptico, caixa feita de plástico ABS forte
Fácil de instalar
Produto é novo, só está sendo vendido como usado por estar sem embalagem, devido recebimento ter sido como amostra.</t>
  </si>
  <si>
    <t>2534803170124101</t>
  </si>
  <si>
    <t>MLB4563150228</t>
  </si>
  <si>
    <t>U1164744627</t>
  </si>
  <si>
    <t>U0040</t>
  </si>
  <si>
    <t>Luz De Aviso Estilo Perigo Trator C Moldura Cromada Vermelha</t>
  </si>
  <si>
    <t>2265723493572607</t>
  </si>
  <si>
    <t>MLB4590390412</t>
  </si>
  <si>
    <t>U608438671</t>
  </si>
  <si>
    <t>F0018</t>
  </si>
  <si>
    <t xml:space="preserve">Risco De Luz De Advertência Estroboscópica De Emergência </t>
  </si>
  <si>
    <t>Preto 12-24v</t>
  </si>
  <si>
    <t>Características:
1. Cada unidade desta luz de emergência consiste em 3 LEDs de alta intensidade com lentes ópticas, é de alta potência e mais brilhante do que outras lâmpadas.
2. 4 modos de iluminação, incluindo um modo de recuperação de memória de último padrão, aumentam a segurança ao dirigir e evitam acidentes de trânsito.
3. Estrutura completa com cabeça de luz independente, sem necessidade de pisca-pisca externo, flange preta incluída para proteção e furtividade, compacta e leve, fácil de usar, à prova de intempéries pronta para montagem externa.
4. O dissipador de calor embutido, fácil de dissipar o calor, pode prolongar o tempo de serviço da
lâmpada. Baixo consumo de energia, economia de energia, sem poluição, sem ruído, sem interferência eletrônica, ligar/desligar rápido e longa vida útil.
6. Adequado para a maioria dos carros, motocicletas, SUVs, vans e caminhões com 12-24V, pode ser usado como luz de sinalização, luz diurna, farol de neblina, etc. Especificações: Material: caixa ABS + PC Cor da lente: branco, azul, vermelho, verde (opcional) Tipo de talão da lâmpada: grânulo de lâmpada de alta potência.
DC 12-24V Corrente:
333mA Potência: 3W (cada lâmpada)
Nível à prova d'água
IP65 Modos de iluminação: 4 padrões</t>
  </si>
  <si>
    <t>1161659037077936</t>
  </si>
  <si>
    <t>MLB4590411192</t>
  </si>
  <si>
    <t>U1168498512</t>
  </si>
  <si>
    <t>Barra De Luz Estroboscópica De Led 20 Leds 20w 12v Strobo</t>
  </si>
  <si>
    <t>Product power: 20W
lamp beads: 20LED
Light source power: 1.5W/LED
voltage: 12V
Product material: plastic+high
brightness spotlight lens
Essas luzes são comumente usadas por veículos de emergência, como carros de polícia, ambulâncias, caminhões de bombeiros, bem como por veículos de manutenção e serviços de reboque, para alertar outros motoristas sobre uma situação de emergência, acidente ou manutenção na estrada.
#SegurançaVeicular #Emergência #Sinalização #LuzEstroboscópica #VeículosDeEmergência #SegurançaRodoviária #ManutençãoVeicular #PrevençãoDeAcidentes #ServiçoDeEmergência #Visibilidade #LEDs #LuzDeEmergência #SegurançaPública #RespostaDeEmergência #VeículosDeServiço</t>
  </si>
  <si>
    <t>3847229367610772</t>
  </si>
  <si>
    <t>MLB4595900166</t>
  </si>
  <si>
    <t>U1164639747</t>
  </si>
  <si>
    <t>U0042</t>
  </si>
  <si>
    <t>Pzs Redondo Caminhão Lateral Led Indicador De Luz Vermelha</t>
  </si>
  <si>
    <t>Indicação de direção: Muitas vezes, essas luzes são instaladas nas laterais dos caminhões para indicar a direção que o veículo está tomando. Isso ajuda outros motoristas a entenderem as intenções do caminhão, especialmente em situações de ultrapassagem ou mudança de faixa.
Segurança: As luzes LED proporcionam uma iluminação brilhante e clara, o que aumenta a visibilidade do caminhão, principalmente em condições de pouca luz ou durante a noite. Isso ajuda a evitar acidentes, pois outros motoristas podem ver o caminhão com mais facilidade.
Estilo e estética: Além de sua funcionalidade prática, as luzes LED também podem adicionar um toque de estilo ao caminhão, tornando-o mais atraente visualmente.
Conformidade com regulamentos: Em muitos lugares, há regulamentos que exigem que os veículos tenham luzes indicadoras laterais para melhorar a segurança na estrada. Portanto, instalar essas luzes pode ajudar os caminhões a cumprir esses requisitos legais.
#SegurançaRodoviária #Caminhão #SinalizaçãoLED #Visibilidade #IndicadorLateral #AcessóriosParaCaminhões #IluminaçãoVeicular #ConformidadeRegulamentar #EstiloAutomotivo #EstradaSegura</t>
  </si>
  <si>
    <t>5396294804609339</t>
  </si>
  <si>
    <t>MLB4595951776</t>
  </si>
  <si>
    <t>U1164576767</t>
  </si>
  <si>
    <t>U0027</t>
  </si>
  <si>
    <t>Pzs Redondo Caminhão Lateral Led Indicador De Luz Ambar</t>
  </si>
  <si>
    <t>3869713325785908</t>
  </si>
  <si>
    <t>MLB4595961336</t>
  </si>
  <si>
    <t>U608375707</t>
  </si>
  <si>
    <t>U0038</t>
  </si>
  <si>
    <t>Luz Traseira De Reboque Led Redondo Vermelha 10 Cm, 7 Led</t>
  </si>
  <si>
    <t>S/n Preto Vermelha</t>
  </si>
  <si>
    <t>Luz de reboque redonda impermeável de 12,7 cm de diâmetro, 7 LEDs serve a 3 funções como luz de parada, luz de seta e luz traseira; montagem embutida com ilhós e tranças; aceita plugue padrão de 3 pinos; compatível com sistemas CC de 12 V; aprox. Anel de argola de 12,7 cm de diâmetro e diâmetro interno de 10 cm e espessura de 3,5 cm; lente vermelha com 7 diodos de LED; luminária IP65 à prova d'água e suporta efetivamente a invasão e corrosão de areia, poeira, sujeira, chuva, neve etc. ; Fácil instalação: branco é o chão, vermelho é o alto brilho para luz de parada/luz de seta/luzes de freio e preto para baixo brilho como luz traseira/luz de corrida; Estas luzes são resistentes a impactos e menos suscetíveis a danos por choque. Cada luz LED é selada à prova d'água. Estes LEDs consomem menos corrente, geram menos calor e são mais brilhantes e leves mais rápido do que uma lâmpada incandescente; 12 volts de entrada; compatível com quase todos os automóveis e dispositivos equipados com uma fonte de alimentação CC de 8-16 volts como semi caminhão, semirreboque, caminhão de serviço, ônibus, caminhão de serviço, caminhão utilitário, reboque utilitário, reboque de barco, boia de desfile, reboque de cavalo, reboque utilitário. er, Caminhão de recolha, UTE, UTV Peterbilt, freightliner, internacional, Kenworth, Mack, caminhão, etc.</t>
  </si>
  <si>
    <t>5585944241681871</t>
  </si>
  <si>
    <t>MLB4660938963</t>
  </si>
  <si>
    <t>U3952836580</t>
  </si>
  <si>
    <t>MLB4660938965</t>
  </si>
  <si>
    <t>U3952837272</t>
  </si>
  <si>
    <t>MLB4662133551</t>
  </si>
  <si>
    <t>U3954697400</t>
  </si>
  <si>
    <t>MLB4662133651</t>
  </si>
  <si>
    <t>U3954701974</t>
  </si>
  <si>
    <t>MLB4662133653</t>
  </si>
  <si>
    <t>U3954700994</t>
  </si>
  <si>
    <t>MLB4662133655</t>
  </si>
  <si>
    <t>U3954697536</t>
  </si>
  <si>
    <t>MLB4662133659</t>
  </si>
  <si>
    <t>U3954701966</t>
  </si>
  <si>
    <t>MLB4662133661</t>
  </si>
  <si>
    <t>U3954700986</t>
  </si>
  <si>
    <t>MLB4662133663</t>
  </si>
  <si>
    <t>U3954699166</t>
  </si>
  <si>
    <t>MLB4662133665</t>
  </si>
  <si>
    <t>U3954700992</t>
  </si>
  <si>
    <t>MLB4662133667</t>
  </si>
  <si>
    <t>U3954697542</t>
  </si>
  <si>
    <t>MLB4662133669</t>
  </si>
  <si>
    <t>U3954701002</t>
  </si>
  <si>
    <t>MLB4662133671</t>
  </si>
  <si>
    <t>U3954701004</t>
  </si>
  <si>
    <t>MLB4662133673</t>
  </si>
  <si>
    <t>U3954702870</t>
  </si>
  <si>
    <t>560316484862484</t>
  </si>
  <si>
    <t>MLB4662228959</t>
  </si>
  <si>
    <t>U3954823720</t>
  </si>
  <si>
    <t>MLB4662228961</t>
  </si>
  <si>
    <t>U3954823722</t>
  </si>
  <si>
    <t>765094233848912</t>
  </si>
  <si>
    <t>MLB4662907707</t>
  </si>
  <si>
    <t>U3955630828</t>
  </si>
  <si>
    <t>MLB4662907709</t>
  </si>
  <si>
    <t>U3955628866</t>
  </si>
  <si>
    <t>MLB4662907711</t>
  </si>
  <si>
    <t>U3943770859</t>
  </si>
  <si>
    <t>2608277640805841</t>
  </si>
  <si>
    <t>MLB4663044901</t>
  </si>
  <si>
    <t>U3943939895</t>
  </si>
  <si>
    <t>MLB4663044903</t>
  </si>
  <si>
    <t>U3955797632</t>
  </si>
  <si>
    <t>MLB4663044905</t>
  </si>
  <si>
    <t>U3955797638</t>
  </si>
  <si>
    <t>MLB4663044907</t>
  </si>
  <si>
    <t>U3955797636</t>
  </si>
  <si>
    <t>8510951405970912</t>
  </si>
  <si>
    <t>MLB4887574724</t>
  </si>
  <si>
    <t>U612559654</t>
  </si>
  <si>
    <t>001 180</t>
  </si>
  <si>
    <t>Central Aquecimento Para Aves, Frangos, Galpão Aviario 180mi</t>
  </si>
  <si>
    <t>A CAD-180 apresenta trocador de calor composto por três módulos de tubos, perfazendo mais de 27m2 de área específica de troca térmica. Com isso, o sistema se torna altamente eficiente no aproveitamento do calor gerado pela queima do combustível utilizado.
Utiliza um sistema de ar forçado radial de alta vazão, suprindo totalmente a necessidade de renovação de ar do pinteiro enquanto estiver em operação. Ao atingir a temperatura desejada, habilita automaticamente o sistema de ventilação mínima.
O controle de combustão permite que o fluxo de oxigênio mantenha-se distribuído no centro do queimador e por toda a superfície da grelha.
Contém sensor capacitivo que aciona automaticamente o moto-vibrador, forçando a descida do cavaco quando formar espaços vazios na base da moega. Possui sistema inteligente de desobstrução do helicoide em caso de cavaco fora de padrão.
A moega tem capacidade de 1,6m3 com possibilidade de ampliação, através do coroamento da borda superior, até 3m³.
Além de cavaco e pellet, permite a utilização de outros combustíveis, como lenha, biogás, diesel e gás GLP.
Sistema de reposição mínima de cavaco ou pellet temporizado, que impede que o fogo apague durante períodos em que o sistema de aquecimento permanecer desligado por várias horas (Ex. durante a tarde).
Equipamento para #aviário , #galpão de aviário, # equipamento para granjas , #avícola, #frangos, #criação de frangos, #frigorifico</t>
  </si>
  <si>
    <t>5296500247461296</t>
  </si>
  <si>
    <t>MLB4902867372</t>
  </si>
  <si>
    <t>U610047073</t>
  </si>
  <si>
    <t>LEG004</t>
  </si>
  <si>
    <t>Central de Aquecimento Compacta com Alimentador
Automático - CAC 30.000 - Motor 3CV - Cavaco, pellet, chip, briquete
Praticidade
A taxa de combustão é controlada automaticamente possibilitando uma economia de até 80% da lenha, quando comparada com as campânulas tradicionais. O manejo é prático e fácil, pois o abastecimento do equipamento é centralizado em um único local e fora da instalação principal, eliminando o transporte de lenha para o seu interior. Além disso, criamos um cinzeiro de remoção dos resíduos produzidos pelo equipamento (cinzas), aumentamos também, a área interna da máquina para colocação de lenha.
Durabilidade
Neste modelo a câmara de combustão é envolvida por uma corrente de ar que está sempre em movimento, ou seja, quando a máquina estiver ligada este ar é sugado para dentro do aviário e quando estiver desligada, este ar é movimentado por diferença de temperatura, refrigerando naturalmente a máquina. Esse processo aumenta significativamente a vida útil do equipamento.
Tecnologia da automação
Criamos alternativas inovadoras para o monitoramento de mais de um galpão de aves ou suínos ao mesmo tempo. Lançamos um painel de controle totalmente gerenciável pelo computador, em que podemos monitorar todos os galpões interligados, sendo possível alterar programações e acompanhar todo o histórico de aquecimento desde a entrada do lote até o final do aquecimento. Os dados são armazenados em um banco com a criação de gráficos explicativos.
Após testes efetuados na CAC chegamos à conclusão de que sua vazão atinge até 40% a mais do que os produtos disponíveis no mercado, com uma velocidade de fluxo de 95 a 100 km/h e mantendo a temperatura de fluxo entre 65 a 75º C.
Eficiência
O Sistema de aquecimento central da TERMOAVES capta 100% do ar externo (fora das instalações) e ao ser aquecido não entra em contato com os gases resultantes do processo de combustão, mantendo a taxa normal de oxigênio e por diluição reduz a concentração de amônia no interior do ambiente, pois o ar é constantemente renovado seguindo as normas para ventilação mínima.
Em função da qualidade do ambiente ser uniforme em todos os pontos da instalação, proporciona ambiente com qualidade de ar-condicionado, otimizando a distribuição dos animais.
Sistema de difusor de ar
Como nos demais modelos produzidos a CAC conta com o sistema de distribuição de ar via difusor, reduzindo custo de tubulação interna nas instalações, melhorando a circulação de ar no ambiente em aquecimento.
A distribuição do ar é feita através de um sistema de alhetas que movimenta o ar ambiente, conforme mostram as setas na figura ao lado. Este processo mantém a temperatura uniforme em todos os pontos do pinteiro. No momento de ampliar o pinteiro, basta redirecionar as alhetas para os cantos opostos ao difusor.
Obs: o difusor só funciona em máquina com alta vazão e velocidade adequada do ar.</t>
  </si>
  <si>
    <t>4857974324126938</t>
  </si>
  <si>
    <t>MLB4903023930</t>
  </si>
  <si>
    <t>U612571052</t>
  </si>
  <si>
    <t>LEG007</t>
  </si>
  <si>
    <t>Queimador Moedor Batedor Triturador De Cama Aviário 13cv</t>
  </si>
  <si>
    <t>Cambio Cvt</t>
  </si>
  <si>
    <t>Removedor e Triturador de Cama para Aviário - 13CV Pró Simples
Finalidade
Este equipamento foi desenvolvido para desempenhar três funções primordiais:
- A PRIMEIRA é mexer a cama do aviário, triturando os torrões que se formam no decorrer do alojamento, evitando assim os calos de peito e calos de pé nos frangos.
- A SEGUNDA função é queimar a pena ao final do alojamento, com o sistema de queima anexado atrás do removedor de cama, o avicultor trabalha queimando a pena do aviário sem contato com o excesso de calor gerado pelo queimador, com redução de tempo de manejo e sem esforço físico.
- A TERCEIRA é espalhar cal virgem no preparo da cama para o próximo alojamento, reduzindo a umidade e desinfetando-a. Fácil de utilizar, o espalhador de cal vai acoplado ao removedor, possibilitando segurança ao produtor, uniformizando a aplicação e sem levantar pó.
Agilidade
A agilidade do equipamento se dá pela largura de corte de 1,10m que foi dimensionada conforme a distância média entre linhas de niple e comedor automático, comparando-o com outros equipamentos podemos agilizar em até 300% o tempo desse manejo.
O sistema de tração do removedor é hidráulico com velocidade variável e progressiva, proporcionando ao cliente comandar a velocidade de deslocamento do equipamento facilitando na trituração da cama do aviário. Além disso o operador fica posicionado sobre o equipamento conduzido com muito conforto sua operacionalização.
Eficiência
Pensando no baixo nível de refugo de peitos e pés criamos um equipamento que possa bater a cama durante o alojamento (com frangos dentro), pois o formato triangular frontal com saia de borracha, vai abrindo caminho evitando o atropelamento dos frangos e reduzindo o nível de poeira no ambiente.</t>
  </si>
  <si>
    <t>5994022275293746</t>
  </si>
  <si>
    <t>MLB4903068598</t>
  </si>
  <si>
    <t>U610057455</t>
  </si>
  <si>
    <t>LEG013</t>
  </si>
  <si>
    <t>Processador De Carcaças De Aves E Suínos</t>
  </si>
  <si>
    <t>Desidratador de Carcaças de Aves e Suínos - Lenha e pellet
Eficiência na Desidratação
Exclusivo sistema de secagem com fluxo de ar quente que atravessa o tambor rotativo, tornando o processo de desidratação 300% mais eficiente, reduzindo o consumo de energia no processo.
Controle Eletrônico da Temperatura de Secagem
Todo o ciclo de desidratação  é controlado por um processador eletrônico, que monitora a temperatura ideal para o pré-cozimento, cozimento e secagem, melhorando significativamente a qualidade da farinha de carne produzida.
Sistema Automatizado
Todo o processo é automatizado, bastando o operador abastecer a máquina, acender o queimador e apertar o botão de partida, que o processo todo acontece de forma autônoma, desligando-se ao final do ciclo, inclusive apagando o fogo.
Qualidade no Processo
Mantém a palatabilidade e as características nutricionais da farinha de carne, pois neste processo não ocorre queima ou secagem excessiva do material, proporcionando boa aceitação da ração produzida.
Total Eliminação de Agentes Patogênicos
Como a temperatura no processo de pré-cozimento, cozimento e secagem, atingem até 250°C, não há agente patogênico que sobreviva a esta temperatura.
Baixo Custo Operacional
Tendo em vista que o combustível utilizado como fonte de calor é cavaco de madeira, lenha ou biogás, e, para movimentação é utilizado um moto redutor banhado a óleo com apenas 1,5CV, o custo operacional é baixíssimo.
Relação Custo x Benefício
Esta relação é extremamente viável, pois o sistema vai gerar uma receita a partir de um material que seria descartado. com isso a máquina se paga rapidamente.
Capacidade máxima de até 350 kg.</t>
  </si>
  <si>
    <t>8329359191276306</t>
  </si>
  <si>
    <t>MLB4903072660</t>
  </si>
  <si>
    <t>U610052727</t>
  </si>
  <si>
    <t>LEG009</t>
  </si>
  <si>
    <t>Triturador De Cama Para Aviário 13cv Com Queimador De Pena</t>
  </si>
  <si>
    <t>Removedor e Triturador de Cama para Aviário - 13CV Pró Simples com queimador de pena
Finalidade
Este equipamento foi desenvolvido para desempenhar três funções primordiais:
- A PRIMEIRA é mexer a cama do aviário, triturando os torrões que se formam no decorrer do alojamento, evitando assim os calos de peito e calos de pé nos frangos.
- A SEGUNDA função é queimar a pena ao final do alojamento, com o sistema de queima anexado atrás do removedor de cama, o avicultor trabalha queimando a pena do aviário sem contato com o excesso de calor gerado pelo queimador, com redução de tempo de manejo e sem esforço físico.
- A TERCEIRA é espalhar cal virgem no preparo da cama para o próximo alojamento, reduzindo a umidade e desinfetando-a. Fácil de utilizar, o espalhador de cal vai acoplado ao removedor, possibilitando segurança ao produtor, uniformizando a aplicação e sem levantar pó.
Agilidade
A agilidade do equipamento se dá pela largura de corte de 1,10m que foi dimensionada conforme a distância média entre linhas de niple e comedor automático, comparando-o com outros equipamentos podemos agilizar em até 300% o tempo desse manejo.
O sistema de tração do removedor é hidráulico com velocidade variável e progressiva, proporcionando ao cliente comandar a velocidade de deslocamento do equipamento facilitando na trituração da cama do aviário. Além disso o operador fica posicionado sobre o equipamento conduzido com muito conforto sua operacionalização.
Eficiência
Pensando no baixo nível de refugo de peitos e pés criamos um equipamento que possa bater a cama durante o alojamento (com frangos dentro), pois o formato triangular frontal com saia de borracha, vai abrindo caminho evitando o atropelamento dos frangos e reduzindo o nível de poeira no ambiente.</t>
  </si>
  <si>
    <t>MLB4903080862</t>
  </si>
  <si>
    <t>U612525190</t>
  </si>
  <si>
    <t>LEG012</t>
  </si>
  <si>
    <t>Desidratador de Carcaças de Aves e Suínos - Lenha, cavaco, pellet, chip, briquete
Eficiência na Desidratação
Exclusivo sistema de secagem com fluxo de ar quente que atravessa o tambor rotativo, tornando o processo de desidratação 300% mais eficiente, reduzindo o consumo de energia no processo.
Controle Eletrônico da Temperatura de Secagem
Todo o ciclo de desidratação  é controlado por um processador eletrônico, que monitora a temperatura ideal para o pré-cozimento, cozimento e secagem, melhorando significativamente a qualidade da farinha de carne produzida.
Sistema Automatizado
Todo o processo é automatizado, bastando o operador abastecer a máquina, acender o queimador e apertar o botão de partida, que o processo todo acontece de forma autônoma, desligando-se ao final do ciclo, inclusive apagando o fogo.
Qualidade no Processo
Mantém a palatabilidade e as características nutricionais da farinha de carne, pois neste processo não ocorre queima ou secagem excessiva do material, proporcionando boa aceitação da ração produzida.
Total Eliminação de Agentes Patogênicos
Como a temperatura no processo de pré-cozimento, cozimento e secagem, atingem até 250°C, não há agente patogênico que sobreviva a esta temperatura.
Baixo Custo Operacional
Tendo em vista que o combustível utilizado como fonte de calor é cavaco de madeira, lenha ou biogás, e, para movimentação é utilizado um moto redutor banhado a óleo com apenas 1,5CV, o custo operacional é baixíssimo.
Relação Custo x Benefício
Esta relação é extremamente viável, pois o sistema vai gerar uma receita a partir de um material que seria descartado. com isso a máquina se paga rapidamente.
Capacidade máxima de até 350 kg.</t>
  </si>
  <si>
    <t>4221711076913290</t>
  </si>
  <si>
    <t>MLB4903226038</t>
  </si>
  <si>
    <t>U610048885</t>
  </si>
  <si>
    <t>LEG010</t>
  </si>
  <si>
    <t>Triturador De Cama Para Aviário 13cv Pró Completo</t>
  </si>
  <si>
    <t>Removedor e Triturador de Cama para Aviário - 13CV Pró Completo com espalhado de cal e queimador de pena
Finalidade
Este equipamento foi desenvolvido para desempenhar três funções primordiais:
- A PRIMEIRA é mexer a cama do aviário, triturando os torrões que se formam no decorrer do alojamento, evitando assim os calos de peito e calos de pé nos frangos.
- A SEGUNDA função é queimar a pena ao final do alojamento, com o sistema de queima anexado atrás do removedor de cama, o avicultor trabalha queimando a pena do aviário sem contato com o excesso de calor gerado pelo queimador, com redução de tempo de manejo e sem esforço físico.
- A TERCEIRA é espalhar cal virgem no preparo da cama para o próximo alojamento, reduzindo a umidade e desinfetando-a. Fácil de utilizar, o espalhador de cal vai acoplado ao removedor, possibilitando segurança ao produtor, uniformizando a aplicação e sem levantar pó.
Agilidade
A agilidade do equipamento se dá pela largura de corte de 1,10m que foi dimensionada conforme a distância média entre linhas de niple e comedor automático, comparando-o com outros equipamentos podemos agilizar em até 300% o tempo desse manejo.
O sistema de tração do removedor é hidráulico com velocidade variável e progressiva, proporcionando ao cliente comandar a velocidade de deslocamento do equipamento facilitando na trituração da cama do aviário. Além disso o operador fica posicionado sobre o equipamento conduzido com muito conforto sua operacionalização.
Eficiência
Pensando no baixo nível de refugo de peitos e pés criamos um equipamento que possa bater a cama durante o alojamento (com frangos dentro), pois o formato triangular frontal com saia de borracha, vai abrindo caminho evitando o atropelamento dos frangos e reduzindo o nível de poeira no ambiente.</t>
  </si>
  <si>
    <t>MLB4903234290</t>
  </si>
  <si>
    <t>U612523730</t>
  </si>
  <si>
    <t>LEG014</t>
  </si>
  <si>
    <t>Desidratador de Carcaças de Aves e Suínos - Somente lenha
Eficiência na Desidratação
Exclusivo sistema de secagem com fluxo de ar quente que atravessa o tambor rotativo, tornando o processo de desidratação 300% mais eficiente, reduzindo o consumo de energia no processo.
Controle Eletrônico da Temperatura de Secagem
Todo o ciclo de desidratação  é controlado por um processador eletrônico, que monitora a temperatura ideal para o pré-cozimento, cozimento e secagem, melhorando significativamente a qualidade da farinha de carne produzida.
Sistema Automatizado
Todo o processo é automatizado, bastando o operador abastecer a máquina, acender o queimador e apertar o botão de partida, que o processo todo acontece de forma autônoma, desligando-se ao final do ciclo, inclusive apagando o fogo.
Qualidade no Processo
Mantém a palatabilidade e as características nutricionais da farinha de carne, pois neste processo não ocorre queima ou secagem excessiva do material, proporcionando boa aceitação da ração produzida.
Total Eliminação de Agentes Patogênicos
Como a temperatura no processo de pré-cozimento, cozimento e secagem, atingem até 250°C, não há agente patogênico que sobreviva a esta temperatura.
Baixo Custo Operacional
Tendo em vista que o combustível utilizado como fonte de calor é cavaco de madeira, lenha ou biogás, e, para movimentação é utilizado um moto redutor banhado a óleo com apenas 1,5CV, o custo operacional é baixíssimo.
Relação Custo x Benefício
Esta relação é extremamente viável, pois o sistema vai gerar uma receita a partir de um material que seria descartado. com isso a máquina se paga rapidamente.
Capacidade máxima de até 350 kg.</t>
  </si>
  <si>
    <t>1179052272494067</t>
  </si>
  <si>
    <t>MLB4903254286</t>
  </si>
  <si>
    <t>U610049107</t>
  </si>
  <si>
    <t>LEG011</t>
  </si>
  <si>
    <t>Rebobinadora De Lona Para Aviário</t>
  </si>
  <si>
    <t>Rebobinadora de Lona para Aviário
EFICIÊNCIA NA FERMENTAÇÃO DA LONA
A REBOBINADORA proporciona a distribuição da lona sobre a cama, mantendo-a bem estendida, evitando as ondas na faixa de sobreposição e consequentemente o vazamento da AMÔNIA. Lembrando que quanto maior a concentração de amônia na cama quando coberta pela lona, maior será o processo de fermentação e desinfecção.
CONSERVAÇÃO DA LONA
A REBOBINADORA possui um sistema de limpeza para os dois lados da lona, retirando já no momento da rebobinagem os excessos de cama que ficam grudados na mesma quando termina o processo de fermentação. Com sistema de carretéis para enrolar as lonas facilita muito o transporte e o armazenamento, podendo inclusive empilhá-las ocupando menos espaço no acondicionamento das mesmas.
RAPIDEZ NA INSTALAÇÃO
O tempo necessário para a instalação ou retirada da lona em um aviário de 150m x 16m, utilizando a REBOBINADORA, é de aproximadamente 30 minutos. Isso ocorre devido ao sistema possuir transmissão hidrostática variável através de comando hidráulico (com detenção e reversão no sentido de rotação) e velocidade progressiva de acordo com a necessidade do operador (respeitando a velocidade média do sistema). 
MANEJO E UMIDADE
Quanto mais rápido a lona for instalada sobre a cama após o carregamento das aves, menor será a necessidade de reposição de água para que a fermentação ocorra. Pois o processo de fermentação e desinfecção está diretamente relacionado ao teor de umidade e ao alto nível de amônia concentrada em baixo da lona.</t>
  </si>
  <si>
    <t>8244214162607052</t>
  </si>
  <si>
    <t>MLB4940305664</t>
  </si>
  <si>
    <t>U610016929</t>
  </si>
  <si>
    <t>LEG016</t>
  </si>
  <si>
    <t>Desidrator De Aves E Suínos 300kg - Incluso Painel</t>
  </si>
  <si>
    <t>O DESIDRATADOR de Aves e Suínos, é utilizado para redução do volume dos animais mortos através da perda de água e inativação dos patógenos através do tratamento térmico. A sua utilização minimiza ou elimina os riscos biológicos, ambientais e sanitários.
Seu funcionamento é através de cilindro rotativo, onde as carcaças são depositadas e desidratadas com a ajuda do calor, que vem da queima de biomassa. Geralmente, o tempo de duração para a desidratação é entre 4 e 5 horas.
Características:
Capacidade máxima de carga – 300 kg 
Tambor: Motorredutor de 0,5CV (Livre de manutenções) 
Ventilador foguista: 1/3 CV 
Apoio do tambor rotativo: rolamentos lubrificados com graxa 
Dimensões Somente a lenha (C X L X A): 2,19m x 1,40m x 2,27m 
Dimensões Híbrido (lenha e pellet) (C X L X A): 2,19m x 2,15m x 2,27m</t>
  </si>
  <si>
    <t>8025740734161355</t>
  </si>
  <si>
    <t>MLB4940309408</t>
  </si>
  <si>
    <t>U610052599</t>
  </si>
  <si>
    <t>Desidrator De Aves E Suínos 300kg Automat. - Incluso Painel</t>
  </si>
  <si>
    <t>122713380613542</t>
  </si>
  <si>
    <t>MLB4940362318</t>
  </si>
  <si>
    <t>U612560778</t>
  </si>
  <si>
    <t>LEG018</t>
  </si>
  <si>
    <t>Desidrator De Aves E Suínos 1000kg - Incluso Painel</t>
  </si>
  <si>
    <t>O DESIDRATADOR de Aves e Suínos, é utilizado para redução do volume dos animais mortos através da perda de água e inativação dos patógenos através do tratamento térmico. A sua utilização minimiza ou elimina os riscos biológicos, ambientais e sanitários.
Seu funcionamento é através de cilindro rotativo, onde as carcaças são depositadas e desidratadas com a ajuda do calor, que vem da queima de biomassa. Geralmente, o tempo de duração para a desidratação é entre 4 e 5 horas.
Características:
Tambor: Motorredutor de 0,5CV (Livre de manutenções) 
Ventilador foguista: 1/3 CV 
Apoio do tambor rotativo: rolamentos lubrificados com graxa 
Dimensões Somente a lenha (C X L X A): 2,19m x 1,40m x 2,27m 
Dimensões Híbrido (lenha e pellet) (C X L X A): 2,19m x 2,15m x 2,27m</t>
  </si>
  <si>
    <t>122272036755689</t>
  </si>
  <si>
    <t>MLB4940414662</t>
  </si>
  <si>
    <t>U610054251</t>
  </si>
  <si>
    <t>LEG019</t>
  </si>
  <si>
    <t>Desidrator De Aves E Suínos 1000kg Automat. - Incluso Painel</t>
  </si>
  <si>
    <t>3618721943991351</t>
  </si>
  <si>
    <t>MLB4940618314</t>
  </si>
  <si>
    <t>U610054421</t>
  </si>
  <si>
    <t>LEG032</t>
  </si>
  <si>
    <t>Aquecedor Com Alimentação Automática - Modelo Chão - Mz 1200</t>
  </si>
  <si>
    <t>Aquecedor com alimentação Automática - Incluso painel de controle - Modelo de chão - Cj 40 canos - MZ 1200 - briquete, pellet, chip, cavaco, lenha - 1 exaustor 4cv - 7.200m³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</si>
  <si>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4792620477799942</t>
  </si>
  <si>
    <t>MLB4940626586</t>
  </si>
  <si>
    <t>U610048623</t>
  </si>
  <si>
    <t>LEG030</t>
  </si>
  <si>
    <t>Aquecedor Com Alimentação Automática - Mz 2600</t>
  </si>
  <si>
    <t>Aquecedor com alimentação Automática - Incluso painel de controle - Tradicional - Cj 40 MZ 2600 - briquete, pellet, chip, cavaco, lenha  - 2 exaustores 4cv - 14.100m³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</si>
  <si>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5685074119270529</t>
  </si>
  <si>
    <t>MLB4940631886</t>
  </si>
  <si>
    <t>U610054275</t>
  </si>
  <si>
    <t>LEG035</t>
  </si>
  <si>
    <t>Aquecedor Com Alimentação Automática - Modelo Chão - Mz 2600</t>
  </si>
  <si>
    <t>Aquecedor com alimentação Automática - Incluso painel de controle - Modelo de chão - Cj 40 canos - MZ 2600 - briquete, pellet, chip, cavaco, lenha - 1 exaustor 4cv - 12.100m³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</si>
  <si>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8822851681220350</t>
  </si>
  <si>
    <t>MLB4940632740</t>
  </si>
  <si>
    <t>U609959945</t>
  </si>
  <si>
    <t>LEG036</t>
  </si>
  <si>
    <t>Aquecedor Com Alimentação Automática - Modelo Chão - Mz 4000</t>
  </si>
  <si>
    <t>Aquecedor com alimentação Automática - Incluso painel de controle - Modelo de chão - Cj 40 canos - MZ 4000 - briquete, pellet, chip, cavaco, lenha - 1 exaustor 4cv - 15.900m³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</si>
  <si>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7950641988675014</t>
  </si>
  <si>
    <t>MLB4940649854</t>
  </si>
  <si>
    <t>U612568836</t>
  </si>
  <si>
    <t>LEG021</t>
  </si>
  <si>
    <t>Triturador De Cama Tratorizado 1,5m</t>
  </si>
  <si>
    <t>Triturador de Cama Tratorizado 1,5m - Robustez e grande quantidade de lâminas alternadas
Nossa parceria com produtores avícolas, engenheiros, metalúrgicos e fornecedores resultou em alta tecnologia para a manutenção de cama de aviário.
O grande diferencial dos Trituradores de Cama da Metalzan está na robustez e na grande quantidade de lâminas alternadas, proporcionando uma cama super triturada e uniforme.
Nossos trituradores oferecem alta eficiência, facilidade de manuseio e baixa manutenção, resultando em mais qualidade de vida para o avicultor e em produtividade e lucro em seus lotes. 
Sua tecnologia garante cama super triturada, uniforme e bem nivelada;
Eficiente mesmo em camas mais compactas;
Equipamento com baixa manutenção;
Dimensão (C x L x A): 0,90 x 1,70 x 0,50 - 1,50;
Largura de corte: 1,20m e 1,50m;
Potência mínima do trator: 30cv;
Força (RPM): 540;
Corrente dupla garantido mais robustez;
Grande quantidade de lâminas</t>
  </si>
  <si>
    <t>820499007636537</t>
  </si>
  <si>
    <t>MLB4940693358</t>
  </si>
  <si>
    <t>U610012857</t>
  </si>
  <si>
    <t>LEG033</t>
  </si>
  <si>
    <t>Aquecedor Com Alimentação Automática - Modelo Chão - Mz 1600</t>
  </si>
  <si>
    <t>Aquecedor com alimentação Automática - Incluso painel de controle - Modelo de chão - Cj 40 canos - MZ 1600 - briquete, pellet, chip, cavaco, lenha - 1 exaustor 4cv - 9.200m³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</si>
  <si>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2381435758735044</t>
  </si>
  <si>
    <t>MLB4940712746</t>
  </si>
  <si>
    <t>U612561394</t>
  </si>
  <si>
    <t>Triturador De Cama Tratorizado 1,2m</t>
  </si>
  <si>
    <t>Triturador de Cama Tratorizado 1,2m - Robustez e grande quantidade de lâminas alternadas
Nossa parceria com produtores avícolas, engenheiros, metalúrgicos e fornecedores resultou em alta tecnologia para a manutenção de cama de aviário.
O grande diferencial dos Trituradores de Cama da Metalzan está na robustez e na grande quantidade de lâminas alternadas, proporcionando uma cama super triturada e uniforme.
Nossos trituradores oferecem alta eficiência, facilidade de manuseio e baixa manutenção, resultando em mais qualidade de vida para o avicultor e em produtividade e lucro em seus lotes. 
Sua tecnologia garante cama super triturada, uniforme e bem nivelada;
Eficiente mesmo em camas mais compactas;
Equipamento com baixa manutenção;
Dimensão (C x L x A): 0,90 x 1,40 x 0,50 - 1,20;
Largura de corte: 1,20m e 1,50m;
Potência mínima do trator: 30cv;
Força (RPM): 540;
Corrente dupla garantido mais robustez;
Grande quantidade de lâminas</t>
  </si>
  <si>
    <t>5111924084682878</t>
  </si>
  <si>
    <t>MLB4940720482</t>
  </si>
  <si>
    <t>U610012927</t>
  </si>
  <si>
    <t>LEG034</t>
  </si>
  <si>
    <t>Aquecedor Com Alimentação Automática - Modelo Chão - Mz 2000</t>
  </si>
  <si>
    <t>Aquecedor com alimentação Automática - Incluso painel de controle - Modelo de chão - Cj 40 canos - MZ 2000 - briquete, pellet, chip, cavaco, lenha - 1 exaustor 4cv - 12.100m³
Oferecemos tecnologia, resistência e eficiência em aquecedores para aviários e pocilgas.
Nossas linhas variam de acordo com sua necessidade e as exigências de seu galpão. Os equipamentos de alta tecnologia garantem manutenção de calor, melhor ambiência e ótima vida útil, o que resulta em produtividade e lucro.
O destaque dos nossos aquecedores da é que eles permitem a dosagem de lenhas, cavacos, pellets, chips ou briquetes. Você pode escolher a melhor matéria prima em cada momento e ter a tranquilidade de um aquecedor eficiente que garante autonomia de até 10 horas sem abastecimento no inverno.</t>
  </si>
  <si>
    <t>8322742597020023</t>
  </si>
  <si>
    <t>MLB4944480840</t>
  </si>
  <si>
    <t>U612523776</t>
  </si>
  <si>
    <t>LEG023</t>
  </si>
  <si>
    <t>Triturador De Cama Motorizado 13hp Diesel</t>
  </si>
  <si>
    <t>Triturador de Cama Motorizado - 13HP Diesel - com espalhador de cal e queimador de penas - Único com eixo triturador de parada independente
Nossa parceria com produtores avícolas, engenheiros, metalúrgicos e fornecedores resultou em alta tecnologia para a manutenção de cama de aviário.
O grande diferencial dos Trituradores de Cama está na robustez e na grande quantidade de lâminas alternadas, proporcionando uma cama super triturada e uniforme.
Nossos trituradores oferecem alta eficiência, facilidade de manuseio e baixa manutenção, resultando em mais qualidade de vida para o avicultor e em produtividade e lucro em seus lotes.
Permite que uma pessoa sozinha realize a manutenção da cama;
Motor diesel com partida elétrica 13 HP;
Alta rotação do cilindro triturador permitindo eficiência mesmo em camas muito compactadas;
Regulagem de altura do eixo triturador;
Motor hidráulico: 2 unidades;
Dimensão (C x L x A): 1,72 x 1,15 x 1,45;
Opcionais: queimador de pena e espalhador de cal;
Largura do corte: 1 metro</t>
  </si>
  <si>
    <t>1882846384520924</t>
  </si>
  <si>
    <t>MLB4944492220</t>
  </si>
  <si>
    <t>U612525298</t>
  </si>
  <si>
    <t>LEG022</t>
  </si>
  <si>
    <t>TRITURADOR DE CAMA DE AVIÁRIO MOTORIZADO - Único com eixo triturador de parada independente
Nossa parceria com produtores avícolas, engenheiros, metalúrgicos e fornecedores resultou em alta tecnologia para a manutenção de cama de aviário.
O grande diferencial dos Trituradores de Cama está na robustez e na grande quantidade de lâminas alternadas, proporcionando uma cama super triturada e uniforme.
Nossos trituradores oferecem alta eficiência, facilidade de manuseio e baixa manutenção, resultando em mais qualidade de vida para o avicultor e em produtividade e lucro em seus lotes.
Permite que uma pessoa sozinha realize a manutenção da cama;
Motor diesel com partida elétrica 13 HP;
Alta rotação do cilindro triturador permitindo eficiência mesmo em camas muito compactadas;
Regulagem de altura do eixo triturador;
Motor hidráulico: 2 unidades;
Dimensão (C x L x A): 1,72 x 1,15 x 1,45;
Opcionais: queimador de pena e espalhador de cal;
Largura do corte: 1 metro</t>
  </si>
  <si>
    <t>4777796198294031</t>
  </si>
  <si>
    <t>MLB4959676109</t>
  </si>
  <si>
    <t>U4461462031</t>
  </si>
  <si>
    <t>ASP-003</t>
  </si>
  <si>
    <t>Xiaomi Robot Vacuum S10</t>
  </si>
  <si>
    <t>Diga adeus à poeira e ao esforço com o Xiaomi Robot Vacuum S10!
O Xiaomi S10 é um robô aspirador de categoria superior, equipado com Tecnologia de Navegação a Laser (LDS). Diferente de modelos básicos que andam aleatoriamente, ele faz um escaneamento preciso de 360° da sua casa, cria mapas detalhados e planeja a rota de limpeza mais eficiente e inteligente, mesmo no escuro total.
Destaques do Produto:
•	Super Potência de Sucção (4000 Pa): Equipado com um motor potente que remove facilmente poeira profunda, pelos de animais de estimação e sujeiras pesadas de pisos frios, laminados e tapetes.
•	Mapeamento Inteligente com Múltiplas Áreas: Permite salvar mapas de diferentes andares, criar paredes virtuais, definir áreas proibidas onde o robô não deve entrar e escolher cômodos específicos para limpeza rápida pelo celular.
•	Rotas de Limpeza em "Z" e em "Y": Simula uma limpeza manual perfeita. A rota em "Y" realiza uma esfregação dupla para remover manchas mais difíceis com o pano (mop).
•	Tanque de Água Inteligente com Controle Eletrônico: Libera a quantidade exata de água sem encharcar o piso, protegendo superfícies delicadas como madeira e laminado.
•	Bateria de Longa Duração (2600 mAh): Garante até 130 minutos de autonomia no modo padrão para limpar grandes áreas sem interrupções.
•	
O que vem na caixa?
•	1x Robô Aspirador Xiaomi S10 (Branco)
•	1x Base de Carregamento Original
•	1x Cabo e Fonte de Alimentação (Bivolt)
•	1x Compartimento Inteligente 2 em 1 (Pó e Água)
•	1x Escova Principal Rotativa
•	2x Escovas Laterais
•	1x Suporte para Mop com Pano de Microfibra
•	1x Manual do Usuário</t>
  </si>
  <si>
    <t>Aspiradores robô</t>
  </si>
  <si>
    <t>899598782410472</t>
  </si>
  <si>
    <t>MLB4959844954</t>
  </si>
  <si>
    <t>U610667949</t>
  </si>
  <si>
    <t>LEG083</t>
  </si>
  <si>
    <t>Squeeze De Plástico 1,5l</t>
  </si>
  <si>
    <t>8519790097489361</t>
  </si>
  <si>
    <t>MLB4960149997</t>
  </si>
  <si>
    <t>U4462608921</t>
  </si>
  <si>
    <t>MOT-002</t>
  </si>
  <si>
    <t>Estator 6 Bobinas Km Power Biz 100 Pop 100 Shineray M-3088</t>
  </si>
  <si>
    <t>Estator Completo de 6 Bobinas KM Power – Código M-3088 KM
Restaure o sistema elétrico e de ignição da sua moto com um componente de alta qualidade e padrão original (OEM). Fabricado com enrolamento de cobre de alta pureza, oferece excelente durabilidade e geração de energia estável para carregar a bateria e manter os faróis funcionando perfeitamente.
Aplicação / Compatibilidade:
•	Honda C100 / Biz 100 (Modelos antigos)
•	Honda Pop 100
•	Ciclomotores 50cc / 100cc / 110cc (Shineray Phoenix, Jet, Traxx Star e similares que utilizem estator de 6 polos)
Detalhes do Produto:
•	Kit pronto para instalação, sem necessidade de adaptações no chicote.
•	Excelente isolamento térmico contra o calor do motor e óleo do cárter.
Conteúdo da Embalagem:
•	1x Estator de 6 Bobinas com Chicote e Bobina de Pulso integrados</t>
  </si>
  <si>
    <t>Estatores de alternador para veículos</t>
  </si>
  <si>
    <t>213350977815185</t>
  </si>
  <si>
    <t>MLB4960232191</t>
  </si>
  <si>
    <t>U4462823977</t>
  </si>
  <si>
    <t>MOT-004</t>
  </si>
  <si>
    <t>Lona Patins De Freio Traseiro Dianteiro Honda Xls 125 Km</t>
  </si>
  <si>
    <t>Garanta frenagens seguras e eficientes para sua moto com o Patins de Freio KM Power!
Substitua as lonas de freio gastas da sua motocicleta por um componente novo com qualidade de fábrica (padrão OEM). O jogo de patins de freio KM Power para a XLS 125 é fabricado com composto orgânico de alta fricção, livre de amianto, garantindo frenagens macias, sem ruídos excessivos e com excelente durabilidade para os cubos de roda.
Compatibilidade:
•	Honda XLS 125 (Todos os anos com sistema de freio a tambor)
Destaques do Produto:
•	Kit Completo: Já acompanha as 2 molas de retorno em aço carbono prontas para a instalação.
•	Segurança Reforçada: Material resistente a altas temperaturas, evitando a perda de eficiência em descidas ou uso severo.
•	Medidas Originais: Encaixe perfeito no espelho de freio, sem necessidade de lixar ou fazer adaptações.
Conteúdo da Embalagem:
•	2x Sapatas/Patins de Freio KM Power
•	2x Molas de Retorno
Ficha Técnica:
•	Marca: KM Power
•	Número de peça: XLS 125
•	Tipo de produto: Patins de freio (Lona)
•	Origem: Importado
•	Inclui molas: Sim</t>
  </si>
  <si>
    <t>4153174436586579</t>
  </si>
  <si>
    <t>MLB4963643189</t>
  </si>
  <si>
    <t>U4474967569</t>
  </si>
  <si>
    <t>MOT-003</t>
  </si>
  <si>
    <t>Kit Coroa E Pinhão Km Power City 125 428-36t-15t Aço 1045</t>
  </si>
  <si>
    <t>Aumente a durabilidade e o rendimento da sua moto com o kit de coroa e pinhão da KM Power. Produzido com materiais de alto padrão, este conjunto oferece excelente resistência ao desgaste do uso diário, garantindo segurança e suavidade na pilotagem.
Especificações Técnicas:
•Marca: KM Power
•Modelo: CITY125 (Código KV-1175 KM)
•Medidas e Dentes: Passo 428 - Coroa de 36 Dentes (36T) e Pinhão de 15 Dentes (15T)
•Material: Aço 1045 Temperado (Aço Especial)
Diferenciais do Produto:
•Construído em aço 1045 com tratamento térmico temperado para máxima vida útil.
•Peças sob medida que evitam o desgaste prematuro da corrente.
•Produto novo, lacrado na embalagem original de fábrica.</t>
  </si>
  <si>
    <t>Coroas de transmissão para veículos</t>
  </si>
  <si>
    <t>1416293401372498</t>
  </si>
  <si>
    <t>MLB4963951163</t>
  </si>
  <si>
    <t>U4500423500</t>
  </si>
  <si>
    <t>MOT-005</t>
  </si>
  <si>
    <t>Par De Espelhos Retrovisores Redondo Cromado</t>
  </si>
  <si>
    <t>Substitua os retrovisores da sua moto com total qualidade, segurança e estilo. Este par de espelhos segue o design clássico redondo (conhecido como modelo bolinha), trazendo hastes cromadas de alto brilho para valorizar o visual da sua motocicleta.
Especificações Técnicas:
•Código do Produto: ES-608X
•Formato do Espelho: Redondo (Bolinha)
•Acabamento da Haste: Metal cromado de alto brilho
•Lado: Par (Acompanha Lado Esquerdo e Lado Direito)
•Tipo de Rosca: Padrão Honda (M10 - Rosca Direita)
Compatibilidade Direta:
•Linha Honda CG 125 / 150 / 160 (Titan, Fan, Start, Cargo, Today, ML)
•Compatível também com outros modelos de motos com encaixe de rosca padrão Honda de 10mm.</t>
  </si>
  <si>
    <t>Espelhos retrovisores para bicicletas</t>
  </si>
  <si>
    <t>6685847749828562</t>
  </si>
  <si>
    <t>MLB4964214051</t>
  </si>
  <si>
    <t>U4476383019</t>
  </si>
  <si>
    <t>MOT-006</t>
  </si>
  <si>
    <t>Kit 10 Mola Pedal Freio Traseiro Cg 125 M-3002x</t>
  </si>
  <si>
    <t>Kit Atacado com 10 Unidades - Mola do Pedal de Freio Traseiro
Adquira o pacote fechado com 10 molas de retorno para o pedal de freio traseiro, ideal para lojistas, oficinas mecânicas ou para reposição em frotas. Produto fabricado sob rigorosos padrões de qualidade para garantir excelente tensão de tração e retorno suave do pedal.
Especificações Técnica:
•Código do Produto: M-3002X
•Descrição de Fábrica: Resorte Pedal Freno CG-125 (Mola do Pedal de Freio CG 125)
•Quantidade: Embalagem fechada com 10 peças
•Material: Aço reforçado com acabamento bicromatizado (dourado zincado) para alta proteção contra oxidação
Compatibilidade Direta:
•Honda CG 125 (Modelos Titan, Fan, Today, ML, Cargo) - Todos os anos
•Compatível também com adaptações em sistemas de freio a varão traseiro padrão Honda de baixa cilindrada.
Diferenciais:
•Fabricação precisa que mantém a pressão correta no pedal, evitando travamentos.
•Banho zincado dourado de alta durabilidade contra chuva e poeira do dia a dia.
•Embalagem original lacrada de fábrica</t>
  </si>
  <si>
    <t>Molas de pedais de partida para motos</t>
  </si>
  <si>
    <t>5988971854393167</t>
  </si>
  <si>
    <t>MLB4964458111</t>
  </si>
  <si>
    <t>U4476922613</t>
  </si>
  <si>
    <t>MOT-007</t>
  </si>
  <si>
    <t>Braço De Freio Traseiro Alumínio E-7094</t>
  </si>
  <si>
    <t>Braço de Freio Traseiro Esportivo Alumínio CNC - Ride It Forever
Dê um upgrade no visual e na precisão da sua moto com o braço de freio traseiro Ride It Forever. Produzido em alumínio usinado de alta resistência, ele substitui perfeitamente a peça original do sistema a tambor.
Especificações Técnicas:
•Marca: Ride It Forever (Design in USA)
•Código do Modelo: E-7094
•Material: Liga de Alumínio Usinado em CNC Billet
•Acabamento: Anodizado de alta durabilidade
•Sistema de Freio: Tambor / Varão Traseiro
•Acessórios: Acompanha porca borboleta para regulagem manual rápida sem chaves
Compatibilidade Direta:
•Honda CG 125 / 150 / 160 (Titan, Fan, Start, Cargo, Today)
•Honda CRF 230F / CRF 250F
•Honda XR 250 Tornado</t>
  </si>
  <si>
    <t>Varetas de freio para motos</t>
  </si>
  <si>
    <t>6317933245571381</t>
  </si>
  <si>
    <t>MLB5290418338</t>
  </si>
  <si>
    <t>U3022256496</t>
  </si>
  <si>
    <t>T001</t>
  </si>
  <si>
    <t>Toldo Retrátil Motorizado 3x2m Alumínio Retrátil Motor</t>
  </si>
  <si>
    <t>5172952405308485</t>
  </si>
  <si>
    <t>MLB5605537734</t>
  </si>
  <si>
    <t>U3374862412</t>
  </si>
  <si>
    <t>PIS004</t>
  </si>
  <si>
    <t>Pistola Gravidade S-990g Bico 1.5mm P/ Tin/vernizes</t>
  </si>
  <si>
    <t>PISTOLA DE PINTURA MOD S990-G 
Pensado em praticidade a pistola com seu design ergonômico, traz conforto e praticidade para o uso. Seu tipo GRAVIDADE traz economia para suas aplicações pois permite que você use todo produto presente na caneca, evitando desperdícios. 
- Para limpeza: Utilize um pincel para remover e um guardanapo ou papel toalha para secar ( Panos podem deixar "pelinhos" e impedir o funcionamento da pistola).
- O solvente para executar a limpeza pode ser o usado para diluir a tinta ou Etanol, espirre até o jato sair limpo.
Especificações: 
Tipo: Gravidade
Rosca: 1/4
Bico: 1,5mm
Pressão de trabalho: de 30 a 50 PSI.
Capacidade do Copo: 600ml
Acompanha:
- Caneca/ Copo 600ml 
- Pistola 1.5</t>
  </si>
  <si>
    <t>6087819906722800</t>
  </si>
  <si>
    <t>MLB5686862548</t>
  </si>
  <si>
    <t>U3410596651</t>
  </si>
  <si>
    <t>PIS005</t>
  </si>
  <si>
    <t>Pistola Para Pintura 4001s Bico 1.7mm Capacidade 1000cc</t>
  </si>
  <si>
    <t>A Pistola de Sucção 4001S possui:
- Corpo em Alumínio injetado.
- Boa ergonomia.
- Cromado de boa qualidade.
- Bicos e agulhas em Aço INOX.
- Equipada com depósito de 1.000 cc.
- Sistemas Alta Pressão (Convencionais): máxima transferência &gt; 40%.
- Baixo consumo de ar.
ESPECIFICAÇÕES TÉCNICAS
Modelo: 4001 S
Diâmetro do Bico: ø1.7mm
Bicos opcionais: ø2.0mm
Tipo de alimentação: Sucção
Pressão do Ar Comprimido
Pressão de Ar recomendada: 3.5~4.5bar
Pressão Máxima de Ar: 5bar
Capacidade do depósito: 1000cc
O manual de instrução vem incluso.</t>
  </si>
  <si>
    <t>MLB5691533416</t>
  </si>
  <si>
    <t>Pistola Modelo 90 Ar Direto 600ml</t>
  </si>
  <si>
    <t>&gt;&gt;&gt; Indicações de Uso &lt;&lt;&lt;
Ideal para pintura em geral com compressores portáteis. Pode ser utilizada em aplicações automotivas, industriais, artesanais, marcenaria, serralheria e mais.
Especificações Técnicas &lt;&lt;
Tipo: Pistola de Pintura por Pressão (Ar Direto)
Corpo: Nylon com fibra de vidro (alta resistência)
Caneca: Polietileno de alta densidade – tipo rosca
Capacidade da Caneca: 600ml
Diâmetro do Bico: 1,2 mm
Peso da Pistola: 500g
Pressão de Trabalho: 40 PSI (Lbs/pol²)
Consumo de Ar: 0,90 PCM a 40 PSI
Sistema de Pintura: Adaptável a compressores portáteis sem reservatório
Acompanha: Espalhador de leque e redondo</t>
  </si>
  <si>
    <t>6968260969127384</t>
  </si>
  <si>
    <t>MLB5997260878</t>
  </si>
  <si>
    <t>U3645138403</t>
  </si>
  <si>
    <t>FIT-001</t>
  </si>
  <si>
    <t>Kit 5 Fitas De Vídeo Sony Digital Video Cassette</t>
  </si>
  <si>
    <t>KIT 5 fitas mini dv 60min digital video cassete dvc sony
FITA DE VIDEO CASSETE SONY ORIGINAL, JAPONESA IMPORTADA DA MELHOR QUALIDADE, 60MIN (LP 90MIN) EMBALADAS NOVAS
O VALOR É POR KIT / quantidade de fitas fechadas</t>
  </si>
  <si>
    <t>MLB6164616300</t>
  </si>
  <si>
    <t>Umidificador E Abajur Lua 3d Branco 3 Cores Leds Silencioso</t>
  </si>
  <si>
    <t>LUA UMIDIFICADOR DE AR E LUMINÁRIA EM 3 TONALIDADES COM SUPORTE DE MADEIRA.
Lua feita com tecnologia de impressão 3D, realista em forma da lua cheia.
Abajur com 3 tonalidades de coloração, sendo escolhidas conforme o toque no controle.
Adequado para salas de pequeno e médio porte.
Ideal para umidificação de ar principalmente em dias mais secos, e ambientes com ar condicionado.
Excelente para a aromaterapia com essências para relaxamento, foco, disposição e energização.
Utilize sempre essências com base água, pois o óleo essencial pode entupir a saída de ar, o filtro do umidificador suja rápido de mais e deixa de umidificar sendo necessário a troca, além de a limpeza do produto se tornar bem difícil.
Objeto de decoração, aromaterapia, iluminação e umidificador de ar.
Ideal para deixar o ambiente mais aconchegante, geralmente utilizado em quartos, salas residenciais, escritórios, salas de espera, entre outros.
Excelente e diferente produto para presentear, trazendo sensações únicas para quem a utiliza, com cores diferenciadas para o momento que melhor desejar, podendo ser escolhidas com um simples toque, e também aromas que desejar no momento que quiser.
Características do Produto:
* Lua em 3D com luminária e com tecnologia difusor
*Controles da iluminação e umidificação por pinos metálicos dispostos na tampa
* Suporte de madeira
* Fio para corrente de energia
* Filtro dentro do aparelho
* Manual de Instruções
Informações do produto:
- Capacidade do tanque: 800ML
- Especificações Elétricas: 110-240V (Bivolt)
- Tensão de entrada: DC5V
- Método de umidificação: Descarga de Névoa
- Desligamento automático por falta de água: Sim
- Saída de névoa: cerca de 30ML/H
- Tipo: umidificação ultrassônico
- Aplicação: 21-30m ²
- Função: Aromaterapia/Umidificador
- Dimensões: 14x14x15 / Diâmetro: 13cm
- Material: polipropileno (imitação de madeira)
- Tecnologia anti-ruído: &lt;36db(A)
- Cores luzes de LED: Branco, branco mais suave e amarelo.
- Material: PVC + componentes eletrônicos.
- Duração da água: Aprox. 8 horas
Desliga automaticamente quando a água acaba quando o sensor é acionado.
Funcionamento:
- Para funcionar a umidificação é necessário adicionar água no interior da lua
- Para aromaterapia é só adicionar gotas de essências na água
- Para ligar e controlar a luz e a tonalidade é necessário pressionar levemente o pino metálico disposto na tampa da lua próximo à saída da umidificação
- Para ligar e controlar a umidificação é necessário pressionar levemente o outro pino metálico disposto na tampa da lua próximo à saída da umidificação</t>
  </si>
  <si>
    <t>MLB6225202608</t>
  </si>
  <si>
    <t>Subwoofer Pioneer Champions 12  Ts-w312s4 4 Ohm Preto</t>
  </si>
  <si>
    <t>Subwoofer Pioneer 12” TSW312S4 1600W – Potência e Qualidade no Grave! 
Aproveite o verdadeiro som pesado com a qualidade Pioneer!
Se você busca graves potentes, profundos e definidos, o Subwoofer Pioneer TSW312S4 de 12 polegadas é a escolha perfeita para turbinar o som do seu carro!
Especificações Técnicas:
	•	Modelo: TSW312S4
	•	Tamanho: 12 polegadas
	•	Potência Máxima: 1600W
	•	Potência RMS: 500W
	•	Impedância: 4 Ohms (bobina simples)
	•	Resposta de frequência: 20Hz – 125Hz
	•	Sensibilidade: 93 dB
	•	Profundidade de montagem: Aproximadamente 14,6 cm
	•	Estrutura robusta e ventilação otimizada para evitar superaquecimento</t>
  </si>
  <si>
    <t>7440286001170399</t>
  </si>
  <si>
    <t>MLB6248468902</t>
  </si>
  <si>
    <t>U3792354106</t>
  </si>
  <si>
    <t>Placa Living Now 4x2 Para 3 Módulos Branca</t>
  </si>
  <si>
    <t>6413421364881661</t>
  </si>
  <si>
    <t>MLB6297788640</t>
  </si>
  <si>
    <t>U3806803721</t>
  </si>
  <si>
    <t>Conector 2 Pinos Passo 5 Mm Kit Com 2 Peças  Preto</t>
  </si>
  <si>
    <t>Conector elétrico de 2 pinos com passo de 5 mm, ideal para reparos, projetos eletrônicos e automação. Compatível com placas, fontes e chicotes que utilizam espaçamento de 5 mm entre os terminais.
Tipo: conector elétrico 2 pinos
Passo entre pinos: 5 mm
Quantidade: 2 peças (kit)
Cor: preto
Estado: produto novo, sem uso
Indicado para: placas eletrônicas, fontes, módulos, chicotes e projetos DIY
Benefícios:
Encaixe firme, reduzindo risco de mau contato.
Tamanho compacto, ideal para espaços reduzidos.
Fácil de instalar, basta crimpar ou soldar os fios e encaixar.
Antes de comprar, confira se o conector e o passo de 5 mm são compatíveis com o seu equipamento.</t>
  </si>
  <si>
    <t>8081749336308722</t>
  </si>
  <si>
    <t>MLB6408393270</t>
  </si>
  <si>
    <t>U3828625100</t>
  </si>
  <si>
    <t>1 Unidade De Diodo Zener 1n4148ws Smd Sod-323</t>
  </si>
  <si>
    <t>Garanta componentes de alta qualidade para sua linha de montagem ou manutenção eletrônica. Este anúncio refere-se a 1 única unidade do diodo de comutação rápida 1N4148WS, fabricado pela renomada Fairchild Semiconductor.
O modelo 1N4148WS é amplamente utilizado em circuitos que exigem alta velocidade de resposta e design compacto, graças ao seu encapsulamento SMD (SOD-323).
Especificações Técnicas:
Part Number: 1N4148WS
Fabricante: Fairchild Semiconductor (ON Semi)
Encapsulamento: SOD-323 (SMD)
Tipo de Diodo: Comutação Rápida (Fast Switching)
Quantidade: 1 unidade
Conformidade: RoHS Compliant (Livre de chumbo)
Temperatura de Operação: Até 260°C (conforme etiqueta de segurança)</t>
  </si>
  <si>
    <t>MLB6581530550</t>
  </si>
  <si>
    <t>Guilhotina De Papel Menno Gpm 200 Preta 330mm  8 Folhas</t>
  </si>
  <si>
    <t>A Guilhotina de Papel Menno GPM 200 Preta é a ferramenta ideal para quem busca precisão e eficiência no corte de papel. Com um design robusto e funcional, este modelo permite cortar até 8 folhas de papel de uma só vez, facilitando o trabalho em escritórios, escolas e projetos de artesanato.
Pesando apenas 2 kg, a Guilhotina Menno é leve e fácil de manusear, tornando-a perfeita para uso diário. Seu tamanho compacto de 330 mm a torna uma excelente opção para quem possui espaço limitado, sem comprometer a qualidade do corte.
A segurança é uma prioridade, e este modelo conta com um sistema que garante cortes limpos e seguros, evitando acidentes. Ideal para profissionais e entusiastas, a Guilhotina Menno é a escolha certa para quem valoriza a qualidade e a praticidade em suas tarefas de papelaria.</t>
  </si>
  <si>
    <t>5447369556347343</t>
  </si>
  <si>
    <t>MLB6723100220</t>
  </si>
  <si>
    <t>U3950332540</t>
  </si>
  <si>
    <t>ENC-001</t>
  </si>
  <si>
    <t>Encadernadora Wire-o 2x1 Conjugada Menno - 15 Fls+eliminador</t>
  </si>
  <si>
    <t>Descrição do Produto:
Profissionalize seus trabalhos com a Encadernadora Wire-o Menno!
Se você busca precisão e durabilidade para criar agendas, cadernos, calendários e materiais corporativos, a Encadernadora Wire-o 2x1 da Menno é a escolha ideal. Com sistema conjugado, ela perfura e fecha o wire-o no mesmo equipamento, otimizando seu tempo e espaço.
Principais Diferenciais:
•	Sistema 2x1: Padrão profissional para encadernações robustas (acima de 110 folhas).
•	Eliminador de Furos: Permite anular qualquer furo, ideal para personalizar tamanhos de papel (A4, A5, Ofício, etc).
•	Versatilidade de Fechamento: Ajuste fácil para garras de diferentes diâmetros, de 1/4" até 1" 1/4.
•	Alta Durabilidade: Construída em aço com pintura epóxi, resistente à oxidação.
•	Margeador de Precisão: Garante que todos os furos fiquem perfeitamente alinhados.
Especificações Técnicas:
•	Capacidade de Perfuração: Até 15 folhas (75g/m²) por vez.
•	Capacidade de Fechamento: Até 270 folhas.
•	Quantidade de Punções: 26 punções com eliminadores.
•	Extensão de Perfuração: 33 cm.
•	Peso: 10 kg (Robusta e estável).
Conteúdo da Embalagem:
•	01 Encadernadora Wire-o 2x1 Menno.
•	Manual de instruções original.</t>
  </si>
  <si>
    <t>Encadernadoras</t>
  </si>
  <si>
    <t>1794779526011155</t>
  </si>
  <si>
    <t>MLB6731890660</t>
  </si>
  <si>
    <t>U3940991567</t>
  </si>
  <si>
    <t>MLB6731890662</t>
  </si>
  <si>
    <t>U3940991585</t>
  </si>
  <si>
    <t>MLB6731890664</t>
  </si>
  <si>
    <t>U3952833932</t>
  </si>
  <si>
    <t>6843010512412240</t>
  </si>
  <si>
    <t>MLB7274917846</t>
  </si>
  <si>
    <t>U4460675835</t>
  </si>
  <si>
    <t>ASP-001</t>
  </si>
  <si>
    <t>Robô Aspirador De Pó Wap Robot W96 Bivolt Preto</t>
  </si>
  <si>
    <t>888344919820048</t>
  </si>
  <si>
    <t>MLB7275077524</t>
  </si>
  <si>
    <t>U4485546798</t>
  </si>
  <si>
    <t>ASP-002</t>
  </si>
  <si>
    <t>Robô Aspirador Passa Pano Xiaomi Robot Vacuum E10c Preto</t>
  </si>
  <si>
    <t>Mantenha sua casa impecável sem esforço com o Xiaomi Robot Vacuum E10C!
O Xiaomi E10C é o aliado perfeito para a limpeza diária da sua casa. Com um design ultra fino de apenas 80 mm, ele alcança facilmente os lugares mais difíceis, como a parte inferior de sofás, camas e armários. Ele varre, aspira e passa pano ao mesmo tempo, otimizando o seu tempo.
Destaques do Produto:
•	Poder de Sucção de 3500 Pa: Remove desde poeira fina até detritos maiores e pelos de pets com 4 níveis ajustáveis de potência.
•	Tanque de Água Inteligente: Controle eletrônico de fluxo de água em 3 níveis integrados no compartimento 2 em 1 (pó e água), evitando vazamentos e protegendo seu piso.
•	Sensores Inteligentes Antiqueda e Anticolisão: Equipado com sensores de desnível e para-choques mecânicos para desviar de escadas e móveis com precisão.
•	Controle Total na Palma da Mão: Através do aplicativo Xiaomi Home, você pode iniciar a limpeza, programar horários e acompanhar o status do robô de onde estiver.
 Ficha Técnica 
Marca: Xiaomi
Modelo: Robot Vacuum E10C
Cor: Preto
Potência de Sucção: 3500 Pa
Capacidade da Bateria: 2600 mAh
Autonomia: Até 110 minutos (Modo Padrão)
Funções: Varre, Aspira e Passa Pano (Mop) simultaneamente
Conectividade: Wi-Fi (Apenas redes 2.4 GHz)
Compatibilidade: App Xiaomi Home, Google Assistant e Amazon Alexa
Tensão/Voltagem: Bivolt (110V - 220V)
O que vem na caixa?
•	1x Robô Aspirador Xiaomi E10C
•	1x Base de Carregamento
•	1x Fonte de Alimentação (Bivolt)
•	1x Compartimento 2 em 1 (Pó e Água)
•	1x Escova Principal Rotativa (Pré-instalada)
•	1x Escova Lateral
•	1x Suporte com Pano Mop
•	1x Manual do Usuário em Português</t>
  </si>
  <si>
    <t>423501277941392</t>
  </si>
  <si>
    <t>MLB7275325542</t>
  </si>
  <si>
    <t>U4461756367</t>
  </si>
  <si>
    <t>ASP-004</t>
  </si>
  <si>
    <t>Robô Aspirador Aspiradora Robot Xiaomi Robot Vacuum S10+</t>
  </si>
  <si>
    <t>Eleve o nível da limpeza da sua casa com o poderoso Xiaomi Robot Vacuum S10+ Plus!
Se você procura um robô que realmente limpa de verdade e remove até as manchas mais difíceis do chão, o Xiaomi S10+ é a escolha ideal. Diferente dos modelos básicos que apenas arrastam um pano úmido, ele conta com o inovador sistema de mop duplo com almofadas circulares rotativas de alta velocidade, simulando uma esfregação manual vigorosa.
Principais Diferenciais e Destaques:
•	Sistema de Mop Duplo Rotativo: Duas almofadas de microfibra que giram em alta velocidade sob pressão constante, removendo com eficácia marcas de sapatos, líquidos secos e sujeiras grudadas.
•	
•	Super Potência de Sucção de 4000 Pa: Motor de vácuo ultra forte com 4 velocidades reguláveis, capaz de aspirar desde poeira fina escondida em frestas até pelos de pets e detritos pesados em tapetes.
•	
•	Navegação Inteligente a Laser (LDS): Mapeia toda a sua casa em 360° com precisão milimétrica, mesmo no escuro absoluto. Planeja rotas em linhas otimizadas e evita repetições desnecessárias.
•	
•	Desvio Avançado de Obstáculos (3D): Equipado com sensores laser de detecção de objetos em 3D, ele identifica e desvia de sapatos, cabos, brinquedos e fezes de pets espalhados pelo chão, evitando acidentes e travamentos.
•	
•	Bateria Monstruosa de 5200 mAh: Garante uma autonomia incrível de até 120 minutos de funcionamento contínuo, cobrindo áreas grandes de uma só vez sem precisar retornar à base no meio do ciclo.
•	
•	Reservatórios de Grande Capacidade: Tanque de poeira de 450 ml e tanque de água eletrônico com controle inteligente de fluxo de 200 ml, ideal para limpar a casa inteira de forma uniforme.
•	
•	Controle Total pelo Aplicativo Xiaomi Home: Crie paredes virtuais (onde o robô não deve passar), selecione cômodos específicos para limpar, controle o fluxo de água, mude a potência e agende horários automáticos direto do celular. Compatível também com Alexa e Google Assistant.
•	
Conteúdo da Embalagem:
•	1x Robô Aspirador Xiaomi Robot Vacuum S10+ Plus (Branco)
•	1x Base de Carregamento Original
•	1x Cabo de Alimentação (Bivolt automático)
•	1x Compartimento Integrado de Pó e Água
•	1x Escova Principal Rotativa (Pré-instalada)
•	1x Escova Lateral de Três Pontas
•	2x Almofadas de Pano Mop Rotativas (Instaladas no suporte)
•	2x Suportes para os Pano Mops
•	1x Manual do Usuário</t>
  </si>
  <si>
    <t>4402606066784338</t>
  </si>
  <si>
    <t>MLB7275449554</t>
  </si>
  <si>
    <t>U4461967415</t>
  </si>
  <si>
    <t>ASP-005</t>
  </si>
  <si>
    <t>Robô Aspirador Electrolux Power Experience Home-e</t>
  </si>
  <si>
    <t>Cinza-escuro 127/220v</t>
  </si>
  <si>
    <t>Facilite sua rotina de limpeza com a qualidade e confiança que só a Electrolux oferece!
O Electrolux Home-E Power Experience ERB30 é a solução ideal para quem busca praticidade no dia a dia. Com um design moderno e funcional, ele realiza uma limpeza 3 em 1: varre, aspira e passa pano ao mesmo tempo, deixando seus pisos brilhando sem que você precise fazer esforço.
Principais Diferenciais e Destaques:
•	Autonomia Surpreendente: Equipado com uma bateria de alto rendimento que garante até 2h20 minutos (140 minutos) de funcionamento contínuo, limpando a casa toda com uma única carga.
•	Retorno Automático à Base: Acabou a bateria? Ele volta sozinho para a base de carregamento inteligente, garantindo que estará sempre pronto para o próximo ciclo de limpeza.
•	Sistema de Filtro Triplo HEPA: Retém até 99,9% das impurezas, ácaros e alérgenos do ar. Ideal para quem tem pets em casa ou sofre com alergias respiratórias.
•	Sensores Inteligentes Antiqueda e Anticolisão: Detecta degraus e escadas para evitar quedas, além de reduzir a velocidade ao se aproximar de móveis e paredes, protegendo sua mobília.
•	Controle Remoto Prático: Acompanha controle remoto físico que permite iniciar a limpeza, pausar, guiar o robô manualmente ou selecionar modos de limpeza específicos com total facilidade.
•	Perfil Baixo: Com apenas 7 cm de altura, ele passa facilmente embaixo de camas, sofás e armários, limpando lugares de difícil acesso.
Especificações Técnicas:
•	Potência de Sucção: 1600 Pa
•	Capacidade do Reservatório: 310 ml
•	Voltagem: Bivolt Automático (110V - 220V)
Conteúdo da Embalagem:
•	1x Robô Aspirador Electrolux ERB30 (Cinza Grafite)
•	1x Base de Carregamento Original
•	1x Cabo de Força / Carregador (Bivolt)
•	1x Controle Remoto Físico
•	1x Reservatório de Pó/Sujeira
•	2x Escovas Laterais de Limpeza
•	1x Pano Mop de Microfibra
•	1x Manual de Instruções</t>
  </si>
  <si>
    <t>8071566785074512</t>
  </si>
  <si>
    <t>MLB7275539410</t>
  </si>
  <si>
    <t>U4486658026</t>
  </si>
  <si>
    <t>PED-001</t>
  </si>
  <si>
    <t>Par Borracha Do Pedal De Apoio Yamakumo Moto</t>
  </si>
  <si>
    <t>Garanta mais estabilidade e segurança na pilotagem com o Par de Borrachas de Estribo Yamakumo!
Fabricadas com composto de borracha reforçada de alta durabilidade e padrão de qualidade original (OEM), as borrachas de pedal Yamakumo oferecem excelente aderência para as solas dos calçados, reduzindo significativamente as vibrações do motor nos pés do piloto e evitando escorregões indesejados durante o trajeto. 
Destaques do Produto:
•Qualidade OEM: Encaixe preciso e material com as mesmas especificações das peças de fábrica da sua motocicleta.
•Design Antiderrapante: Sulcos profundos e estriados que garantem a drenagem da água em dias de chuva, mantendo os pés firmes no pedal.
•Conforto na Pilotagem: Borracha macia e espessa que absorve os impactos e diminui a sensação de formigamento nos pés em viagens longas. 
Conteúdo da Embalagem:
•	2x Borrachas de Estribo Yamakumo</t>
  </si>
  <si>
    <t>599583999491345</t>
  </si>
  <si>
    <t>MLB7275604990</t>
  </si>
  <si>
    <t>U4462435207</t>
  </si>
  <si>
    <t>MOT-001</t>
  </si>
  <si>
    <t>Chave Ignição Miolo Contato Hashimoto Gtr Star Nt Ht 150</t>
  </si>
  <si>
    <t>Recupere a segurança e o perfeito acionamento elétrico da sua moto com o Miolo de Ignição Original Hashimoto!
Substitua sua chave de contato gasta, travando ou danificada por um componente novo que segue rigorosamente o padrão original de fábrica (Genuine Parts). Desenvolvido com materiais de alta condutividade e excelente isolamento contra umidade, este miolo garante partidas rápidas e previne o mau contato no sistema elétrico da sua motocicleta. 
Compatibilidade Informada na Embalagem:
•Kenton (KEN) 150
•Star 150
•Moto GTR 150
•Taiga (NT) 150
•Leopard (HT) 150
•Também compatível com modelos que utilizam o mesmo padrão de miolo de duas fixações, como a linha Honda CG 150 Titan / Fan (2004 até 2008).
•	
Destaques do Produto:
•Qualidade de Fábrica (Padrão OEM): Componente durável com o mesmo acabamento e encaixe da peça que vem na moto zero.
•Segurança Reforçada: Tambor interno robusto projetado para dificultar tentativas de violação, michas ou furtos.
•Pronto para Instalação: Não necessita de adaptações no chicote elétrico original do veículo. 
Conteúdo da Embalagem:
•1x Miolo de Ignição / Chave de Contato Hashimoto
•2x Chaves de Ignição</t>
  </si>
  <si>
    <t>Interruptores de ignição para veículos</t>
  </si>
  <si>
    <t>634535621103314</t>
  </si>
  <si>
    <t>MLB7284067788</t>
  </si>
  <si>
    <t>U4478110487</t>
  </si>
  <si>
    <t>MOT-008</t>
  </si>
  <si>
    <t>Vareta Nível De Óleo Do Motor Genérica M-3027</t>
  </si>
  <si>
    <t>Tampa Vareta Medidor de Nível do Óleo do Motor
Dê um upgrade no visual e na praticidade da sua moto com a tampa de óleo esportiva com haste medidora integrada. Produzida em alumínio usinado de alta resistência, ela substitui a peça plástica original com encaixe perfeito e excelente vedação.
Especificações Técnica:
•Código do Modelo: M-3027 DO
•Cor do Acabamento: Dourado Anodizado 
•Material: Liga de Alumínio Usinado em CNC
•Acessórios Inclusos: Acompanha anel O-Ring de borracha para vedação hermética
Compatibilidade Direta:
•Linha Honda: CG 125 / 150 / 160 (Titan, Fan, Start, Cargo), Bros 125 / 150 / 160, XRE 190, CRF 230F, CRF 250F.
Diferenciais do Produto:
•Formato Estilo Flor: Permite o aperto e desaperto manual rápido, dispensando chaves na hora de conferir o óleo.
•Acabamento Premium: A anodização dourada resiste ao calor do motor sem desbotar.</t>
  </si>
  <si>
    <t>Varetas de nivel de óleo de motor para veículos</t>
  </si>
  <si>
    <t>4494491469645329</t>
  </si>
  <si>
    <t>MLB7284475056</t>
  </si>
  <si>
    <t>U4478835359</t>
  </si>
  <si>
    <t>MOT-009</t>
  </si>
  <si>
    <t>Kit 10 Esticador Regulador De Corrente Hashimoto</t>
  </si>
  <si>
    <t>Kit Atacado com 10 Unidades - Esticador de Corrente da Roda Traseira
Garanta a manutenção correta da relação de transmissão da sua moto com o kit de esticadores de corrente da Hashimoto. Essencial para regular a tensão da corrente e o alinhamento do eixo traseiro, esse componente evita desgastes prematuros e garante total segurança na pilotagem.
Especificações Técnicas:
•Marca: Hashimoto
•Código do Modelo: E-1211H
•Descrição de Fábrica: Estira Cadena.
•Aplicação: C/U CG125
•Quantidade: Embalagem lacrada com 10 Peças.
Diferenciais do Produto:
•Fabricado em aço reforçado com tratamento de superfície para resistir à oxidação e ferrugem nas condições severas de uso diário.
•Rosca e porcas com passos precisos que facilitam o ajuste fino e impedem que a roda saia do alinhamento.
•Lote fechado ideal para reposição rápida em mecânicas, motopeças ou oficinas de frotas.</t>
  </si>
  <si>
    <t>Cadeados para bicicletas e motos</t>
  </si>
  <si>
    <t>3340171452355219</t>
  </si>
  <si>
    <t>MLB6002014608</t>
  </si>
  <si>
    <t>U3648221061</t>
  </si>
  <si>
    <t>Barra De Luz Automotivo Strobo 4 Leds 3w Ip66</t>
  </si>
  <si>
    <t>28.9</t>
  </si>
  <si>
    <t>Barra De Luz Automotivo Strobo 4 Leds 12w Ip66
• Material: Aluminio + LED
• 4 LEDS
• Medidas8.6X2,8cm
• Grau de proteção: IP 65
• Cores : Branca
• Potência: 3,84w
• Tensão: 12v - 24v
• Tipo de LED: SMD
• Base: Encaixe universal
• Área de aplicação: Universal
• Ângulo de abertura: Foco aberto
As barras de luz são extremamente importantes para veículos como caminhões, carros de emergência, SUVs e outros veículos automotivos. Desempenham um papel crucial na segurança rodoviária, alertando os outros sobre situações de emergência e ajudando a evitar acidentes.</t>
  </si>
  <si>
    <t>16</t>
  </si>
  <si>
    <t>0.35</t>
  </si>
  <si>
    <t>3504790382003516</t>
  </si>
  <si>
    <t>MLB6007031368</t>
  </si>
  <si>
    <t>U3659362918</t>
  </si>
  <si>
    <t>Led Modulo De Led Smd 5050 Rohs 20 Modulos Branco Ip65</t>
  </si>
  <si>
    <t>Branco-frio 12v</t>
  </si>
  <si>
    <t>37.99</t>
  </si>
  <si>
    <t>20 Módulos de Led 5050 para Letreiros em apenas uma placa
#DESCRIÇÃO
5050 SMD Módulo 3 LED Impermeável 12V
Iluminação com altíssima economia de energia, com LED 5050 impermeável contendo 3 leds por módulo.
Luz de fundo para letras de canal e propaganda sinalização ou caixa de luz;
Luzes de decoração em locais de entretenimento, tais como o disco, KTV, bares e discotecas;
Decoração para Eventos e shows;
Decoração para a piscina, fontes ou cachoeira;
A iluminação da tarefa ou sinal de marinha.
SMD 5050 módulos de 3 LED conectadas em circuito paralelo
Produto à prova d'água com fita auto-adesiva na parte traseiro facilitando a fixação.
Baixo consumo de energia, alta eficiência energética
Cores: Branco Frio - 
Tensão de Operação: 12V
Corrente: 1A
Consumo de energia: 0,72w por módulo
Tamanho de cada módulo (L x W): Aprox. 9cm x 1,5cm
#CARACTERÍSTICAS
Modelo: SMD5050
Marca: Importado
Voltagem: 12v
Material: Plástico ABS
Peso Liquido: 10g
Cor do Acabamento: Branco frio
Garantia: 30 dias
Itens inclusos: 1 placa com 20 modulos (com 3 leds cada)
Prazo de Envio: 1 dia útil após a confirmação do pagamento</t>
  </si>
  <si>
    <t>13</t>
  </si>
  <si>
    <t>0.11</t>
  </si>
  <si>
    <t>MLB6717661060</t>
  </si>
  <si>
    <t>6</t>
  </si>
  <si>
    <t>0.06</t>
  </si>
  <si>
    <t>1526140153876143</t>
  </si>
  <si>
    <t>MLB5947618970</t>
  </si>
  <si>
    <t>U3574651714</t>
  </si>
  <si>
    <t>Lâmpada Halógena Ge Par56 350w Foco Potente</t>
  </si>
  <si>
    <t>220v Branco-frio</t>
  </si>
  <si>
    <t>Apresentamos a Lâmpada Halógena Par 56 350W 220V Lemca 350PAR56NSP – a escolha ideal para quem exige luz intensa e consistente.
Luzes fracas ou de baixa durabilidade podem comprometer seu trabalho e gerar custos extras com trocas frequentes.
Com a Lâmpada Halógena Par 56 Lemca, você terá iluminação de alto padrão, perfeita para uso em refletores, piscinas, palcos e áreas que necessitam de luz robusta e uniforme.
Produto com as seguintes especificações técnicas:
POTÊNCIA: 350W
VOLTAGEM: 220V
REFLETOR: PAR 56
FOCO: 2 (NSP)
DIMENSÕES
COMPRIMENTO: 15cm
ALTURA: 15cm
LARGURA: 15cm
PESO: 0,701kg</t>
  </si>
  <si>
    <t>Lâmpadas</t>
  </si>
  <si>
    <t>0.47</t>
  </si>
  <si>
    <t>4202261001233502</t>
  </si>
  <si>
    <t>MLB3618128179</t>
  </si>
  <si>
    <t>U2297554051</t>
  </si>
  <si>
    <t>LS003</t>
  </si>
  <si>
    <t>Luz Sinalização Lateral Indicador De Sinal Seta Alto Brilho</t>
  </si>
  <si>
    <t>69.9</t>
  </si>
  <si>
    <t>A luz lateral de sinalização, também conhecida como luz de seta lateral ou luz indicadora de direção, desempenha um papel crucial na segurança rodoviária e na comunicação entre os motoristas.
Indicação de mudança de direção: A luz lateral de sinalização informa aos outros motoristas quando o condutor pretende fazer uma mudança de direção, seja para a esquerda ou para a direita. Isso ajuda a reduzir o risco de colisões e melhora a fluidez do tráfego.
Prevenção de acidentes: Ao indicar claramente as intenções do condutor, a luz lateral de sinalização ajuda a evitar confusões e mal-entendidos entre os motoristas, reduzindo assim o risco de acidentes.
Conformidade com regulamentos: O uso adequado da luz lateral de sinalização é uma exigência legal em muitos países. Portanto, sua presença e funcionamento adequado são essenciais para estar em conformidade com os regulamentos de trânsito e evitar multas.
Comunicação eficaz: Em situações de tráfego intenso, onde os motoristas precisam tomar decisões rápidas e seguras, a luz lateral de sinalização é uma ferramenta essencial para uma comunicação eficaz entre os veículos.
Aumento da visibilidade: Além de indicar as intenções do condutor, as luzes de seta laterais também aumentam a visibilidade do veículo, tornando-o mais perceptível para os outros motoristas, especialmente durante a noite ou em condições de baixa luminosidade.
#LuzDeSeta #SinalizaçãoVeicular #SegurançaRodoviária #IndicadorDeDireção #ComunicaçãoNoTrânsito #ConduçãoSegura #VisibilidadeNoTrânsito #DireçãoSegura #LuzDeSetaParaCarros #SegurançaVeicular</t>
  </si>
  <si>
    <t>3</t>
  </si>
  <si>
    <t>2526937542271757</t>
  </si>
  <si>
    <t>MLB3634881029</t>
  </si>
  <si>
    <t>U1139973139</t>
  </si>
  <si>
    <t>U0016</t>
  </si>
  <si>
    <t>Lâmpada De Folga Marcação Ambar Oval Led Cromado</t>
  </si>
  <si>
    <t>11.9</t>
  </si>
  <si>
    <t>Material: Policarbonato
Acabamento da lente: Cromado
Tipo de conexão: Corte rombudo
Tamanho: 2 1/2"
Caso UPC: 89373164663
Regulamento: FMVSS 108
Funções: P2, P3
VMRS: 034-004-253
Tipo de luminária: lâmpada de folga/marcador
Tipo de montagem: Parafuso
Cor do LED: Ambar
Cor da lente: Ambar
amperes: 0,05A
#IluminaçãoLED #MarcadorDeLâmpada #LuzDeFolga #SinalizaçãoVeicular #SegurançaRodoviária #EstiloAutomotivo #DesignDeLuzes #GroteLED #EficiênciaEnergética #LâmpadaVermelha
*Produto novo, recebido como amostra, vendido como usado devido ausência da embalagem.</t>
  </si>
  <si>
    <t>7917222571379747</t>
  </si>
  <si>
    <t>MLB3650613011</t>
  </si>
  <si>
    <t>U2309833086</t>
  </si>
  <si>
    <t>U0045</t>
  </si>
  <si>
    <t>Caixa Plástica De Passagem Opaca Cinza Ip44 90x90x70mm</t>
  </si>
  <si>
    <t>19.9</t>
  </si>
  <si>
    <t>PRODUTO É NOVO, SÓ ESTÁ SEM A EMBALAGEM ORGINAL DEVIDO MATERIAL TER VINDO COMO AMOSTRA. 
Cor Base - Cinza
Cor Tampa - Cinza
Fechamento - Parafusos Metálicos
Grau de Proteção - IP 44
UTILIDADES:
Instalações elétricas: São frequentemente usadas para abrigar conexões elétricas, protegendo-as contra danos e exposição a elementos externos. Podem ser instaladas em paredes, pisos ou tetos para acomodar fiações elétricas.
Telecomunicações: Em instalações de redes de comunicação, as caixas plásticas de passagem são utilizadas para abrigar cabos e conexões de telecomunicações, garantindo uma organização adequada e proteção contra interferências.
Sistemas de irrigação: Em sistemas de irrigação agrícola ou paisagística, as caixas plásticas de passagem podem ser utilizadas para abrigar válvulas, conexões e controladores, proporcionando uma proteção contra danos mecânicos e intempéries.
Drenagem: Podem ser usadas para abrigar conexões de sistemas de drenagem, como tubos e registros, em áreas externas ou internas, garantindo uma instalação organizada e protegida.
Monitoramento ambiental: Em aplicações de monitoramento ambiental, como estações meteorológicas ou de monitoramento da qualidade do ar, as caixas plásticas de passagem podem abrigar sensores e dispositivos de coleta de dados, protegendo-os contra danos e interferências externas.
Instalações de segurança: Em sistemas de segurança, as caixas plásticas de passagem podem ser usadas para abrigar dispositivos como câmeras de vigilância, sensores de movimento ou alarmes, proporcionando proteção e discrição.
#InstalaçõesElétricas #Telecomunicações #Irrigação #Drenagem #MonitoramentoAmbiental #Segurança #Organização #Proteção #SistemasDeCabos #Infraestrutura</t>
  </si>
  <si>
    <t>Caixas de massas para construção</t>
  </si>
  <si>
    <t>1091821252513489</t>
  </si>
  <si>
    <t>MLB4445673008</t>
  </si>
  <si>
    <t>U688101274</t>
  </si>
  <si>
    <t>T0001</t>
  </si>
  <si>
    <t>Conj Termostato Aquecimento Sensor Piso 220v 6 Unid</t>
  </si>
  <si>
    <t>539.4</t>
  </si>
  <si>
    <t>Fonte de alimentação: 230V 50 / 60HZ
Consumo de energia: 5W
Máx. Atual: 16A
Faixa de ajuste: 5 °C ~ 40 °C
Diferencial por. tem .: ± 0.5 °C
Temperatura de operação: -5 °C ~ 50 °C
Grau de proteção: IP20
O pacote inclui:
Termostato Manual de 1 Peça
1 peça cabo sensor de 3 metros
2 peças de parafusos de montagem
1 peça Inglês manual do usuário
#TermostatoAnalógico #ControleDeTemperatura #Climatização #AquecimentoResidencial #ArCondicionado #ControleAnalógico #EconomiaDeEnergia #ManutençãoDoméstica #ConfortoResidencial #InstalaçãoDeTermostato</t>
  </si>
  <si>
    <t>Produtos não classificados</t>
  </si>
  <si>
    <t>MLB4508592853</t>
  </si>
  <si>
    <t>U3831230384</t>
  </si>
  <si>
    <t>CNC-0010</t>
  </si>
  <si>
    <t>110/220v</t>
  </si>
  <si>
    <t>12700</t>
  </si>
  <si>
    <t>1.09</t>
  </si>
  <si>
    <t>MLB4508647721</t>
  </si>
  <si>
    <t>U3821295459</t>
  </si>
  <si>
    <t>7417352172085456</t>
  </si>
  <si>
    <t>MLB4794050541</t>
  </si>
  <si>
    <t>U4116232641</t>
  </si>
  <si>
    <t>Lâmpada Farol Ge Par56 350w 75v Original</t>
  </si>
  <si>
    <t>75v Branco-quente / Amarela</t>
  </si>
  <si>
    <t>199.9</t>
  </si>
  <si>
    <t>LÂMPADA FAROL FERROVIÁRIO GE PAR56 350W 75V – ORIGINAL GENERAL ELECTRIC
Se você busca uma peça de reposição original e robusta para o setor de transporte ou colecionismo industrial, esta é a lâmpada ideal. Trata-se do modelo clássico All Glass Sealed Beam (vidro selado) fabricado pela GE, amplamente utilizado em sistemas de iluminação dianteira e auxiliar (ditch lights / headlights) de locomotivas e maquinários ferroviários pesados.
ESPECIFICAÇÕES TÉCNICAS:
•	Fabricante: GE (General Electric)
•	Formato do Bulbo: PAR56 (Vidro super resistente e selado)
•	Potência: 350 Watts
•	Tensão de Operação: 75 Volts (Corrente Contínua ou Alternada)
•	Tipo de Conexão: Terminais traseiros por fixação de parafusos (Screw Terminal)
•	Tipo de Facho: Spot (Luz focada de altíssima intensidade e longo alcance)
ESPECIFICAÇÕES TÉCNICAS:
•	Fabricante: GE (General Electric)
•	Formato do Bulbo: PAR56 (Vidro super resistente e selado)
•	Potência: 350 Watts
•	Tensão de Operação: 75 Volts (Corrente Contínua ou Alternada)
•	Tipo de Conexão: Terminais traseiros por fixação de parafusos (Screw Terminal)
•	Tipo de Facho: Spot (Luz focada de altíssima intensidade e longo alcance)
ATENÇÃO MÁXIMA À VOLTAGEM — PRODUTO INDUSTRIAL ESPECIAL 
Esta lâmpada opera NATIVAMENTE EM 75 VOLTS.
•	NÃO funciona diretamente em tomadas residenciais de 110V/127V ou 220V.
•	Se ligada em redes comuns sem o transformador adequado de 75V, a lâmpada queimará ou explodirá o filamento instantaneamente.
•	NÃO serve para refletores convencionais de piscina residenciais (que utilizam 12V ou 220V).</t>
  </si>
  <si>
    <t>0.7</t>
  </si>
  <si>
    <t>5241886030515282</t>
  </si>
  <si>
    <t>MLB5661306036</t>
  </si>
  <si>
    <t>U3395572169</t>
  </si>
  <si>
    <t>Kit 2 Barra De Luz Automotivo Strobo 4 Leds</t>
  </si>
  <si>
    <t>70.9</t>
  </si>
  <si>
    <t>Kit 2 unidades Barra De Luz Automotivo Strobo 4 Leds Vermelha
Material: Aluminio + LED
Medidas: 8.6x2,8cm
DC12-24V
4 LEDS
Luz Vermelha
As barras de luz são extremamente importantes para veículos como caminhões, máquinas, carros de emergência, SUVs e outros veículos automotivos. Desempenham um papel crucial na segurança rodoviária, alertando os outros sobre situações de emergência e ajudando a evitar acidentes.
Produto resistente a agua. Pode ser instalado em todos os locais fora do veículo através de fixação via parafusos nas laterais como fotos.
PADRÕES DE PISCAR:
Aleatório
Simples dividido
Duplo dividido
Quádruplo dividido
Pulso dividido
Acelerador dividido
Rajada Quádrupla dividida
Duplo/Acelerador dividido
Quádruplo/Acelerador dividido
Simples todos
Duplo todos
Quádruplo todos
Acelerador todos
Quádruplo/Simples todos
Pulso/Simples todos
Meio fixo-1
Meio fixo-2
Fixo (constante)
Desligado</t>
  </si>
  <si>
    <t>5750047642485870</t>
  </si>
  <si>
    <t>MLB5930088320</t>
  </si>
  <si>
    <t>U3561081082</t>
  </si>
  <si>
    <t>Módulo De Entrada General Electric Ic694mdl645d Cnc</t>
  </si>
  <si>
    <t>3800</t>
  </si>
  <si>
    <t>O IC694MDL645D é um módulo de entrada digital de 16 pontos e 24 VCC da General Electric (GE
Principais Características
•	Tipo de Módulo: Entrada digital (discreta).
•	Tensão de Operação: 24 Volts CC (corrente contínua).
•	Número de Pontos: 16 pontos de entrada.
•	Lógica: Suporta configuração de fiação para lógica positiva ou negativa.
•	Série do Produto: GE Fanuc RX3i.
•	Faixa de Tensão de Entrada: 0 a +30 VCC.
•	Corrente de Entrada (nominal): Tipicamente 7 mA por ponto.
•	Tempo de Resposta: Tipicamente 7 ms para ligar (ON) e desligar (OFF).
•	Consumo de Energia: 80 mA do barramento de 5V (quando todas as entradas estão ligadas) e 125 mA da alimentação de 24V isolada.
•	Isolamento: 1500 volts entre o lado do campo e o lado da lógica.
•	Indicação de Status: Possui 16 LEDs (diodos emissores de luz) no painel frontal para indicar o status (ligado/desligado) de cada ponto de entrada individual.
•	Instalação: Pode ser instalado em qualquer slot do backplane universal do sistema RX3i.
•	Classificação: Classificado como módulo de baixa tensão, identificado por bandas azuis no rótulo.</t>
  </si>
  <si>
    <t>52</t>
  </si>
  <si>
    <t>35</t>
  </si>
  <si>
    <t>9.9</t>
  </si>
  <si>
    <t>3477811435114549</t>
  </si>
  <si>
    <t>MLB6182504230</t>
  </si>
  <si>
    <t>U3736786655</t>
  </si>
  <si>
    <t>LD031</t>
  </si>
  <si>
    <t>Farol De Luz Estroboscópica De 3 Leds Flash</t>
  </si>
  <si>
    <t>109.9</t>
  </si>
  <si>
    <t>O Farol de Luz Estroboscópica de 3 LEDs Flash é a solução ideal para quem busca aumentar a visibilidade e segurança em situações de emergência. Com um design compacto e eficiente, este farol é perfeito para carros e caminhonetes, proporcionando uma iluminação intensa que chama a atenção em qualquer ambiente.
Equipado com três LEDs de alta performance, o farol emite um padrão de luz estroboscópica que pode ser utilizado em diversas situações, como sinalização em estradas, eventos noturnos ou até mesmo em atividades de resgate. Sua instalação é simples e rápida, permitindo que você o utilize em questão de minutos.
Além de sua funcionalidade, o farol é resistente e durável, garantindo um desempenho confiável em diferentes condições climáticas. A versatilidade do produto o torna uma escolha inteligente para motoristas que valorizam a segurança e a visibilidade.
Invista em um produto que não só melhora a sua segurança, mas também a de outros ao seu redor. O Farol de Luz Estroboscópica de 3LEDs Flash é uma adição indispensável para qualquer veículo, oferecendo tranquilidade e confiança em cada viagem.</t>
  </si>
  <si>
    <t>Luzes estroboscópicas de advertência</t>
  </si>
  <si>
    <t>0.2</t>
  </si>
  <si>
    <t>3040631971788812</t>
  </si>
  <si>
    <t>MLB6259107546</t>
  </si>
  <si>
    <t>U3793989529</t>
  </si>
  <si>
    <t>114</t>
  </si>
  <si>
    <t>0.03</t>
  </si>
  <si>
    <t>MLB6273258466</t>
  </si>
  <si>
    <t>Acessorio Turbo Nebolizador Para Pulverizador Eletrico</t>
  </si>
  <si>
    <t>199</t>
  </si>
  <si>
    <t>Acessório Turbo Nebulizador AN12
Marca: Kawashima
Características:
O acessório Turbonebulizador AN12 KAWASHIMA chegou para facilitar o seu trabalho e proporcionar maior segurança nos ambientes frequentados.
Seu acionamento é feito através de bateria, própria ou acoplada de um pulverizador elétrico, o que permite nebulizações além de áreas externas também em áreas fechadas.
Para utilização com pulverizador elétrico basta apenas acoplar o Turbonebulizador AN12 e utilizar. Para acoplar em pulverizador manual ou outro reservatório qualquer, necessita de uma bateria 12V (não acompanha).
Sem barulhos, sem sujeira, e com grande economia de tempo e segurança.
Itens inclusos:
- Acessório Turbo Nebulizador AN12.
- Cabo elétrico para conexão no pulverizador.
- Atenção: Não acompanha pulverizador.
- Atenção: Não acompanha bateria e cinto de sustentação.
- Possui compartimento para armazenamento da bateria. Medidas: 15x6,5x9,5 cm.
Observações:
O Acessório Turbo Nebulizador pode ser acoplado em qualquer marca de pulverizador a bateria que possua conector de carregamento igual ao da foto do anúncio.
Especificações Técnicas:
- Tensão: 12 V.
- Peso: 1.5 Kg.
- Utilização: Com pulverizador manual ou elétrico.</t>
  </si>
  <si>
    <t>61</t>
  </si>
  <si>
    <t>1.48</t>
  </si>
</sst>
</file>

<file path=xl/styles.xml><?xml version="1.0" encoding="utf-8"?>
<styleSheet xmlns="http://schemas.openxmlformats.org/spreadsheetml/2006/main" xmlns:x14ac="http://schemas.microsoft.com/office/spreadsheetml/2009/9/ac" xmlns:mc="http://schemas.openxmlformats.org/markup-compatibility/2006">
  <numFmts count="0"/>
  <fonts count="37">
    <font>
      <sz val="10.0"/>
      <color rgb="FF000000"/>
      <name val="Arial"/>
      <scheme val="minor"/>
    </font>
    <font>
      <sz val="14.0"/>
      <color rgb="FF666666"/>
      <name val="Arial"/>
    </font>
    <font>
      <sz val="21.0"/>
      <color rgb="FF333333"/>
      <name val="Arial"/>
    </font>
    <font/>
    <font>
      <sz val="12.0"/>
      <color rgb="FF434343"/>
      <name val="Arial"/>
    </font>
    <font>
      <color theme="1"/>
      <name val="Arial"/>
    </font>
    <font>
      <sz val="14.0"/>
      <color rgb="FF333333"/>
      <name val="Arial"/>
    </font>
    <font>
      <b/>
      <sz val="14.0"/>
      <color rgb="FF333333"/>
      <name val="Arial"/>
    </font>
    <font>
      <color rgb="FF666666"/>
      <name val="Arial"/>
    </font>
    <font>
      <b/>
      <u/>
      <color rgb="FF1155CC"/>
      <name val="Arial"/>
    </font>
    <font>
      <sz val="14.0"/>
      <color rgb="FF434343"/>
      <name val="Arial"/>
    </font>
    <font>
      <sz val="10.0"/>
      <color rgb="FF999999"/>
      <name val="Arial"/>
    </font>
    <font>
      <b/>
      <sz val="11.0"/>
      <color theme="1"/>
      <name val="Arial"/>
    </font>
    <font>
      <name val="Arial"/>
      <sz val="10.0"/>
      <u val="single"/>
      <color rgb="FF1155CC"/>
    </font>
    <font>
      <name val="Arial"/>
      <sz val="10.0"/>
      <u val="none"/>
      <color rgb="FF000000"/>
    </font>
    <font>
      <name val="Arial"/>
      <sz val="14.0"/>
      <b val="true"/>
      <u val="none"/>
      <color rgb="FF000000"/>
    </font>
    <font>
      <name val="Arial"/>
      <sz val="10.0"/>
      <u val="none"/>
      <color rgb="FF000000"/>
    </font>
    <font>
      <name val="Arial"/>
      <sz val="10.0"/>
      <u val="none"/>
      <color rgb="FF999999"/>
    </font>
    <font>
      <name val="Arial"/>
      <sz val="10.0"/>
      <u val="none"/>
    </font>
    <font>
      <name val="Arial"/>
      <sz val="10.0"/>
      <i val="true"/>
      <b val="true"/>
      <u val="none"/>
      <color rgb="FF781A13"/>
    </font>
    <font>
      <name val="Arial"/>
      <sz val="10.0"/>
      <b val="true"/>
      <u val="none"/>
    </font>
    <font>
      <name val="Arial"/>
      <sz val="13.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u val="none"/>
      <color rgb="FF999999"/>
    </font>
    <font>
      <name val="Arial"/>
      <sz val="10.0"/>
      <u val="none"/>
    </font>
    <font>
      <name val="Arial"/>
      <sz val="10.0"/>
      <u val="none"/>
    </font>
    <font>
      <name val="Arial"/>
      <sz val="10.0"/>
      <u val="none"/>
    </font>
    <font>
      <name val="Arial"/>
      <sz val="10.0"/>
      <u val="none"/>
    </font>
    <font>
      <name val="Arial"/>
      <sz val="10.0"/>
      <u val="none"/>
      <color rgb="FF999999"/>
    </font>
  </fonts>
  <fills count="37">
    <fill>
      <patternFill patternType="none"/>
    </fill>
    <fill>
      <patternFill patternType="lightGray"/>
    </fill>
    <fill>
      <patternFill patternType="solid">
        <fgColor rgb="FFFFF158"/>
        <bgColor rgb="FFFFF158"/>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8F8F8"/>
        <bgColor rgb="FFF8F8F8"/>
      </patternFill>
    </fill>
    <fill>
      <patternFill patternType="solid">
        <fgColor rgb="FFFFFFFF"/>
        <bgColor rgb="FFFFFFFF"/>
      </patternFill>
    </fill>
    <fill>
      <patternFill patternType="solid">
        <fgColor rgb="FFEEEEEE"/>
        <bgColor rgb="FFEEEEEE"/>
      </patternFill>
    </fill>
    <fill>
      <patternFill patternType="none">
        <fgColor rgb="FFF9F9F9"/>
      </patternFill>
    </fill>
    <fill>
      <patternFill patternType="solid">
        <fgColor rgb="FFF9F9F9"/>
      </patternFill>
    </fill>
    <fill>
      <patternFill patternType="none">
        <fgColor rgb="FFEAEAEA"/>
      </patternFill>
    </fill>
    <fill>
      <patternFill patternType="solid">
        <fgColor rgb="FFEAEAEA"/>
      </patternFill>
    </fill>
    <fill>
      <patternFill patternType="none">
        <fgColor rgb="FFF3F3F3"/>
      </patternFill>
    </fill>
    <fill>
      <patternFill patternType="solid">
        <fgColor rgb="FFF3F3F3"/>
      </patternFill>
    </fill>
    <fill>
      <patternFill patternType="none">
        <fgColor rgb="FFFFF158"/>
      </patternFill>
    </fill>
    <fill>
      <patternFill patternType="solid">
        <fgColor rgb="FFFFF158"/>
      </patternFill>
    </fill>
    <fill>
      <patternFill patternType="none">
        <fgColor rgb="FFFFFFFF"/>
      </patternFill>
    </fill>
    <fill>
      <patternFill patternType="solid">
        <fgColor rgb="FFFFFFFF"/>
      </patternFill>
    </fill>
    <fill>
      <patternFill patternType="none">
        <fgColor rgb="FFF6B26B"/>
      </patternFill>
    </fill>
    <fill>
      <patternFill patternType="solid">
        <fgColor rgb="FFF6B26B"/>
      </patternFill>
    </fill>
    <fill>
      <patternFill patternType="none">
        <fgColor rgb="FFF8CCA4"/>
      </patternFill>
    </fill>
    <fill>
      <patternFill patternType="solid">
        <fgColor rgb="FFF8CCA4"/>
      </patternFill>
    </fill>
    <fill>
      <patternFill patternType="none">
        <fgColor rgb="FFFCE5CD"/>
      </patternFill>
    </fill>
    <fill>
      <patternFill patternType="solid">
        <fgColor rgb="FFFCE5CD"/>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93C47D"/>
      </patternFill>
    </fill>
    <fill>
      <patternFill patternType="solid">
        <fgColor rgb="FF93C47D"/>
      </patternFill>
    </fill>
    <fill>
      <patternFill patternType="none">
        <fgColor rgb="FFD9EAD3"/>
      </patternFill>
    </fill>
    <fill>
      <patternFill patternType="solid">
        <fgColor rgb="FFD9EAD3"/>
      </patternFill>
    </fill>
    <fill>
      <patternFill patternType="none">
        <fgColor rgb="FFC5D3ED"/>
      </patternFill>
    </fill>
    <fill>
      <patternFill patternType="solid">
        <fgColor rgb="FFC5D3ED"/>
      </patternFill>
    </fill>
    <fill>
      <patternFill patternType="none">
        <fgColor rgb="FF6C9DD4"/>
      </patternFill>
    </fill>
    <fill>
      <patternFill patternType="solid">
        <fgColor rgb="FF6C9DD4"/>
      </patternFill>
    </fill>
  </fills>
  <borders count="81">
    <border/>
    <border>
      <left style="medium">
        <color rgb="FFFFF158"/>
      </left>
      <right style="medium">
        <color rgb="FFFFF158"/>
      </right>
      <top style="medium">
        <color rgb="FFFFF158"/>
      </top>
      <bottom style="medium">
        <color rgb="FFFFF158"/>
      </bottom>
    </border>
    <border>
      <left style="medium">
        <color rgb="FFFFF158"/>
      </left>
      <top style="medium">
        <color rgb="FFFFF158"/>
      </top>
      <bottom style="medium">
        <color rgb="FFFFF158"/>
      </bottom>
    </border>
    <border>
      <top style="medium">
        <color rgb="FFFFF158"/>
      </top>
      <bottom style="medium">
        <color rgb="FFFFF158"/>
      </bottom>
    </border>
    <border>
      <right style="medium">
        <color rgb="FFFFF158"/>
      </right>
      <top style="medium">
        <color rgb="FFFFF158"/>
      </top>
      <bottom style="medium">
        <color rgb="FFFFF158"/>
      </bottom>
    </border>
    <border>
      <left style="medium">
        <color rgb="FFFFF158"/>
      </left>
      <top style="medium">
        <color rgb="FFFFF158"/>
      </top>
    </border>
    <border>
      <top style="medium">
        <color rgb="FFFFF158"/>
      </top>
    </border>
    <border>
      <right style="medium">
        <color rgb="FFFFF158"/>
      </right>
      <top style="medium">
        <color rgb="FFFFF158"/>
      </top>
    </border>
    <border>
      <left style="thin">
        <color rgb="FFD9D9D9"/>
      </left>
      <top style="thin">
        <color rgb="FFD9D9D9"/>
      </top>
    </border>
    <border>
      <top style="thin">
        <color rgb="FFD9D9D9"/>
      </top>
    </border>
    <border>
      <right style="thin">
        <color rgb="FFD9D9D9"/>
      </right>
      <top style="thin">
        <color rgb="FFD9D9D9"/>
      </top>
    </border>
    <border>
      <left style="thin">
        <color rgb="FFF5F5F5"/>
      </left>
      <right style="thin">
        <color rgb="FFF5F5F5"/>
      </right>
      <top style="thin">
        <color rgb="FFF5F5F5"/>
      </top>
      <bottom style="thin">
        <color rgb="FFF5F5F5"/>
      </bottom>
    </border>
    <border>
      <right style="thin">
        <color rgb="FFD9D9D9"/>
      </right>
      <top style="thin">
        <color rgb="FFF5F5F5"/>
      </top>
    </border>
    <border>
      <right style="medium">
        <color rgb="FFF9F9F9"/>
      </right>
      <top style="thin">
        <color rgb="FFF9F9F9"/>
      </top>
    </border>
    <border>
      <top style="thin">
        <color rgb="FFF9F9F9"/>
      </top>
      <bottom style="medium">
        <color rgb="FFF9F9F9"/>
      </bottom>
    </border>
    <border>
      <right style="medium">
        <color rgb="FFF9F9F9"/>
      </right>
      <top style="thin">
        <color rgb="FFF9F9F9"/>
      </top>
      <bottom style="medium">
        <color rgb="FFF9F9F9"/>
      </bottom>
    </border>
    <border>
      <left style="medium">
        <color rgb="FFF5F5F5"/>
      </left>
      <right style="medium">
        <color rgb="FFF5F5F5"/>
      </right>
      <bottom style="medium">
        <color rgb="FFF5F5F5"/>
      </bottom>
    </border>
    <border>
      <right style="thin">
        <color rgb="FFD9D9D9"/>
      </right>
    </border>
    <border>
      <right style="medium">
        <color rgb="FFF9F9F9"/>
      </right>
    </border>
    <border>
      <left style="medium">
        <color rgb="FFF9F9F9"/>
      </left>
      <right/>
      <top style="medium">
        <color rgb="FFF9F9F9"/>
      </top>
      <bottom style="medium">
        <color rgb="FFF9F9F9"/>
      </bottom>
    </border>
    <border>
      <right/>
      <top style="medium">
        <color rgb="FFF9F9F9"/>
      </top>
      <bottom style="thin">
        <color rgb="FFF9F9F9"/>
      </bottom>
    </border>
    <border>
      <right style="medium">
        <color rgb="FFF9F9F9"/>
      </right>
      <top style="medium">
        <color rgb="FFF9F9F9"/>
      </top>
      <bottom style="thin">
        <color rgb="FFF9F9F9"/>
      </bottom>
    </border>
    <border>
      <left style="medium">
        <color rgb="FFF9F9F9"/>
      </left>
      <right style="medium">
        <color rgb="FFF9F9F9"/>
      </right>
      <top style="medium">
        <color rgb="FFF9F9F9"/>
      </top>
      <bottom style="medium">
        <color rgb="FFF9F9F9"/>
      </bottom>
    </border>
    <border>
      <left style="medium">
        <color rgb="FFF5F5F5"/>
      </left>
      <right style="medium">
        <color rgb="FFF5F5F5"/>
      </right>
      <top style="medium">
        <color rgb="FFF5F5F5"/>
      </top>
      <bottom style="medium">
        <color rgb="FFF5F5F5"/>
      </bottom>
    </border>
    <border>
      <left style="medium">
        <color rgb="FFF9F9F9"/>
      </left>
      <right style="thin">
        <color rgb="FFF9F9F9"/>
      </right>
      <bottom style="thin">
        <color rgb="FFF9F9F9"/>
      </bottom>
    </border>
    <border>
      <right style="thin">
        <color rgb="FFF9F9F9"/>
      </right>
      <bottom style="thin">
        <color rgb="FFF9F9F9"/>
      </bottom>
    </border>
    <border>
      <right style="thin">
        <color rgb="FFF9F9F9"/>
      </right>
      <bottom style="medium">
        <color rgb="FFF9F9F9"/>
      </bottom>
    </border>
    <border>
      <left style="medium">
        <color rgb="FFF9F9F9"/>
      </left>
      <right style="medium">
        <color rgb="FFF9F9F9"/>
      </right>
      <top style="medium">
        <color rgb="FFF9F9F9"/>
      </top>
    </border>
    <border>
      <right style="medium">
        <color rgb="FFF9F9F9"/>
      </right>
      <bottom style="thin">
        <color rgb="FFF9F9F9"/>
      </bottom>
    </border>
    <border>
      <bottom style="thin">
        <color rgb="FFF9F9F9"/>
      </bottom>
    </border>
    <border>
      <left style="medium">
        <color rgb="FFF8F8F8"/>
      </left>
      <right style="medium">
        <color rgb="FFF8F8F8"/>
      </right>
      <top style="medium">
        <color rgb="FFF8F8F8"/>
      </top>
      <bottom style="medium">
        <color rgb="FFF8F8F8"/>
      </bottom>
    </border>
    <border>
      <bottom style="medium">
        <color rgb="FFF9F9F9"/>
      </bottom>
    </border>
    <border>
      <right style="medium">
        <color rgb="FFF9F9F9"/>
      </right>
      <top style="medium">
        <color rgb="FFF9F9F9"/>
      </top>
      <bottom style="medium">
        <color rgb="FFF9F9F9"/>
      </bottom>
    </border>
    <border>
      <left style="medium">
        <color rgb="FFF9F9F9"/>
      </left>
    </border>
    <border>
      <right style="thin">
        <color rgb="FFF9F9F9"/>
      </right>
    </border>
    <border>
      <left style="thin">
        <color rgb="FFF9F9F9"/>
      </left>
      <right style="thin">
        <color rgb="FFF9F9F9"/>
      </right>
      <top style="thin">
        <color rgb="FFF9F9F9"/>
      </top>
      <bottom style="thin">
        <color rgb="FFF9F9F9"/>
      </bottom>
    </border>
    <border>
      <right style="thin">
        <color rgb="FFF9F9F9"/>
      </right>
      <top style="thin">
        <color rgb="FFF9F9F9"/>
      </top>
      <bottom style="thin">
        <color rgb="FFF9F9F9"/>
      </bottom>
    </border>
    <border>
      <right style="medium">
        <color rgb="FFF9F9F9"/>
      </right>
      <bottom style="medium">
        <color rgb="FFF9F9F9"/>
      </bottom>
    </border>
    <border>
      <left style="medium">
        <color rgb="FFF9F9F9"/>
      </left>
      <bottom style="medium">
        <color rgb="FFF9F9F9"/>
      </bottom>
    </border>
    <border>
      <right style="medium">
        <color rgb="FFF8F8F8"/>
      </right>
    </border>
    <border>
      <left style="medium">
        <color rgb="FFF9F9F9"/>
      </left>
      <top style="medium">
        <color rgb="FFF9F9F9"/>
      </top>
      <bottom style="medium">
        <color rgb="FFF9F9F9"/>
      </bottom>
    </border>
    <border>
      <bottom style="medium">
        <color rgb="FFF8F8F8"/>
      </bottom>
    </border>
    <border>
      <right style="medium">
        <color rgb="FFF8F8F8"/>
      </right>
      <bottom style="medium">
        <color rgb="FFF8F8F8"/>
      </bottom>
    </border>
    <border>
      <right style="medium">
        <color rgb="FFF9F9F9"/>
      </right>
      <top style="medium">
        <color rgb="FFF9F9F9"/>
      </top>
    </border>
    <border>
      <left style="medium">
        <color rgb="FFF9F9F9"/>
      </left>
      <top style="medium">
        <color rgb="FFF9F9F9"/>
      </top>
    </border>
    <border>
      <left style="medium">
        <color rgb="FFF9F9F9"/>
      </left>
      <right style="medium">
        <color rgb="FFF9F9F9"/>
      </right>
    </border>
    <border>
      <left style="thin">
        <color rgb="FFF9F9F9"/>
      </left>
      <top style="thin">
        <color rgb="FFF9F9F9"/>
      </top>
    </border>
    <border>
      <top style="thin">
        <color rgb="FFF9F9F9"/>
      </top>
    </border>
    <border>
      <right style="thin">
        <color rgb="FFF9F9F9"/>
      </right>
      <top style="thin">
        <color rgb="FFF9F9F9"/>
      </top>
    </border>
    <border>
      <left style="thin">
        <color rgb="FFF9F9F9"/>
      </left>
      <bottom style="thin">
        <color rgb="FFF9F9F9"/>
      </bottom>
    </border>
    <border>
      <left style="medium">
        <color rgb="FFF9F9F9"/>
      </left>
      <top style="medium">
        <color rgb="FFF9F9F9"/>
      </top>
      <bottom style="thin">
        <color rgb="FFF9F9F9"/>
      </bottom>
    </border>
    <border>
      <left style="medium">
        <color rgb="FFF9F9F9"/>
      </left>
      <right style="medium">
        <color rgb="FFF9F9F9"/>
      </right>
      <bottom style="medium">
        <color rgb="FFF9F9F9"/>
      </bottom>
    </border>
    <border>
      <left style="medium">
        <color rgb="FFF9F9F9"/>
      </left>
      <top style="thin">
        <color rgb="FFD9D9D9"/>
      </top>
      <bottom style="medium">
        <color rgb="FFF9F9F9"/>
      </bottom>
    </border>
    <border>
      <top style="thin">
        <color rgb="FFD9D9D9"/>
      </top>
      <bottom style="medium">
        <color rgb="FFF9F9F9"/>
      </bottom>
    </border>
    <border>
      <right style="medium">
        <color rgb="FFF9F9F9"/>
      </right>
      <top style="thin">
        <color rgb="FFD9D9D9"/>
      </top>
      <bottom style="medium">
        <color rgb="FFF9F9F9"/>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F9F9F9"/>
      </left>
    </border>
    <border>
      <left style="hair">
        <color rgb="FFD6D6D6"/>
      </left>
      <top style="hair">
        <color rgb="FFD6D6D6"/>
      </top>
      <bottom style="hair">
        <color rgb="FFD6D6D6"/>
      </bottom>
    </border>
    <border>
      <top style="hair">
        <color rgb="FFD6D6D6"/>
      </top>
      <bottom style="hair">
        <color rgb="FFD6D6D6"/>
      </bottom>
    </border>
    <border>
      <right style="hair">
        <color rgb="FFD6D6D6"/>
      </right>
      <top style="hair">
        <color rgb="FFD6D6D6"/>
      </top>
      <bottom style="hair">
        <color rgb="FFD6D6D6"/>
      </bottom>
    </border>
    <border>
      <left style="thin">
        <color rgb="FFF9F9F9"/>
      </left>
      <right style="thin">
        <color rgb="FFF9F9F9"/>
      </right>
      <bottom style="thin">
        <color rgb="FFF9F9F9"/>
      </bottom>
    </border>
    <border>
      <top style="medium">
        <color rgb="FFF9F9F9"/>
      </top>
      <bottom style="medium">
        <color rgb="FFF9F9F9"/>
      </bottom>
    </border>
    <border>
      <right style="thin">
        <color rgb="FFD9D9D9"/>
      </right>
      <bottom style="medium">
        <color rgb="FFF5F5F5"/>
      </bottom>
    </border>
    <border>
      <bottom style="dotted"/>
    </border>
    <border>
      <top style="dotted"/>
      <bottom style="dotted"/>
    </border>
    <border>
      <left style="dotted"/>
      <top style="dotted"/>
      <bottom style="dotted"/>
    </border>
    <border>
      <left style="dotted"/>
      <right style="dotted"/>
      <top style="dotted"/>
      <bottom style="dotted"/>
    </border>
    <border>
      <left style="dotted"/>
      <right style="dotted"/>
      <top style="dotted"/>
      <bottom style="dotted">
        <color rgb="FF999999"/>
      </bottom>
    </border>
    <border>
      <left style="dotted"/>
      <right style="dotted"/>
      <top style="dotted">
        <color rgb="FF999999"/>
      </top>
      <bottom style="dotted">
        <color rgb="FF999999"/>
      </bottom>
    </border>
    <border>
      <left style="dotted">
        <color rgb="FF999999"/>
      </left>
      <right style="dotted"/>
      <top style="dotted">
        <color rgb="FF999999"/>
      </top>
      <bottom style="dotted">
        <color rgb="FF999999"/>
      </bottom>
    </border>
    <border>
      <left style="dotted">
        <color rgb="FF999999"/>
      </left>
      <right style="dotted">
        <color rgb="FF999999"/>
      </right>
      <top style="dotted">
        <color rgb="FF999999"/>
      </top>
      <bottom style="dotted">
        <color rgb="FF999999"/>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999999"/>
      </bottom>
    </border>
    <border>
      <left style="thin"/>
      <right style="thin"/>
      <top style="thin">
        <color rgb="FF999999"/>
      </top>
      <bottom style="thin">
        <color rgb="FF999999"/>
      </bottom>
    </border>
    <border>
      <left style="thin">
        <color rgb="FF999999"/>
      </left>
      <right style="thin"/>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20">
    <xf borderId="0" fillId="0" fontId="0" numFmtId="49" xfId="0" applyAlignment="1" applyFont="1" applyNumberFormat="true">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ont="1">
      <alignment horizontal="left" vertical="center"/>
    </xf>
    <xf borderId="3" fillId="0" fontId="3" numFmtId="0" xfId="0" applyBorder="1" applyFont="1"/>
    <xf borderId="4" fillId="0" fontId="3" numFmtId="0" xfId="0" applyBorder="1" applyFont="1"/>
    <xf borderId="0" fillId="2" fontId="4" numFmtId="0" xfId="0" applyAlignment="1" applyFont="1">
      <alignment horizontal="left"/>
    </xf>
    <xf borderId="5" fillId="2" fontId="1" numFmtId="0" xfId="0" applyAlignment="1" applyBorder="1" applyFont="1">
      <alignment horizontal="center" vertical="center"/>
    </xf>
    <xf borderId="6" fillId="0" fontId="3" numFmtId="0" xfId="0" applyBorder="1" applyFont="1"/>
    <xf borderId="7" fillId="0" fontId="3" numFmtId="0" xfId="0" applyBorder="1" applyFont="1"/>
    <xf borderId="8" fillId="3" fontId="1" numFmtId="0" xfId="0" applyAlignment="1" applyBorder="1" applyFill="1" applyFont="1">
      <alignment horizontal="center" vertical="center"/>
    </xf>
    <xf borderId="9" fillId="0" fontId="3" numFmtId="0" xfId="0" applyBorder="1" applyFont="1"/>
    <xf borderId="10" fillId="0" fontId="3" numFmtId="0" xfId="0" applyBorder="1" applyFont="1"/>
    <xf borderId="11" fillId="4" fontId="5" numFmtId="0" xfId="0" applyBorder="1" applyFill="1" applyFont="1"/>
    <xf borderId="12" fillId="4" fontId="5" numFmtId="0" xfId="0" applyBorder="1" applyFont="1"/>
    <xf borderId="13" fillId="5" fontId="5" numFmtId="0" xfId="0" applyBorder="1" applyFill="1" applyFont="1"/>
    <xf borderId="14" fillId="5" fontId="5" numFmtId="0" xfId="0" applyBorder="1" applyFont="1"/>
    <xf borderId="14" fillId="0" fontId="3" numFmtId="0" xfId="0" applyBorder="1" applyFont="1"/>
    <xf borderId="15" fillId="0" fontId="3" numFmtId="0" xfId="0" applyBorder="1" applyFont="1"/>
    <xf borderId="16" fillId="4" fontId="5" numFmtId="0" xfId="0" applyBorder="1" applyFont="1"/>
    <xf borderId="16" fillId="4" fontId="6" numFmtId="0" xfId="0" applyBorder="1" applyFont="1"/>
    <xf borderId="17" fillId="0" fontId="3" numFmtId="0" xfId="0" applyBorder="1" applyFont="1"/>
    <xf borderId="18" fillId="0" fontId="3" numFmtId="0" xfId="0" applyBorder="1" applyFont="1"/>
    <xf borderId="19" fillId="5" fontId="7" numFmtId="0" xfId="0" applyAlignment="1" applyBorder="1" applyFont="1">
      <alignment shrinkToFit="0" vertical="bottom" wrapText="0"/>
    </xf>
    <xf borderId="20" fillId="5" fontId="5" numFmtId="0" xfId="0" applyAlignment="1" applyBorder="1" applyFont="1">
      <alignment vertical="bottom"/>
    </xf>
    <xf borderId="21" fillId="5" fontId="5" numFmtId="0" xfId="0" applyAlignment="1" applyBorder="1" applyFont="1">
      <alignment vertical="bottom"/>
    </xf>
    <xf borderId="22" fillId="5" fontId="5" numFmtId="0" xfId="0" applyBorder="1" applyFont="1"/>
    <xf borderId="23" fillId="4" fontId="5" numFmtId="0" xfId="0" applyBorder="1" applyFont="1"/>
    <xf borderId="23" fillId="4" fontId="5" numFmtId="49" xfId="0" applyAlignment="1" applyBorder="1" applyFont="1" applyNumberFormat="1">
      <alignment horizontal="right"/>
    </xf>
    <xf borderId="24" fillId="5" fontId="5" numFmtId="0" xfId="0" applyAlignment="1" applyBorder="1" applyFont="1">
      <alignment vertical="bottom"/>
    </xf>
    <xf borderId="25" fillId="5" fontId="5" numFmtId="0" xfId="0" applyAlignment="1" applyBorder="1" applyFont="1">
      <alignment vertical="bottom"/>
    </xf>
    <xf borderId="26" fillId="5" fontId="5" numFmtId="0" xfId="0" applyAlignment="1" applyBorder="1" applyFont="1">
      <alignment vertical="bottom"/>
    </xf>
    <xf borderId="27" fillId="5" fontId="5" numFmtId="0" xfId="0" applyBorder="1" applyFont="1"/>
    <xf borderId="23" fillId="4" fontId="8" numFmtId="49" xfId="0" applyAlignment="1" applyBorder="1" applyFont="1" applyNumberFormat="1">
      <alignment horizontal="right" vertical="center"/>
    </xf>
    <xf borderId="23" fillId="4" fontId="5" numFmtId="0" xfId="0" applyAlignment="1" applyBorder="1" applyFont="1">
      <alignment vertical="center"/>
    </xf>
    <xf borderId="28" fillId="5" fontId="5" numFmtId="0" xfId="0" applyAlignment="1" applyBorder="1" applyFont="1">
      <alignment vertical="bottom"/>
    </xf>
    <xf borderId="29" fillId="5" fontId="8" numFmtId="0" xfId="0" applyBorder="1" applyFont="1"/>
    <xf borderId="29" fillId="0" fontId="3" numFmtId="0" xfId="0" applyBorder="1" applyFont="1"/>
    <xf borderId="28" fillId="0" fontId="3" numFmtId="0" xfId="0" applyBorder="1" applyFont="1"/>
    <xf borderId="30" fillId="6" fontId="8" numFmtId="0" xfId="0" applyAlignment="1" applyBorder="1" applyFill="1" applyFont="1">
      <alignment shrinkToFit="0" vertical="center" wrapText="1"/>
    </xf>
    <xf borderId="25" fillId="5" fontId="5" numFmtId="0" xfId="0" applyAlignment="1" applyBorder="1" applyFont="1">
      <alignment vertical="top"/>
    </xf>
    <xf borderId="31" fillId="5" fontId="9" numFmtId="0" xfId="0" applyAlignment="1" applyBorder="1" applyFont="1">
      <alignment shrinkToFit="0" vertical="top" wrapText="1"/>
    </xf>
    <xf borderId="31" fillId="0" fontId="3" numFmtId="0" xfId="0" applyBorder="1" applyFont="1"/>
    <xf borderId="26" fillId="0" fontId="3" numFmtId="0" xfId="0" applyBorder="1" applyFont="1"/>
    <xf borderId="29" fillId="5" fontId="8" numFmtId="0" xfId="0" applyAlignment="1" applyBorder="1" applyFont="1">
      <alignment shrinkToFit="0" vertical="center" wrapText="1"/>
    </xf>
    <xf borderId="30" fillId="6" fontId="5" numFmtId="0" xfId="0" applyBorder="1" applyFont="1"/>
    <xf borderId="0" fillId="5" fontId="5" numFmtId="0" xfId="0" applyFont="1"/>
    <xf borderId="32" fillId="5" fontId="5" numFmtId="0" xfId="0" applyBorder="1" applyFont="1"/>
    <xf borderId="33" fillId="5" fontId="7" numFmtId="0" xfId="0" applyAlignment="1" applyBorder="1" applyFont="1">
      <alignment vertical="bottom"/>
    </xf>
    <xf borderId="34" fillId="0" fontId="3" numFmtId="0" xfId="0" applyBorder="1" applyFont="1"/>
    <xf borderId="23" fillId="4" fontId="5" numFmtId="49" xfId="0" applyAlignment="1" applyBorder="1" applyFont="1" applyNumberFormat="1">
      <alignment horizontal="right" vertical="center"/>
    </xf>
    <xf borderId="35" fillId="5" fontId="5" numFmtId="0" xfId="0" applyBorder="1" applyFont="1"/>
    <xf borderId="36" fillId="5" fontId="5" numFmtId="0" xfId="0" applyBorder="1" applyFont="1"/>
    <xf borderId="37" fillId="5" fontId="5" numFmtId="0" xfId="0" applyBorder="1" applyFont="1"/>
    <xf borderId="38" fillId="5" fontId="5" numFmtId="0" xfId="0" applyBorder="1" applyFont="1"/>
    <xf borderId="0" fillId="6" fontId="8" numFmtId="0" xfId="0" applyAlignment="1" applyFont="1">
      <alignment shrinkToFit="0" vertical="center" wrapText="1"/>
    </xf>
    <xf borderId="39" fillId="0" fontId="3" numFmtId="0" xfId="0" applyBorder="1" applyFont="1"/>
    <xf borderId="40" fillId="5" fontId="5" numFmtId="0" xfId="0" applyBorder="1" applyFont="1"/>
    <xf borderId="41" fillId="0" fontId="3" numFmtId="0" xfId="0" applyBorder="1" applyFont="1"/>
    <xf borderId="42" fillId="0" fontId="3" numFmtId="0" xfId="0" applyBorder="1" applyFont="1"/>
    <xf borderId="43" fillId="5" fontId="5" numFmtId="0" xfId="0" applyBorder="1" applyFont="1"/>
    <xf borderId="44" fillId="5" fontId="5" numFmtId="0" xfId="0" applyBorder="1" applyFont="1"/>
    <xf borderId="45" fillId="5" fontId="5" numFmtId="0" xfId="0" applyBorder="1" applyFont="1"/>
    <xf borderId="46" fillId="6" fontId="8" numFmtId="0" xfId="0" applyAlignment="1" applyBorder="1" applyFont="1">
      <alignment shrinkToFit="0" vertical="center" wrapText="1"/>
    </xf>
    <xf borderId="47" fillId="0" fontId="3" numFmtId="0" xfId="0" applyBorder="1" applyFont="1"/>
    <xf borderId="48" fillId="0" fontId="3" numFmtId="0" xfId="0" applyBorder="1" applyFont="1"/>
    <xf borderId="49" fillId="0" fontId="3" numFmtId="0" xfId="0" applyBorder="1" applyFont="1"/>
    <xf borderId="25" fillId="0" fontId="3" numFmtId="0" xfId="0" applyBorder="1" applyFont="1"/>
    <xf borderId="35" fillId="6" fontId="8" numFmtId="0" xfId="0" applyAlignment="1" applyBorder="1" applyFont="1">
      <alignment shrinkToFit="0" vertical="center" wrapText="1"/>
    </xf>
    <xf borderId="23" fillId="4" fontId="5" numFmtId="49" xfId="0" applyAlignment="1" applyBorder="1" applyFont="1" applyNumberFormat="1">
      <alignment vertical="center"/>
    </xf>
    <xf borderId="46" fillId="5" fontId="8" numFmtId="0" xfId="0" applyAlignment="1" applyBorder="1" applyFont="1">
      <alignment shrinkToFit="0" vertical="center" wrapText="1"/>
    </xf>
    <xf borderId="21" fillId="5" fontId="5" numFmtId="0" xfId="0" applyBorder="1" applyFont="1"/>
    <xf borderId="50" fillId="5" fontId="5" numFmtId="0" xfId="0" applyBorder="1" applyFont="1"/>
    <xf borderId="51" fillId="5" fontId="5" numFmtId="0" xfId="0" applyBorder="1" applyFont="1"/>
    <xf borderId="52" fillId="5" fontId="5" numFmtId="0" xfId="0" applyBorder="1" applyFont="1"/>
    <xf borderId="53" fillId="0" fontId="3" numFmtId="0" xfId="0" applyBorder="1" applyFont="1"/>
    <xf borderId="54" fillId="0" fontId="3" numFmtId="0" xfId="0" applyBorder="1" applyFont="1"/>
    <xf borderId="22" fillId="5" fontId="7" numFmtId="0" xfId="0" applyBorder="1" applyFont="1"/>
    <xf borderId="22" fillId="5" fontId="10" numFmtId="0" xfId="0" applyBorder="1" applyFont="1"/>
    <xf borderId="27" fillId="5" fontId="10" numFmtId="0" xfId="0" applyBorder="1" applyFont="1"/>
    <xf borderId="55" fillId="7" fontId="5" numFmtId="0" xfId="0" applyBorder="1" applyFill="1" applyFont="1"/>
    <xf borderId="56" fillId="0" fontId="3" numFmtId="0" xfId="0" applyBorder="1" applyFont="1"/>
    <xf borderId="57" fillId="0" fontId="3" numFmtId="0" xfId="0" applyBorder="1" applyFont="1"/>
    <xf borderId="22" fillId="5" fontId="8" numFmtId="0" xfId="0" applyAlignment="1" applyBorder="1" applyFont="1">
      <alignment vertical="center"/>
    </xf>
    <xf borderId="58" fillId="5" fontId="5" numFmtId="0" xfId="0" applyBorder="1" applyFont="1"/>
    <xf borderId="59" fillId="8" fontId="11" numFmtId="0" xfId="0" applyAlignment="1" applyBorder="1" applyFill="1" applyFont="1">
      <alignment horizontal="center" vertical="center"/>
    </xf>
    <xf borderId="60" fillId="0" fontId="3" numFmtId="0" xfId="0" applyBorder="1" applyFont="1"/>
    <xf borderId="61" fillId="0" fontId="3" numFmtId="0" xfId="0" applyBorder="1" applyFont="1"/>
    <xf borderId="27" fillId="5" fontId="8" numFmtId="0" xfId="0" applyAlignment="1" applyBorder="1" applyFont="1">
      <alignment vertical="center"/>
    </xf>
    <xf borderId="62" fillId="5" fontId="5" numFmtId="0" xfId="0" applyBorder="1" applyFont="1"/>
    <xf borderId="40" fillId="5" fontId="12" numFmtId="0" xfId="0" applyAlignment="1" applyBorder="1" applyFont="1">
      <alignment horizontal="left" vertical="center"/>
    </xf>
    <xf borderId="63" fillId="0" fontId="3" numFmtId="0" xfId="0" applyBorder="1" applyFont="1"/>
    <xf borderId="32" fillId="0" fontId="3" numFmtId="0" xfId="0" applyBorder="1" applyFont="1"/>
    <xf borderId="22" fillId="5" fontId="5" numFmtId="0" xfId="0" applyAlignment="1" applyBorder="1" applyFont="1">
      <alignment vertical="bottom"/>
    </xf>
    <xf borderId="0" fillId="5" fontId="5" numFmtId="0" xfId="0" applyAlignment="1" applyFont="1">
      <alignment vertical="top"/>
    </xf>
    <xf borderId="37" fillId="0" fontId="3" numFmtId="0" xfId="0" applyBorder="1" applyFont="1"/>
    <xf borderId="64" fillId="0" fontId="3" numFmtId="0" xfId="0" applyBorder="1" applyFont="1"/>
    <xf numFmtId="0" fontId="13" fillId="10" borderId="0" xfId="0" applyFont="true" applyFill="true">
      <alignment wrapText="false"/>
      <protection locked="false"/>
    </xf>
    <xf numFmtId="0" fontId="14" fillId="10" borderId="0" xfId="0" applyFont="true" applyFill="true" applyAlignment="true">
      <alignment horizontal="left" vertical="center" wrapText="false"/>
      <protection locked="false"/>
    </xf>
    <xf numFmtId="0" fontId="15" fillId="10" borderId="0" xfId="0" applyFont="true" applyFill="true">
      <alignment wrapText="false"/>
      <protection locked="false"/>
    </xf>
    <xf numFmtId="0" fontId="16" fillId="10" borderId="0" xfId="0" applyFont="true" applyFill="true" applyAlignment="true">
      <alignment vertical="center" wrapText="true"/>
      <protection locked="false"/>
    </xf>
    <xf numFmtId="0" fontId="17" fillId="12" borderId="72" xfId="0" applyFont="true" applyFill="true" applyAlignment="true" applyBorder="true">
      <alignment horizontal="center" vertical="center" wrapText="false"/>
      <protection locked="true"/>
    </xf>
    <xf numFmtId="0" fontId="18" fillId="0" borderId="0" xfId="0" applyFont="true" applyBorder="true">
      <alignment wrapText="false"/>
      <protection locked="false"/>
    </xf>
    <xf numFmtId="0" fontId="19" fillId="14" borderId="80" xfId="0" applyFont="true" applyFill="true" applyAlignment="true" applyBorder="true">
      <alignment horizontal="center" vertical="center" wrapText="false"/>
      <protection locked="true"/>
    </xf>
    <xf numFmtId="0" fontId="20" fillId="16" borderId="0" xfId="0" applyFont="true" applyFill="true" applyAlignment="true">
      <alignment horizontal="center" vertical="center" wrapText="true"/>
      <protection locked="false"/>
    </xf>
    <xf numFmtId="0" fontId="21" fillId="18" borderId="0" xfId="0" applyFont="true" applyFill="true" applyAlignment="true">
      <alignment horizontal="center" vertical="center" wrapText="true"/>
      <protection locked="false"/>
    </xf>
    <xf numFmtId="0" fontId="22" fillId="20" borderId="0" xfId="0" applyFont="true" applyFill="true" applyAlignment="true">
      <alignment horizontal="center" vertical="center" wrapText="true"/>
      <protection locked="false"/>
    </xf>
    <xf numFmtId="0" fontId="23" fillId="22" borderId="0" xfId="0" applyFont="true" applyFill="true" applyAlignment="true">
      <alignment horizontal="center" vertical="center" wrapText="true"/>
      <protection locked="false"/>
    </xf>
    <xf numFmtId="0" fontId="24" fillId="24" borderId="0" xfId="0" applyFont="true" applyFill="true" applyAlignment="true">
      <alignment horizontal="center" vertical="center" wrapText="true"/>
      <protection locked="false"/>
    </xf>
    <xf numFmtId="0" fontId="25" fillId="26" borderId="0" xfId="0" applyFont="true" applyFill="true" applyAlignment="true">
      <alignment horizontal="center" vertical="center" wrapText="true"/>
      <protection locked="false"/>
    </xf>
    <xf numFmtId="0" fontId="26" fillId="28" borderId="0" xfId="0" applyFont="true" applyFill="true" applyAlignment="true">
      <alignment horizontal="center" vertical="center" wrapText="true"/>
      <protection locked="false"/>
    </xf>
    <xf numFmtId="0" fontId="27" fillId="30" borderId="0" xfId="0" applyFont="true" applyFill="true" applyAlignment="true">
      <alignment horizontal="center" vertical="center" wrapText="true"/>
      <protection locked="false"/>
    </xf>
    <xf numFmtId="0" fontId="28" fillId="32" borderId="0" xfId="0" applyFont="true" applyFill="true" applyAlignment="true">
      <alignment horizontal="center" vertical="center" wrapText="true"/>
      <protection locked="false"/>
    </xf>
    <xf numFmtId="0" fontId="29" fillId="34" borderId="0" xfId="0" applyFont="true" applyFill="true" applyAlignment="true">
      <alignment horizontal="center" vertical="center" wrapText="true"/>
      <protection locked="false"/>
    </xf>
    <xf numFmtId="0" fontId="30" fillId="36" borderId="0" xfId="0" applyFont="true" applyFill="true" applyAlignment="true">
      <alignment horizontal="center" vertical="center" wrapText="true"/>
      <protection locked="false"/>
    </xf>
    <xf numFmtId="0" fontId="31" fillId="12" borderId="80" xfId="0" applyFont="true" applyFill="true" applyAlignment="true" applyBorder="true">
      <alignment horizontal="center" vertical="center" wrapText="false"/>
      <protection locked="true"/>
    </xf>
    <xf numFmtId="0" fontId="32" fillId="0" borderId="80" xfId="0" applyFont="true" applyAlignment="true" applyBorder="true">
      <alignment horizontal="left" vertical="center" wrapText="false"/>
      <protection locked="false"/>
    </xf>
    <xf numFmtId="0" fontId="33" fillId="0" borderId="80" xfId="0" applyFont="true" applyAlignment="true" applyBorder="true">
      <alignment horizontal="center" vertical="center" wrapText="false"/>
      <protection locked="false"/>
    </xf>
    <xf numFmtId="0" fontId="34" fillId="0" borderId="80" xfId="0" applyFont="true" applyAlignment="true" applyBorder="true">
      <alignment horizontal="center" vertical="center" wrapText="true"/>
      <protection locked="false"/>
    </xf>
    <xf numFmtId="0" fontId="35" fillId="0" borderId="80" xfId="0" applyFont="true" applyAlignment="true" applyBorder="true">
      <alignment horizontal="left" vertical="center" wrapText="true"/>
      <protection locked="false"/>
    </xf>
    <xf numFmtId="0" fontId="36" fillId="12" borderId="80" xfId="0" applyFont="true" applyFill="true" applyAlignment="true" applyBorder="true">
      <alignment horizontal="justify" vertical="center" wrapText="true"/>
      <protection locked="true"/>
    </xf>
  </cellXfs>
  <cellStyles count="1">
    <cellStyle xfId="0" name="Normal" builtinId="0"/>
  </cellStyles>
  <dxfs count="3676">
    <dxf>
      <font/>
      <fill>
        <patternFill patternType="solid">
          <fgColor rgb="FFB7E1CD"/>
          <bgColor rgb="FFB7E1CD"/>
        </patternFill>
      </fill>
      <border/>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3.png" Type="http://schemas.openxmlformats.org/officeDocument/2006/relationships/image"/><Relationship Id="rId3" Target="../media/image4.png" Type="http://schemas.openxmlformats.org/officeDocument/2006/relationships/image"/><Relationship Id="rId4" Target="../media/image2.png" Type="http://schemas.openxmlformats.org/officeDocument/2006/relationships/image"/><Relationship Id="rId5" Target="../media/image6.png" Type="http://schemas.openxmlformats.org/officeDocument/2006/relationships/image"/><Relationship Id="rId6"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17</xdr:row>
      <xdr:rowOff>85725</xdr:rowOff>
    </xdr:from>
    <xdr:ext cx="1143000" cy="333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20</xdr:row>
      <xdr:rowOff>76200</xdr:rowOff>
    </xdr:from>
    <xdr:ext cx="1152525" cy="3429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209550</xdr:colOff>
      <xdr:row>8</xdr:row>
      <xdr:rowOff>104775</xdr:rowOff>
    </xdr:from>
    <xdr:ext cx="495300" cy="495300"/>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85725</xdr:colOff>
      <xdr:row>14</xdr:row>
      <xdr:rowOff>104775</xdr:rowOff>
    </xdr:from>
    <xdr:ext cx="1152525" cy="33337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447675</xdr:colOff>
      <xdr:row>35</xdr:row>
      <xdr:rowOff>76200</xdr:rowOff>
    </xdr:from>
    <xdr:ext cx="1019175" cy="390525"/>
    <xdr:pic>
      <xdr:nvPicPr>
        <xdr:cNvPr id="0" name="image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xdr:row>
      <xdr:rowOff>0</xdr:rowOff>
    </xdr:from>
    <xdr:ext cx="400050" cy="28575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mercadolivre.com.br/anuncios/edicao-em-excel/uploa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dimension ref="A1:O1000"/>
  <sheetViews>
    <sheetView workbookViewId="0"/>
  </sheetViews>
  <sheetFormatPr customHeight="1" defaultColWidth="12.63" defaultRowHeight="15.0"/>
  <cols>
    <col min="1" max="1" customWidth="true" width="12.13"/>
    <col min="2" max="2" customWidth="true" width="6.25"/>
    <col min="3" max="3" customWidth="true" width="1.25"/>
    <col min="4" max="4" customWidth="true" width="32.0"/>
    <col min="5" max="7" customWidth="true" width="6.13"/>
    <col min="8" max="10" customWidth="true" width="7.63"/>
    <col min="11" max="11" customWidth="true" width="1.88"/>
    <col min="12" max="14" customWidth="true" width="14.38"/>
    <col min="15" max="15" customWidth="true" width="12.13"/>
    <col min="16" max="26" customWidth="true" width="14.38"/>
  </cols>
  <sheetData>
    <row r="1" ht="24.0" customHeight="1">
      <c r="A1" s="1"/>
      <c r="B1" s="1"/>
      <c r="C1" s="1"/>
      <c r="D1" s="1"/>
      <c r="E1" s="1"/>
      <c r="F1" s="1"/>
      <c r="G1" s="1"/>
      <c r="H1" s="1"/>
      <c r="I1" s="1"/>
      <c r="J1" s="1"/>
      <c r="K1" s="1"/>
      <c r="L1" s="1"/>
      <c r="M1" s="1"/>
      <c r="N1" s="1"/>
      <c r="O1" s="1"/>
    </row>
    <row r="2" ht="22.5" customHeight="1">
      <c r="A2" s="1"/>
      <c r="B2" s="2" t="s">
        <v>0</v>
      </c>
      <c r="C2" s="3"/>
      <c r="D2" s="3"/>
      <c r="E2" s="3"/>
      <c r="F2" s="3"/>
      <c r="G2" s="3"/>
      <c r="H2" s="3"/>
      <c r="I2" s="3"/>
      <c r="J2" s="3"/>
      <c r="K2" s="3"/>
      <c r="L2" s="3"/>
      <c r="M2" s="3"/>
      <c r="N2" s="4"/>
      <c r="O2" s="1"/>
    </row>
    <row r="3" ht="18.75" customHeight="1">
      <c r="A3" s="1"/>
      <c r="B3" s="5" t="s">
        <v>1</v>
      </c>
      <c r="O3" s="1"/>
    </row>
    <row r="4" ht="30.0" customHeight="1">
      <c r="A4" s="6"/>
      <c r="B4" s="7"/>
      <c r="C4" s="7"/>
      <c r="D4" s="7"/>
      <c r="E4" s="7"/>
      <c r="F4" s="7"/>
      <c r="G4" s="7"/>
      <c r="H4" s="7"/>
      <c r="I4" s="7"/>
      <c r="J4" s="7"/>
      <c r="K4" s="7"/>
      <c r="L4" s="7"/>
      <c r="M4" s="7"/>
      <c r="N4" s="7"/>
      <c r="O4" s="8"/>
    </row>
    <row r="5" ht="3.0" customHeight="1">
      <c r="A5" s="9"/>
      <c r="B5" s="10"/>
      <c r="C5" s="10"/>
      <c r="D5" s="10"/>
      <c r="E5" s="10"/>
      <c r="F5" s="10"/>
      <c r="G5" s="10"/>
      <c r="H5" s="10"/>
      <c r="I5" s="10"/>
      <c r="J5" s="10"/>
      <c r="K5" s="10"/>
      <c r="L5" s="10"/>
      <c r="M5" s="10"/>
      <c r="N5" s="10"/>
      <c r="O5" s="11"/>
    </row>
    <row r="6" ht="24.0" customHeight="1">
      <c r="A6" s="12"/>
      <c r="B6" s="12"/>
      <c r="C6" s="12"/>
      <c r="D6" s="12"/>
      <c r="E6" s="13"/>
      <c r="F6" s="14"/>
      <c r="G6" s="15"/>
      <c r="H6" s="16"/>
      <c r="I6" s="16"/>
      <c r="J6" s="16"/>
      <c r="K6" s="16"/>
      <c r="L6" s="16"/>
      <c r="M6" s="16"/>
      <c r="N6" s="16"/>
      <c r="O6" s="17"/>
    </row>
    <row r="7" ht="18.75" customHeight="1">
      <c r="A7" s="18"/>
      <c r="B7" s="19" t="s">
        <v>2</v>
      </c>
      <c r="C7" s="18"/>
      <c r="D7" s="18"/>
      <c r="E7" s="20"/>
      <c r="F7" s="21"/>
      <c r="G7" s="22" t="s">
        <v>3</v>
      </c>
      <c r="H7" s="23"/>
      <c r="I7" s="24"/>
      <c r="J7" s="24"/>
      <c r="K7" s="24"/>
      <c r="L7" s="24"/>
      <c r="M7" s="24"/>
      <c r="N7" s="24"/>
      <c r="O7" s="25"/>
    </row>
    <row r="8" ht="18.75" customHeight="1">
      <c r="A8" s="26"/>
      <c r="B8" s="27"/>
      <c r="C8" s="26"/>
      <c r="D8" s="26"/>
      <c r="E8" s="20"/>
      <c r="F8" s="21"/>
      <c r="G8" s="28"/>
      <c r="H8" s="29"/>
      <c r="I8" s="30"/>
      <c r="J8" s="30"/>
      <c r="K8" s="30"/>
      <c r="L8" s="30"/>
      <c r="M8" s="30"/>
      <c r="N8" s="30"/>
      <c r="O8" s="31"/>
    </row>
    <row r="9" ht="18.75" customHeight="1">
      <c r="A9" s="26"/>
      <c r="B9" s="32"/>
      <c r="C9" s="33"/>
      <c r="D9" s="33"/>
      <c r="E9" s="20"/>
      <c r="F9" s="21"/>
      <c r="G9" s="28"/>
      <c r="H9" s="34"/>
      <c r="I9" s="35" t="s">
        <v>4</v>
      </c>
      <c r="J9" s="36"/>
      <c r="K9" s="36"/>
      <c r="L9" s="36"/>
      <c r="M9" s="36"/>
      <c r="N9" s="37"/>
      <c r="O9" s="38"/>
    </row>
    <row r="10" ht="18.75" customHeight="1">
      <c r="A10" s="26"/>
      <c r="B10" s="32"/>
      <c r="C10" s="33"/>
      <c r="D10" s="33"/>
      <c r="E10" s="20"/>
      <c r="F10" s="21"/>
      <c r="G10" s="28"/>
      <c r="H10" s="39"/>
      <c r="I10" s="96" t="s">
        <v>15</v>
      </c>
      <c r="J10" s="41"/>
      <c r="K10" s="41"/>
      <c r="L10" s="41"/>
      <c r="M10" s="41"/>
      <c r="N10" s="42"/>
      <c r="O10" s="38"/>
    </row>
    <row r="11" ht="18.75" customHeight="1">
      <c r="A11" s="26"/>
      <c r="B11" s="32"/>
      <c r="C11" s="33"/>
      <c r="D11" s="33"/>
      <c r="E11" s="20"/>
      <c r="F11" s="21"/>
      <c r="G11" s="28"/>
      <c r="H11" s="34"/>
      <c r="I11" s="97" t="s">
        <v>16</v>
      </c>
      <c r="J11" s="36"/>
      <c r="K11" s="36"/>
      <c r="L11" s="36"/>
      <c r="M11" s="36"/>
      <c r="N11" s="37"/>
      <c r="O11" s="44"/>
    </row>
    <row r="12" ht="19.5" customHeight="1">
      <c r="A12" s="26"/>
      <c r="B12" s="32"/>
      <c r="C12" s="33"/>
      <c r="D12" s="33"/>
      <c r="E12" s="20"/>
      <c r="F12" s="21"/>
      <c r="G12" s="45"/>
      <c r="N12" s="21"/>
      <c r="O12" s="46"/>
    </row>
    <row r="13" ht="39.0" customHeight="1">
      <c r="A13" s="26"/>
      <c r="B13" s="32"/>
      <c r="C13" s="33"/>
      <c r="D13" s="33"/>
      <c r="E13" s="20"/>
      <c r="F13" s="21"/>
      <c r="G13" s="47" t="s">
        <v>5</v>
      </c>
      <c r="N13" s="48"/>
      <c r="O13" s="31"/>
    </row>
    <row r="14" ht="18.75" customHeight="1">
      <c r="A14" s="26"/>
      <c r="B14" s="49"/>
      <c r="C14" s="33"/>
      <c r="D14" s="33"/>
      <c r="E14" s="20"/>
      <c r="F14" s="21"/>
      <c r="G14" s="50"/>
      <c r="H14" s="50"/>
      <c r="I14" s="50"/>
      <c r="J14" s="50"/>
      <c r="K14" s="50"/>
      <c r="L14" s="50"/>
      <c r="M14" s="50"/>
      <c r="N14" s="50"/>
      <c r="O14" s="51"/>
    </row>
    <row r="15" ht="18.75" customHeight="1">
      <c r="A15" s="26"/>
      <c r="B15" s="49"/>
      <c r="C15" s="33"/>
      <c r="D15" s="33"/>
      <c r="E15" s="20"/>
      <c r="F15" s="21"/>
      <c r="G15" s="52"/>
      <c r="H15" s="53"/>
      <c r="I15" s="50"/>
      <c r="J15" s="50"/>
      <c r="K15" s="50"/>
      <c r="L15" s="54" t="s">
        <v>6</v>
      </c>
      <c r="N15" s="55"/>
      <c r="O15" s="50"/>
    </row>
    <row r="16" ht="18.75" customHeight="1">
      <c r="A16" s="26"/>
      <c r="B16" s="49"/>
      <c r="C16" s="33"/>
      <c r="D16" s="33"/>
      <c r="E16" s="20"/>
      <c r="F16" s="21"/>
      <c r="G16" s="46"/>
      <c r="H16" s="56"/>
      <c r="I16" s="50"/>
      <c r="J16" s="50"/>
      <c r="K16" s="50"/>
      <c r="L16" s="57"/>
      <c r="M16" s="57"/>
      <c r="N16" s="58"/>
      <c r="O16" s="51"/>
    </row>
    <row r="17" ht="18.75" customHeight="1">
      <c r="A17" s="26"/>
      <c r="B17" s="49"/>
      <c r="C17" s="33"/>
      <c r="D17" s="33"/>
      <c r="E17" s="20"/>
      <c r="F17" s="21"/>
      <c r="G17" s="59"/>
      <c r="H17" s="60"/>
      <c r="I17" s="50"/>
      <c r="J17" s="50"/>
      <c r="K17" s="50"/>
      <c r="L17" s="61"/>
      <c r="M17" s="61"/>
      <c r="N17" s="61"/>
      <c r="O17" s="50"/>
    </row>
    <row r="18" ht="18.75" customHeight="1">
      <c r="A18" s="26"/>
      <c r="B18" s="49"/>
      <c r="C18" s="33"/>
      <c r="D18" s="33"/>
      <c r="E18" s="20"/>
      <c r="F18" s="21"/>
      <c r="G18" s="59"/>
      <c r="H18" s="60"/>
      <c r="I18" s="50"/>
      <c r="J18" s="50"/>
      <c r="K18" s="50"/>
      <c r="L18" s="62" t="s">
        <v>7</v>
      </c>
      <c r="M18" s="63"/>
      <c r="N18" s="64"/>
      <c r="O18" s="50"/>
    </row>
    <row r="19" ht="18.75" customHeight="1">
      <c r="A19" s="26"/>
      <c r="B19" s="49"/>
      <c r="C19" s="33"/>
      <c r="D19" s="33"/>
      <c r="E19" s="20"/>
      <c r="F19" s="21"/>
      <c r="G19" s="59"/>
      <c r="H19" s="60"/>
      <c r="I19" s="50"/>
      <c r="J19" s="50"/>
      <c r="K19" s="50"/>
      <c r="L19" s="65"/>
      <c r="M19" s="36"/>
      <c r="N19" s="66"/>
      <c r="O19" s="50"/>
    </row>
    <row r="20" ht="18.75" customHeight="1">
      <c r="A20" s="26"/>
      <c r="B20" s="49"/>
      <c r="C20" s="33"/>
      <c r="D20" s="33"/>
      <c r="E20" s="20"/>
      <c r="F20" s="21"/>
      <c r="G20" s="59"/>
      <c r="H20" s="60"/>
      <c r="I20" s="50"/>
      <c r="J20" s="50"/>
      <c r="K20" s="50"/>
      <c r="L20" s="67"/>
      <c r="M20" s="67"/>
      <c r="N20" s="67"/>
      <c r="O20" s="50"/>
    </row>
    <row r="21" ht="18.75" customHeight="1">
      <c r="A21" s="26"/>
      <c r="B21" s="68"/>
      <c r="C21" s="33"/>
      <c r="D21" s="33"/>
      <c r="E21" s="20"/>
      <c r="F21" s="21"/>
      <c r="G21" s="59"/>
      <c r="H21" s="60"/>
      <c r="I21" s="50"/>
      <c r="J21" s="50"/>
      <c r="K21" s="50"/>
      <c r="L21" s="69" t="s">
        <v>8</v>
      </c>
      <c r="M21" s="63"/>
      <c r="N21" s="64"/>
      <c r="O21" s="50"/>
    </row>
    <row r="22" ht="18.75" customHeight="1">
      <c r="A22" s="26"/>
      <c r="B22" s="68"/>
      <c r="C22" s="33"/>
      <c r="D22" s="33"/>
      <c r="E22" s="20"/>
      <c r="F22" s="21"/>
      <c r="G22" s="70"/>
      <c r="H22" s="71"/>
      <c r="I22" s="50"/>
      <c r="J22" s="50"/>
      <c r="K22" s="50"/>
      <c r="L22" s="65"/>
      <c r="M22" s="36"/>
      <c r="N22" s="66"/>
      <c r="O22" s="72"/>
    </row>
    <row r="23" ht="30.0" customHeight="1">
      <c r="A23" s="26"/>
      <c r="B23" s="68"/>
      <c r="C23" s="33"/>
      <c r="D23" s="33"/>
      <c r="E23" s="20"/>
      <c r="F23" s="21"/>
      <c r="G23" s="45"/>
      <c r="N23" s="21"/>
      <c r="O23" s="25"/>
    </row>
    <row r="24" ht="19.5" customHeight="1">
      <c r="A24" s="26"/>
      <c r="B24" s="68"/>
      <c r="C24" s="33"/>
      <c r="D24" s="33"/>
      <c r="E24" s="20"/>
      <c r="F24" s="21"/>
      <c r="G24" s="73"/>
      <c r="H24" s="74"/>
      <c r="I24" s="74"/>
      <c r="J24" s="74"/>
      <c r="K24" s="74"/>
      <c r="L24" s="74"/>
      <c r="M24" s="74"/>
      <c r="N24" s="75"/>
      <c r="O24" s="25"/>
    </row>
    <row r="25" ht="18.75" customHeight="1">
      <c r="A25" s="26"/>
      <c r="B25" s="68"/>
      <c r="C25" s="33"/>
      <c r="D25" s="33"/>
      <c r="E25" s="20"/>
      <c r="F25" s="21"/>
      <c r="G25" s="76" t="s">
        <v>9</v>
      </c>
      <c r="H25" s="77"/>
      <c r="I25" s="77"/>
      <c r="J25" s="77"/>
      <c r="K25" s="25"/>
      <c r="L25" s="25"/>
      <c r="M25" s="25"/>
      <c r="N25" s="25"/>
      <c r="O25" s="25"/>
    </row>
    <row r="26" ht="27.75" customHeight="1">
      <c r="A26" s="26"/>
      <c r="B26" s="68"/>
      <c r="C26" s="33"/>
      <c r="D26" s="33"/>
      <c r="E26" s="20"/>
      <c r="F26" s="21"/>
      <c r="G26" s="76"/>
      <c r="H26" s="78"/>
      <c r="I26" s="78"/>
      <c r="J26" s="78"/>
      <c r="K26" s="25"/>
      <c r="L26" s="25"/>
      <c r="M26" s="25"/>
      <c r="N26" s="25"/>
      <c r="O26" s="25"/>
    </row>
    <row r="27" ht="18.75" customHeight="1">
      <c r="A27" s="26"/>
      <c r="B27" s="68"/>
      <c r="C27" s="33"/>
      <c r="D27" s="33"/>
      <c r="E27" s="20"/>
      <c r="F27" s="21"/>
      <c r="G27" s="56"/>
      <c r="H27" s="79"/>
      <c r="I27" s="80"/>
      <c r="J27" s="81"/>
      <c r="K27" s="46"/>
      <c r="L27" s="82" t="s">
        <v>10</v>
      </c>
      <c r="M27" s="25"/>
      <c r="N27" s="25"/>
      <c r="O27" s="25"/>
    </row>
    <row r="28" ht="18.75" customHeight="1">
      <c r="A28" s="26"/>
      <c r="B28" s="33"/>
      <c r="C28" s="33"/>
      <c r="D28" s="33"/>
      <c r="E28" s="20"/>
      <c r="F28" s="21"/>
      <c r="G28" s="56"/>
      <c r="H28" s="83"/>
      <c r="J28" s="48"/>
      <c r="K28" s="46"/>
      <c r="L28" s="25"/>
      <c r="M28" s="25"/>
      <c r="N28" s="25"/>
      <c r="O28" s="46"/>
    </row>
    <row r="29" ht="18.75" customHeight="1">
      <c r="A29" s="26"/>
      <c r="B29" s="33"/>
      <c r="C29" s="33"/>
      <c r="D29" s="33"/>
      <c r="E29" s="20"/>
      <c r="F29" s="21"/>
      <c r="G29" s="60"/>
      <c r="H29" s="100" t="s">
        <v>19</v>
      </c>
      <c r="I29" s="85"/>
      <c r="J29" s="86"/>
      <c r="K29" s="59"/>
      <c r="L29" s="87" t="s">
        <v>12</v>
      </c>
      <c r="M29" s="31"/>
      <c r="N29" s="31"/>
      <c r="O29" s="25"/>
    </row>
    <row r="30" ht="18.75" customHeight="1">
      <c r="A30" s="26"/>
      <c r="B30" s="33"/>
      <c r="C30" s="33"/>
      <c r="D30" s="33"/>
      <c r="E30" s="20"/>
      <c r="F30" s="21"/>
      <c r="G30" s="50"/>
      <c r="H30" s="88"/>
      <c r="I30" s="88"/>
      <c r="J30" s="88"/>
      <c r="K30" s="50"/>
      <c r="L30" s="50"/>
      <c r="M30" s="50"/>
      <c r="N30" s="50"/>
      <c r="O30" s="25"/>
    </row>
    <row r="31" ht="18.75" customHeight="1" hidden="true">
      <c r="A31" s="26"/>
      <c r="B31" s="33"/>
      <c r="C31" s="33"/>
      <c r="D31" s="33"/>
      <c r="E31" s="20"/>
      <c r="F31" s="21"/>
      <c r="G31" s="53"/>
      <c r="H31" s="84" t="s">
        <v>13</v>
      </c>
      <c r="I31" s="85"/>
      <c r="J31" s="86"/>
      <c r="K31" s="59"/>
      <c r="L31" s="87" t="s">
        <v>14</v>
      </c>
      <c r="M31" s="31"/>
      <c r="N31" s="52"/>
      <c r="O31" s="25"/>
    </row>
    <row r="32" ht="18.75" customHeight="1" hidden="true">
      <c r="A32" s="26"/>
      <c r="B32" s="33"/>
      <c r="C32" s="33"/>
      <c r="D32" s="33"/>
      <c r="E32" s="20"/>
      <c r="F32" s="21"/>
      <c r="G32" s="77"/>
      <c r="H32" s="25"/>
      <c r="I32" s="25"/>
      <c r="J32" s="25"/>
      <c r="K32" s="25"/>
      <c r="L32" s="25"/>
      <c r="M32" s="25"/>
      <c r="N32" s="25"/>
      <c r="O32" s="25"/>
    </row>
    <row r="33" ht="18.75" customHeight="1" hidden="true">
      <c r="A33" s="26"/>
      <c r="B33" s="33"/>
      <c r="C33" s="33"/>
      <c r="D33" s="33"/>
      <c r="E33" s="20"/>
      <c r="F33" s="21"/>
      <c r="G33" s="25"/>
      <c r="H33" s="25"/>
      <c r="I33" s="89"/>
      <c r="J33" s="90"/>
      <c r="K33" s="90"/>
      <c r="L33" s="90"/>
      <c r="M33" s="90"/>
      <c r="N33" s="91"/>
      <c r="O33" s="25"/>
    </row>
    <row r="34" ht="18.75" customHeight="1">
      <c r="A34" s="26"/>
      <c r="B34" s="33"/>
      <c r="C34" s="33"/>
      <c r="D34" s="33"/>
      <c r="E34" s="20"/>
      <c r="F34" s="21"/>
      <c r="G34" s="25"/>
      <c r="H34" s="25"/>
      <c r="I34" s="25"/>
      <c r="J34" s="25"/>
      <c r="K34" s="25"/>
      <c r="L34" s="25"/>
      <c r="M34" s="25"/>
      <c r="N34" s="25"/>
      <c r="O34" s="25"/>
    </row>
    <row r="35" ht="18.75" customHeight="1">
      <c r="A35" s="26"/>
      <c r="B35" s="33"/>
      <c r="C35" s="33"/>
      <c r="D35" s="33"/>
      <c r="E35" s="20"/>
      <c r="F35" s="21"/>
      <c r="G35" s="98" t="s">
        <v>17</v>
      </c>
      <c r="H35" s="92"/>
      <c r="I35" s="92"/>
      <c r="J35" s="92"/>
      <c r="K35" s="92"/>
      <c r="L35" s="92"/>
      <c r="M35" s="92"/>
      <c r="N35" s="92"/>
      <c r="O35" s="92"/>
    </row>
    <row r="36" ht="18.75" customHeight="1">
      <c r="A36" s="26"/>
      <c r="B36" s="33"/>
      <c r="C36" s="33"/>
      <c r="D36" s="33"/>
      <c r="E36" s="20"/>
      <c r="F36" s="21"/>
      <c r="G36" s="92"/>
      <c r="H36" s="92"/>
      <c r="I36" s="99" t="s">
        <v>18</v>
      </c>
      <c r="O36" s="21"/>
    </row>
    <row r="37" ht="18.75" customHeight="1">
      <c r="A37" s="26"/>
      <c r="B37" s="33"/>
      <c r="C37" s="33"/>
      <c r="D37" s="33"/>
      <c r="E37" s="20"/>
      <c r="F37" s="21"/>
      <c r="G37" s="92"/>
      <c r="H37" s="92"/>
      <c r="I37" s="41"/>
      <c r="J37" s="41"/>
      <c r="K37" s="41"/>
      <c r="L37" s="41"/>
      <c r="M37" s="41"/>
      <c r="N37" s="41"/>
      <c r="O37" s="94"/>
    </row>
    <row r="38" ht="18.75" customHeight="1">
      <c r="A38" s="26"/>
      <c r="B38" s="33"/>
      <c r="C38" s="33"/>
      <c r="D38" s="33"/>
      <c r="E38" s="20"/>
      <c r="F38" s="21"/>
      <c r="G38" s="25"/>
      <c r="H38" s="25"/>
      <c r="I38" s="25"/>
      <c r="J38" s="25"/>
      <c r="K38" s="25"/>
      <c r="L38" s="25"/>
      <c r="M38" s="25"/>
      <c r="N38" s="25"/>
      <c r="O38" s="25"/>
    </row>
    <row r="39" ht="18.75" customHeight="1">
      <c r="A39" s="26"/>
      <c r="B39" s="33"/>
      <c r="C39" s="33"/>
      <c r="D39" s="33"/>
      <c r="E39" s="20"/>
      <c r="F39" s="21"/>
      <c r="G39" s="25"/>
      <c r="H39" s="25"/>
      <c r="I39" s="25"/>
      <c r="J39" s="25"/>
      <c r="K39" s="25"/>
      <c r="L39" s="25"/>
      <c r="M39" s="25"/>
      <c r="N39" s="25"/>
      <c r="O39" s="25"/>
    </row>
    <row r="40" ht="18.75" customHeight="1">
      <c r="A40" s="26"/>
      <c r="B40" s="33"/>
      <c r="C40" s="33"/>
      <c r="D40" s="33"/>
      <c r="E40" s="95"/>
      <c r="F40" s="94"/>
      <c r="G40" s="25"/>
      <c r="H40" s="25"/>
      <c r="I40" s="25"/>
      <c r="J40" s="25"/>
      <c r="K40" s="25"/>
      <c r="L40" s="25"/>
      <c r="M40" s="25"/>
      <c r="N40" s="25"/>
      <c r="O40" s="2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N2"/>
    <mergeCell ref="B3:N3"/>
    <mergeCell ref="A4:O4"/>
    <mergeCell ref="A5:O5"/>
    <mergeCell ref="E6:E40"/>
    <mergeCell ref="F6:F40"/>
    <mergeCell ref="G6:O6"/>
    <mergeCell ref="I36:O37"/>
    <mergeCell ref="I33:N33"/>
    <mergeCell ref="I9:N9"/>
    <mergeCell ref="I10:N10"/>
    <mergeCell ref="I11:N11"/>
    <mergeCell ref="G12:N12"/>
    <mergeCell ref="G13:N13"/>
    <mergeCell ref="L15:N16"/>
    <mergeCell ref="L18:N19"/>
    <mergeCell ref="L21:N22"/>
    <mergeCell ref="G23:N23"/>
    <mergeCell ref="G24:N24"/>
    <mergeCell ref="H27:J27"/>
    <mergeCell ref="H28:J28"/>
    <mergeCell ref="H29:J29"/>
    <mergeCell ref="H31:J31"/>
  </mergeCells>
  <conditionalFormatting sqref="A4:O4">
    <cfRule type="notContainsBlanks" dxfId="0" priority="1">
      <formula>LEN(TRIM(A4))&gt;0</formula>
    </cfRule>
  </conditionalFormatting>
  <conditionalFormatting sqref="F6:F40">
    <cfRule type="notContainsBlanks" dxfId="0" priority="2">
      <formula>LEN(TRIM(F6))&gt;0</formula>
    </cfRule>
  </conditionalFormatting>
  <hyperlinks>
    <hyperlink ref="I10" r:id="rId2"/>
  </hyperlinks>
  <drawing r:id="rId1"/>
</worksheet>
</file>

<file path=xl/worksheets/sheet2.xml><?xml version="1.0" encoding="utf-8"?>
<worksheet xmlns="http://schemas.openxmlformats.org/spreadsheetml/2006/main">
  <dimension ref="A1"/>
  <sheetViews>
    <sheetView workbookViewId="0"/>
  </sheetViews>
  <sheetFormatPr defaultRowHeight="15.0"/>
  <sheetData>
    <row r="1">
      <c r="A1" s="0" t="s">
        <v>20</v>
      </c>
    </row>
  </sheetData>
  <pageMargins bottom="0.75" footer="0.3" header="0.3" left="0.7" right="0.7" top="0.75"/>
</worksheet>
</file>

<file path=xl/worksheets/sheet3.xml><?xml version="1.0" encoding="utf-8"?>
<worksheet xmlns="http://schemas.openxmlformats.org/spreadsheetml/2006/main">
  <dimension ref="A1:AJ516"/>
  <sheetViews>
    <sheetView workbookViewId="0"/>
  </sheetViews>
  <sheetFormatPr defaultRowHeight="15.0"/>
  <cols>
    <col min="1" max="1" style="0" width="18.75" customWidth="true"/>
    <col min="2" max="2" style="0" width="17.578125" customWidth="true"/>
    <col min="3" max="3" style="0" width="17.578125" customWidth="true"/>
    <col min="4" max="4" style="0" width="17.578125" customWidth="true" hidden="true"/>
    <col min="5" max="5" style="0" width="17.578125" customWidth="true"/>
    <col min="6" max="6" style="0" width="58.59375" customWidth="true"/>
    <col min="7" max="7" style="0" width="17.578125" customWidth="true"/>
    <col min="8" max="8" style="0" width="17.578125" customWidth="true"/>
    <col min="9" max="9" style="0" width="17.578125" customWidth="true"/>
    <col min="10" max="10" style="0" width="17.578125" customWidth="true"/>
    <col min="11" max="11" style="0" width="31.25" customWidth="true"/>
    <col min="12" max="12" style="0" width="31.25" customWidth="true"/>
    <col min="13" max="13" style="0" width="31.25" customWidth="true"/>
    <col min="14" max="14" style="0" width="31.25" customWidth="true"/>
    <col min="15" max="15" style="0" width="31.25" customWidth="true"/>
    <col min="16" max="16" style="0" width="31.25" customWidth="true"/>
    <col min="17" max="17" style="0" width="31.25" customWidth="true"/>
    <col min="18" max="18" style="0" width="31.25" customWidth="true"/>
    <col min="19" max="19" style="0" width="31.25" customWidth="true"/>
    <col min="20" max="20" style="0" width="31.25" customWidth="true"/>
    <col min="21" max="21" style="0" width="21.484375" customWidth="true"/>
    <col min="22" max="22" style="0" width="70.3125" customWidth="true"/>
    <col min="23" max="23" style="0" width="39.0625" customWidth="true"/>
    <col min="24" max="24" style="0" width="17.578125" customWidth="true"/>
    <col min="25" max="25" style="0" width="17.578125" customWidth="true"/>
    <col min="26" max="26" style="0" width="17.578125" customWidth="true"/>
    <col min="27" max="27" style="0" width="17.578125" customWidth="true"/>
    <col min="28" max="28" style="0" width="35.15625" customWidth="true"/>
    <col min="29" max="29" style="0" width="17.578125" customWidth="true"/>
    <col min="30" max="30" style="0" width="17.578125" customWidth="true"/>
    <col min="31" max="31" style="0" width="17.578125" customWidth="true"/>
    <col min="32" max="32" style="0" width="35.15625" customWidth="true"/>
    <col min="33" max="33" style="0" width="26.3671875" customWidth="true"/>
    <col min="34" max="34" style="0" width="26.3671875" customWidth="true"/>
    <col min="35" max="35" style="0" width="26.3671875" customWidth="true"/>
    <col min="36" max="36" style="0" width="26.3671875" customWidth="true"/>
  </cols>
  <sheetData>
    <row r="1" ht="0.0" customHeight="true">
      <c r="A1" s="101" t="s">
        <v>21</v>
      </c>
      <c r="B1" s="101" t="s">
        <v>24</v>
      </c>
      <c r="C1" s="101" t="s">
        <v>26</v>
      </c>
      <c r="D1" s="101" t="s">
        <v>28</v>
      </c>
      <c r="E1" s="101" t="s">
        <v>30</v>
      </c>
      <c r="F1" s="101" t="s">
        <v>31</v>
      </c>
      <c r="G1" s="101" t="s">
        <v>33</v>
      </c>
      <c r="H1" s="101" t="s">
        <v>36</v>
      </c>
      <c r="I1" s="101" t="s">
        <v>39</v>
      </c>
      <c r="J1" s="101" t="s">
        <v>41</v>
      </c>
      <c r="K1" s="101" t="s">
        <v>43</v>
      </c>
      <c r="L1" s="101" t="s">
        <v>45</v>
      </c>
      <c r="M1" s="101" t="s">
        <v>47</v>
      </c>
      <c r="N1" s="101" t="s">
        <v>48</v>
      </c>
      <c r="O1" s="101" t="s">
        <v>49</v>
      </c>
      <c r="P1" s="101" t="s">
        <v>50</v>
      </c>
      <c r="Q1" s="101" t="s">
        <v>51</v>
      </c>
      <c r="R1" s="101" t="s">
        <v>52</v>
      </c>
      <c r="S1" s="101" t="s">
        <v>53</v>
      </c>
      <c r="T1" s="101" t="s">
        <v>54</v>
      </c>
      <c r="U1" s="101" t="s">
        <v>60</v>
      </c>
      <c r="V1" s="101" t="s">
        <v>62</v>
      </c>
      <c r="W1" s="101" t="s">
        <v>65</v>
      </c>
      <c r="X1" s="101" t="s">
        <v>67</v>
      </c>
      <c r="Y1" s="101" t="s">
        <v>70</v>
      </c>
      <c r="Z1" s="101" t="s">
        <v>72</v>
      </c>
      <c r="AA1" s="101" t="s">
        <v>74</v>
      </c>
      <c r="AB1" s="101" t="s">
        <v>76</v>
      </c>
      <c r="AC1" s="101" t="s">
        <v>78</v>
      </c>
      <c r="AD1" s="101" t="s">
        <v>80</v>
      </c>
      <c r="AE1" s="101" t="s">
        <v>82</v>
      </c>
      <c r="AF1" s="101" t="s">
        <v>84</v>
      </c>
      <c r="AG1" s="101" t="s">
        <v>87</v>
      </c>
      <c r="AH1" s="101" t="s">
        <v>89</v>
      </c>
      <c r="AI1" s="101" t="s">
        <v>91</v>
      </c>
      <c r="AJ1" s="101" t="s">
        <v>93</v>
      </c>
    </row>
    <row r="2" ht="42.5" customHeight="true">
      <c r="A2" t="s" s="104">
        <v>35</v>
      </c>
      <c r="H2" t="s" s="107">
        <v>64</v>
      </c>
      <c r="W2" t="s" s="109">
        <v>69</v>
      </c>
      <c r="Y2" t="s" s="111">
        <v>86</v>
      </c>
      <c r="AG2" t="s" s="112">
        <v>96</v>
      </c>
    </row>
    <row r="3" ht="42.5" customHeight="true">
      <c r="A3" t="s" s="103">
        <v>23</v>
      </c>
      <c r="B3" t="s" s="103">
        <v>25</v>
      </c>
      <c r="C3" t="s" s="103">
        <v>27</v>
      </c>
      <c r="D3" t="s" s="103">
        <v>29</v>
      </c>
      <c r="E3" t="s" s="103">
        <v>30</v>
      </c>
      <c r="F3" t="s" s="103">
        <v>32</v>
      </c>
      <c r="G3" t="s" s="103">
        <v>34</v>
      </c>
      <c r="H3" t="s" s="105">
        <v>38</v>
      </c>
      <c r="I3" t="s" s="105">
        <v>40</v>
      </c>
      <c r="J3" t="s" s="105">
        <v>42</v>
      </c>
      <c r="K3" t="s" s="105">
        <v>59</v>
      </c>
      <c r="L3" s="0"/>
      <c r="M3" t="s" s="105">
        <v>58</v>
      </c>
      <c r="N3" s="0"/>
      <c r="O3" t="s" s="105">
        <v>57</v>
      </c>
      <c r="P3" s="0"/>
      <c r="Q3" t="s" s="105">
        <v>56</v>
      </c>
      <c r="R3" s="0"/>
      <c r="S3" t="s" s="105">
        <v>55</v>
      </c>
      <c r="T3" s="0"/>
      <c r="U3" t="s" s="105">
        <v>61</v>
      </c>
      <c r="V3" t="s" s="105">
        <v>63</v>
      </c>
      <c r="W3" t="s" s="108">
        <v>66</v>
      </c>
      <c r="X3" t="s" s="108">
        <v>68</v>
      </c>
      <c r="Y3" t="s" s="110">
        <v>71</v>
      </c>
      <c r="Z3" t="s" s="110">
        <v>73</v>
      </c>
      <c r="AA3" t="s" s="110">
        <v>75</v>
      </c>
      <c r="AB3" t="s" s="110">
        <v>77</v>
      </c>
      <c r="AC3" t="s" s="110">
        <v>79</v>
      </c>
      <c r="AD3" t="s" s="110">
        <v>81</v>
      </c>
      <c r="AE3" t="s" s="110">
        <v>83</v>
      </c>
      <c r="AF3" t="s" s="110">
        <v>85</v>
      </c>
      <c r="AG3" t="s" s="113">
        <v>95</v>
      </c>
      <c r="AH3" s="0"/>
      <c r="AI3" s="0"/>
      <c r="AJ3" s="0"/>
    </row>
    <row r="4" ht="38.0" customHeight="true">
      <c r="A4" t="s" s="103">
        <v>23</v>
      </c>
      <c r="B4" t="s" s="103">
        <v>25</v>
      </c>
      <c r="C4" t="s" s="103">
        <v>27</v>
      </c>
      <c r="D4" t="s" s="103">
        <v>29</v>
      </c>
      <c r="E4" t="s" s="103">
        <v>30</v>
      </c>
      <c r="F4" t="s" s="103">
        <v>32</v>
      </c>
      <c r="G4" t="s" s="103">
        <v>34</v>
      </c>
      <c r="H4" t="s" s="105">
        <v>38</v>
      </c>
      <c r="I4" t="s" s="105">
        <v>40</v>
      </c>
      <c r="J4" t="s" s="105">
        <v>42</v>
      </c>
      <c r="K4" t="s" s="106">
        <v>44</v>
      </c>
      <c r="L4" t="s" s="106">
        <v>46</v>
      </c>
      <c r="M4" t="s" s="106">
        <v>44</v>
      </c>
      <c r="N4" t="s" s="106">
        <v>46</v>
      </c>
      <c r="O4" t="s" s="106">
        <v>44</v>
      </c>
      <c r="P4" t="s" s="106">
        <v>46</v>
      </c>
      <c r="Q4" t="s" s="106">
        <v>44</v>
      </c>
      <c r="R4" t="s" s="106">
        <v>46</v>
      </c>
      <c r="S4" t="s" s="106">
        <v>44</v>
      </c>
      <c r="T4" t="s" s="106">
        <v>46</v>
      </c>
      <c r="U4" t="s" s="105">
        <v>61</v>
      </c>
      <c r="V4" t="s" s="105">
        <v>63</v>
      </c>
      <c r="W4" t="s" s="108">
        <v>66</v>
      </c>
      <c r="X4" t="s" s="108">
        <v>68</v>
      </c>
      <c r="Y4" t="s" s="110">
        <v>71</v>
      </c>
      <c r="Z4" t="s" s="110">
        <v>73</v>
      </c>
      <c r="AA4" t="s" s="110">
        <v>75</v>
      </c>
      <c r="AB4" t="s" s="110">
        <v>77</v>
      </c>
      <c r="AC4" t="s" s="110">
        <v>79</v>
      </c>
      <c r="AD4" t="s" s="110">
        <v>81</v>
      </c>
      <c r="AE4" t="s" s="110">
        <v>83</v>
      </c>
      <c r="AF4" t="s" s="110">
        <v>85</v>
      </c>
      <c r="AG4" t="s" s="112">
        <v>88</v>
      </c>
      <c r="AH4" t="s" s="112">
        <v>90</v>
      </c>
      <c r="AI4" t="s" s="112">
        <v>92</v>
      </c>
      <c r="AJ4" t="s" s="112">
        <v>94</v>
      </c>
    </row>
    <row r="5" ht="15.0" customHeight="true">
      <c r="A5" s="102" t="s">
        <v>22</v>
      </c>
      <c r="B5" s="102" t="s">
        <v>22</v>
      </c>
      <c r="C5" s="102" t="s">
        <v>22</v>
      </c>
      <c r="D5" s="102" t="s">
        <v>22</v>
      </c>
      <c r="E5" s="102" t="s">
        <v>22</v>
      </c>
      <c r="F5" s="102" t="s">
        <v>22</v>
      </c>
      <c r="G5" s="102" t="s">
        <v>22</v>
      </c>
      <c r="H5" s="102" t="s">
        <v>37</v>
      </c>
      <c r="I5" s="102" t="s">
        <v>37</v>
      </c>
      <c r="J5" s="102" t="s">
        <v>37</v>
      </c>
      <c r="K5" s="102" t="s">
        <v>22</v>
      </c>
      <c r="L5" s="102" t="s">
        <v>22</v>
      </c>
      <c r="M5" s="102" t="s">
        <v>22</v>
      </c>
      <c r="N5" s="102" t="s">
        <v>22</v>
      </c>
      <c r="O5" s="102" t="s">
        <v>22</v>
      </c>
      <c r="P5" s="102" t="s">
        <v>22</v>
      </c>
      <c r="Q5" s="102" t="s">
        <v>22</v>
      </c>
      <c r="R5" s="102" t="s">
        <v>22</v>
      </c>
      <c r="S5" s="102" t="s">
        <v>22</v>
      </c>
      <c r="T5" s="102" t="s">
        <v>22</v>
      </c>
      <c r="U5" s="102" t="s">
        <v>37</v>
      </c>
      <c r="V5" s="102" t="s">
        <v>22</v>
      </c>
      <c r="W5" s="102" t="s">
        <v>22</v>
      </c>
      <c r="X5" s="102" t="s">
        <v>37</v>
      </c>
      <c r="Y5" s="102" t="s">
        <v>22</v>
      </c>
      <c r="Z5" s="102" t="s">
        <v>22</v>
      </c>
      <c r="AA5" s="102" t="s">
        <v>22</v>
      </c>
      <c r="AB5" s="102" t="s">
        <v>22</v>
      </c>
      <c r="AC5" s="102" t="s">
        <v>22</v>
      </c>
      <c r="AD5" s="102" t="s">
        <v>22</v>
      </c>
      <c r="AE5" s="102" t="s">
        <v>22</v>
      </c>
      <c r="AF5" s="102" t="s">
        <v>22</v>
      </c>
      <c r="AG5" s="102" t="s">
        <v>37</v>
      </c>
      <c r="AH5" s="102" t="s">
        <v>37</v>
      </c>
      <c r="AI5" s="102" t="s">
        <v>37</v>
      </c>
      <c r="AJ5" s="102" t="s">
        <v>37</v>
      </c>
    </row>
    <row r="6" ht="50.0" customHeight="true">
      <c r="A6" s="114" t="s">
        <v>97</v>
      </c>
      <c r="B6" s="114" t="s">
        <v>98</v>
      </c>
      <c r="C6" s="114" t="s">
        <v>99</v>
      </c>
      <c r="D6" s="114"/>
      <c r="E6" s="115" t="s">
        <v>100</v>
      </c>
      <c r="F6" s="114" t="s">
        <v>101</v>
      </c>
      <c r="G6" s="114" t="s">
        <v>102</v>
      </c>
      <c r="H6" s="116" t="n">
        <v>49.0</v>
      </c>
      <c r="I6" s="116" t="n">
        <v>14.9</v>
      </c>
      <c r="J6" s="116" t="s">
        <v>103</v>
      </c>
      <c r="K6" s="116" t="n">
        <v>12.9</v>
      </c>
      <c r="L6" s="116" t="n">
        <v>3.0</v>
      </c>
      <c r="M6" s="116"/>
      <c r="N6" s="116"/>
      <c r="O6" s="116"/>
      <c r="P6" s="116"/>
      <c r="Q6" s="116"/>
      <c r="R6" s="116"/>
      <c r="S6" s="116"/>
      <c r="T6" s="116"/>
      <c r="U6" s="114" t="s">
        <v>104</v>
      </c>
      <c r="V6" s="114" t="s">
        <v>105</v>
      </c>
      <c r="W6" s="116" t="s">
        <v>106</v>
      </c>
      <c r="X6" s="116" t="s">
        <v>107</v>
      </c>
      <c r="Y6" s="116" t="s">
        <v>108</v>
      </c>
      <c r="Z6" s="114">
        <f>IF(INDIRECT("Y6")="Clássico","14%",IF(INDIRECT("Y6")="Premium","19%","-"))</f>
      </c>
      <c r="AA6" s="116" t="s">
        <v>109</v>
      </c>
      <c r="AB6" s="116" t="s">
        <v>110</v>
      </c>
      <c r="AC6" s="116" t="n">
        <v>30.0</v>
      </c>
      <c r="AD6" s="116" t="s">
        <v>111</v>
      </c>
      <c r="AE6" s="117" t="s">
        <v>112</v>
      </c>
      <c r="AF6" s="114" t="s">
        <v>113</v>
      </c>
      <c r="AG6" s="116" t="n">
        <v>15.0</v>
      </c>
      <c r="AH6" s="116" t="n">
        <v>9.0</v>
      </c>
      <c r="AI6" s="116" t="n">
        <v>4.0</v>
      </c>
      <c r="AJ6" s="116" t="n">
        <v>0.09</v>
      </c>
    </row>
    <row r="7" ht="50.0" customHeight="true">
      <c r="A7" s="114" t="s">
        <v>114</v>
      </c>
      <c r="B7" s="114" t="s">
        <v>115</v>
      </c>
      <c r="C7" s="114" t="s">
        <v>116</v>
      </c>
      <c r="D7" s="114"/>
      <c r="E7" s="115" t="s">
        <v>117</v>
      </c>
      <c r="F7" s="114" t="s">
        <v>118</v>
      </c>
      <c r="G7" s="114" t="s">
        <v>118</v>
      </c>
      <c r="H7" s="116" t="n">
        <v>15.0</v>
      </c>
      <c r="I7" s="116" t="n">
        <v>21.9</v>
      </c>
      <c r="J7" s="116" t="s">
        <v>103</v>
      </c>
      <c r="K7" s="116" t="n">
        <v>18.9</v>
      </c>
      <c r="L7" s="116" t="n">
        <v>5.0</v>
      </c>
      <c r="M7" s="116"/>
      <c r="N7" s="116"/>
      <c r="O7" s="116"/>
      <c r="P7" s="116"/>
      <c r="Q7" s="116"/>
      <c r="R7" s="116"/>
      <c r="S7" s="116"/>
      <c r="T7" s="116"/>
      <c r="U7" s="116" t="s">
        <v>104</v>
      </c>
      <c r="V7" s="118" t="s">
        <v>119</v>
      </c>
      <c r="W7" s="116" t="s">
        <v>106</v>
      </c>
      <c r="X7" s="116" t="s">
        <v>107</v>
      </c>
      <c r="Y7" s="116" t="s">
        <v>108</v>
      </c>
      <c r="Z7" s="114">
        <f>IF(INDIRECT("Y7")="Clássico","12%",IF(INDIRECT("Y7")="Premium","17%","-"))</f>
      </c>
      <c r="AA7" s="116" t="s">
        <v>109</v>
      </c>
      <c r="AB7" s="116" t="s">
        <v>120</v>
      </c>
      <c r="AC7" s="116" t="n">
        <v>3.0</v>
      </c>
      <c r="AD7" s="116" t="s">
        <v>121</v>
      </c>
      <c r="AE7" s="117" t="s">
        <v>112</v>
      </c>
      <c r="AF7" s="114" t="s">
        <v>122</v>
      </c>
      <c r="AG7" s="116" t="n">
        <v>26.0</v>
      </c>
      <c r="AH7" s="116" t="n">
        <v>18.0</v>
      </c>
      <c r="AI7" s="116" t="n">
        <v>3.0</v>
      </c>
      <c r="AJ7" s="116" t="n">
        <v>0.06</v>
      </c>
    </row>
    <row r="8" ht="50.0" customHeight="true">
      <c r="A8" s="114" t="s">
        <v>123</v>
      </c>
      <c r="B8" s="114" t="s">
        <v>124</v>
      </c>
      <c r="C8" s="114" t="s">
        <v>125</v>
      </c>
      <c r="D8" s="114"/>
      <c r="E8" s="115" t="s">
        <v>126</v>
      </c>
      <c r="F8" s="114" t="s">
        <v>127</v>
      </c>
      <c r="G8" s="114" t="s">
        <v>128</v>
      </c>
      <c r="H8" s="116" t="n">
        <v>12.0</v>
      </c>
      <c r="I8" s="116" t="n">
        <v>77.9</v>
      </c>
      <c r="J8" s="116" t="s">
        <v>103</v>
      </c>
      <c r="K8" s="116" t="n">
        <v>68.0</v>
      </c>
      <c r="L8" s="116" t="n">
        <v>3.0</v>
      </c>
      <c r="M8" s="116" t="n">
        <v>66.0</v>
      </c>
      <c r="N8" s="116" t="n">
        <v>8.0</v>
      </c>
      <c r="O8" s="116"/>
      <c r="P8" s="116"/>
      <c r="Q8" s="116"/>
      <c r="R8" s="116"/>
      <c r="S8" s="116"/>
      <c r="T8" s="116"/>
      <c r="U8" s="116" t="s">
        <v>104</v>
      </c>
      <c r="V8" s="118" t="s">
        <v>129</v>
      </c>
      <c r="W8" s="116" t="s">
        <v>130</v>
      </c>
      <c r="X8" s="114" t="s">
        <v>107</v>
      </c>
      <c r="Y8" s="116" t="s">
        <v>108</v>
      </c>
      <c r="Z8" s="114">
        <f>IF(INDIRECT("Y8")="Clássico","12%",IF(INDIRECT("Y8")="Premium","17%","-"))</f>
      </c>
      <c r="AA8" s="116" t="s">
        <v>109</v>
      </c>
      <c r="AB8" s="116" t="s">
        <v>110</v>
      </c>
      <c r="AC8" s="116" t="n">
        <v>30.0</v>
      </c>
      <c r="AD8" s="116" t="s">
        <v>111</v>
      </c>
      <c r="AE8" s="114" t="s">
        <v>131</v>
      </c>
      <c r="AF8" s="114" t="s">
        <v>132</v>
      </c>
      <c r="AG8" s="114" t="s">
        <v>133</v>
      </c>
      <c r="AH8" s="114" t="s">
        <v>134</v>
      </c>
      <c r="AI8" s="114" t="s">
        <v>135</v>
      </c>
      <c r="AJ8" s="114" t="s">
        <v>136</v>
      </c>
    </row>
    <row r="9" ht="50.0" customHeight="true">
      <c r="A9" s="114" t="s">
        <v>137</v>
      </c>
      <c r="B9" s="114" t="s">
        <v>138</v>
      </c>
      <c r="C9" s="114" t="s">
        <v>139</v>
      </c>
      <c r="D9" s="114"/>
      <c r="E9" s="115" t="s">
        <v>140</v>
      </c>
      <c r="F9" s="114" t="s">
        <v>141</v>
      </c>
      <c r="G9" s="114" t="s">
        <v>141</v>
      </c>
      <c r="H9" s="116" t="n">
        <v>2.0</v>
      </c>
      <c r="I9" s="116" t="n">
        <v>42.9</v>
      </c>
      <c r="J9" s="116" t="s">
        <v>103</v>
      </c>
      <c r="K9" s="116"/>
      <c r="L9" s="116"/>
      <c r="M9" s="116"/>
      <c r="N9" s="116"/>
      <c r="O9" s="116"/>
      <c r="P9" s="116"/>
      <c r="Q9" s="116"/>
      <c r="R9" s="116"/>
      <c r="S9" s="116"/>
      <c r="T9" s="116"/>
      <c r="U9" s="116" t="s">
        <v>104</v>
      </c>
      <c r="V9" s="118" t="s">
        <v>142</v>
      </c>
      <c r="W9" s="116" t="s">
        <v>106</v>
      </c>
      <c r="X9" s="116" t="s">
        <v>143</v>
      </c>
      <c r="Y9" s="116" t="s">
        <v>108</v>
      </c>
      <c r="Z9" s="114">
        <f>IF(INDIRECT("Y9")="Clássico","12%",IF(INDIRECT("Y9")="Premium","17%","-"))</f>
      </c>
      <c r="AA9" s="116" t="s">
        <v>109</v>
      </c>
      <c r="AB9" s="116" t="s">
        <v>110</v>
      </c>
      <c r="AC9" s="116" t="n">
        <v>30.0</v>
      </c>
      <c r="AD9" s="116" t="s">
        <v>111</v>
      </c>
      <c r="AE9" s="117" t="s">
        <v>112</v>
      </c>
      <c r="AF9" s="114" t="s">
        <v>144</v>
      </c>
      <c r="AG9" s="116" t="n">
        <v>16.0</v>
      </c>
      <c r="AH9" s="116" t="n">
        <v>10.0</v>
      </c>
      <c r="AI9" s="116" t="n">
        <v>7.0</v>
      </c>
      <c r="AJ9" s="116" t="n">
        <v>0.33</v>
      </c>
    </row>
    <row r="10" ht="50.0" customHeight="true">
      <c r="A10" s="114" t="s">
        <v>145</v>
      </c>
      <c r="B10" s="114" t="s">
        <v>146</v>
      </c>
      <c r="C10" s="114" t="s">
        <v>147</v>
      </c>
      <c r="D10" s="114"/>
      <c r="E10" s="115" t="s">
        <v>148</v>
      </c>
      <c r="F10" s="114" t="s">
        <v>149</v>
      </c>
      <c r="G10" s="114" t="s">
        <v>150</v>
      </c>
      <c r="H10" s="116" t="n">
        <v>61.0</v>
      </c>
      <c r="I10" s="116" t="n">
        <v>33.0</v>
      </c>
      <c r="J10" s="116" t="s">
        <v>103</v>
      </c>
      <c r="K10" s="116" t="n">
        <v>25.9</v>
      </c>
      <c r="L10" s="116" t="n">
        <v>2.0</v>
      </c>
      <c r="M10" s="116" t="n">
        <v>25.0</v>
      </c>
      <c r="N10" s="116" t="n">
        <v>4.0</v>
      </c>
      <c r="O10" s="116"/>
      <c r="P10" s="116"/>
      <c r="Q10" s="116"/>
      <c r="R10" s="116"/>
      <c r="S10" s="116"/>
      <c r="T10" s="116"/>
      <c r="U10" s="116" t="s">
        <v>104</v>
      </c>
      <c r="V10" s="118" t="s">
        <v>151</v>
      </c>
      <c r="W10" s="116" t="s">
        <v>106</v>
      </c>
      <c r="X10" s="116" t="s">
        <v>107</v>
      </c>
      <c r="Y10" s="116" t="s">
        <v>152</v>
      </c>
      <c r="Z10" s="114">
        <f>IF(INDIRECT("Y10")="Clássico","14%",IF(INDIRECT("Y10")="Premium","19%","-"))</f>
      </c>
      <c r="AA10" s="116" t="s">
        <v>109</v>
      </c>
      <c r="AB10" s="116" t="s">
        <v>110</v>
      </c>
      <c r="AC10" s="116" t="n">
        <v>30.0</v>
      </c>
      <c r="AD10" s="116" t="s">
        <v>111</v>
      </c>
      <c r="AE10" s="117" t="s">
        <v>112</v>
      </c>
      <c r="AF10" s="114" t="s">
        <v>113</v>
      </c>
      <c r="AG10" s="116" t="n">
        <v>6.0</v>
      </c>
      <c r="AH10" s="116" t="n">
        <v>15.0</v>
      </c>
      <c r="AI10" s="116" t="n">
        <v>15.0</v>
      </c>
      <c r="AJ10" s="116" t="n">
        <v>0.2</v>
      </c>
    </row>
    <row r="11" ht="50.0" customHeight="true">
      <c r="A11" s="114" t="s">
        <v>153</v>
      </c>
      <c r="B11" s="114" t="s">
        <v>154</v>
      </c>
      <c r="C11" s="114" t="s">
        <v>155</v>
      </c>
      <c r="D11" s="114"/>
      <c r="E11" s="115" t="s">
        <v>156</v>
      </c>
      <c r="F11" s="114" t="s">
        <v>157</v>
      </c>
      <c r="G11" s="114" t="s">
        <v>157</v>
      </c>
      <c r="H11" s="116" t="n">
        <v>80.0</v>
      </c>
      <c r="I11" s="116" t="n">
        <v>82.9</v>
      </c>
      <c r="J11" s="116" t="s">
        <v>103</v>
      </c>
      <c r="K11" s="116"/>
      <c r="L11" s="116"/>
      <c r="M11" s="116"/>
      <c r="N11" s="116"/>
      <c r="O11" s="116"/>
      <c r="P11" s="116"/>
      <c r="Q11" s="116"/>
      <c r="R11" s="116"/>
      <c r="S11" s="116"/>
      <c r="T11" s="116"/>
      <c r="U11" s="116" t="s">
        <v>104</v>
      </c>
      <c r="V11" s="118" t="s">
        <v>158</v>
      </c>
      <c r="W11" s="116" t="s">
        <v>130</v>
      </c>
      <c r="X11" s="116" t="s">
        <v>143</v>
      </c>
      <c r="Y11" s="116" t="s">
        <v>152</v>
      </c>
      <c r="Z11" s="114">
        <f>IF(INDIRECT("Y11")="Clássico","12%",IF(INDIRECT("Y11")="Premium","17%","-"))</f>
      </c>
      <c r="AA11" s="116" t="s">
        <v>109</v>
      </c>
      <c r="AB11" s="116" t="s">
        <v>110</v>
      </c>
      <c r="AC11" s="116" t="n">
        <v>3.0</v>
      </c>
      <c r="AD11" s="116" t="s">
        <v>121</v>
      </c>
      <c r="AE11" s="117" t="s">
        <v>112</v>
      </c>
      <c r="AF11" s="114" t="s">
        <v>144</v>
      </c>
      <c r="AG11" s="116" t="n">
        <v>17.0</v>
      </c>
      <c r="AH11" s="116" t="n">
        <v>11.0</v>
      </c>
      <c r="AI11" s="116" t="n">
        <v>8.0</v>
      </c>
      <c r="AJ11" s="116" t="n">
        <v>0.23</v>
      </c>
    </row>
    <row r="12" ht="50.0" customHeight="true">
      <c r="A12" s="114" t="s">
        <v>159</v>
      </c>
      <c r="B12" s="114" t="s">
        <v>160</v>
      </c>
      <c r="C12" s="114" t="s">
        <v>161</v>
      </c>
      <c r="D12" s="114"/>
      <c r="E12" s="115" t="s">
        <v>162</v>
      </c>
      <c r="F12" s="114" t="s">
        <v>163</v>
      </c>
      <c r="G12" s="114" t="s">
        <v>163</v>
      </c>
      <c r="H12" s="116" t="n">
        <v>270.0</v>
      </c>
      <c r="I12" s="116" t="n">
        <v>14.9</v>
      </c>
      <c r="J12" s="116" t="s">
        <v>103</v>
      </c>
      <c r="K12" s="116" t="n">
        <v>12.9</v>
      </c>
      <c r="L12" s="116" t="n">
        <v>5.0</v>
      </c>
      <c r="M12" s="116" t="n">
        <v>12.3</v>
      </c>
      <c r="N12" s="116" t="n">
        <v>10.0</v>
      </c>
      <c r="O12" s="116"/>
      <c r="P12" s="116"/>
      <c r="Q12" s="116"/>
      <c r="R12" s="116"/>
      <c r="S12" s="116"/>
      <c r="T12" s="116"/>
      <c r="U12" s="116" t="s">
        <v>104</v>
      </c>
      <c r="V12" s="118" t="s">
        <v>164</v>
      </c>
      <c r="W12" s="116" t="s">
        <v>106</v>
      </c>
      <c r="X12" s="116" t="s">
        <v>143</v>
      </c>
      <c r="Y12" s="116" t="s">
        <v>108</v>
      </c>
      <c r="Z12" s="114">
        <f>IF(INDIRECT("Y12")="Clássico","12%",IF(INDIRECT("Y12")="Premium","17%","-"))</f>
      </c>
      <c r="AA12" s="116" t="s">
        <v>109</v>
      </c>
      <c r="AB12" s="116" t="s">
        <v>110</v>
      </c>
      <c r="AC12" s="116" t="n">
        <v>30.0</v>
      </c>
      <c r="AD12" s="116" t="s">
        <v>111</v>
      </c>
      <c r="AE12" s="117" t="s">
        <v>112</v>
      </c>
      <c r="AF12" s="114" t="s">
        <v>165</v>
      </c>
      <c r="AG12" s="116" t="n">
        <v>59.0</v>
      </c>
      <c r="AH12" s="116" t="n">
        <v>55.0</v>
      </c>
      <c r="AI12" s="116" t="n">
        <v>6.0</v>
      </c>
      <c r="AJ12" s="116" t="n">
        <v>0.2</v>
      </c>
    </row>
    <row r="13" ht="50.0" customHeight="true">
      <c r="A13" s="114" t="s">
        <v>97</v>
      </c>
      <c r="B13" s="114" t="s">
        <v>166</v>
      </c>
      <c r="C13" s="114" t="s">
        <v>99</v>
      </c>
      <c r="D13" s="114"/>
      <c r="E13" s="115" t="s">
        <v>167</v>
      </c>
      <c r="F13" s="114" t="s">
        <v>168</v>
      </c>
      <c r="G13" s="114" t="s">
        <v>169</v>
      </c>
      <c r="H13" s="116" t="n">
        <v>49.0</v>
      </c>
      <c r="I13" s="116" t="n">
        <v>14.9</v>
      </c>
      <c r="J13" s="116" t="s">
        <v>103</v>
      </c>
      <c r="K13" s="116" t="n">
        <v>12.9</v>
      </c>
      <c r="L13" s="116" t="n">
        <v>3.0</v>
      </c>
      <c r="M13" s="116"/>
      <c r="N13" s="116"/>
      <c r="O13" s="116"/>
      <c r="P13" s="116"/>
      <c r="Q13" s="116"/>
      <c r="R13" s="116"/>
      <c r="S13" s="116"/>
      <c r="T13" s="116"/>
      <c r="U13" s="116" t="s">
        <v>104</v>
      </c>
      <c r="V13" s="118" t="s">
        <v>170</v>
      </c>
      <c r="W13" s="116" t="s">
        <v>106</v>
      </c>
      <c r="X13" s="116" t="s">
        <v>107</v>
      </c>
      <c r="Y13" s="116" t="s">
        <v>108</v>
      </c>
      <c r="Z13" s="114">
        <f>IF(INDIRECT("Y13")="Clássico","14%",IF(INDIRECT("Y13")="Premium","19%","-"))</f>
      </c>
      <c r="AA13" s="116" t="s">
        <v>109</v>
      </c>
      <c r="AB13" s="116" t="s">
        <v>110</v>
      </c>
      <c r="AC13" s="116" t="n">
        <v>30.0</v>
      </c>
      <c r="AD13" s="116" t="s">
        <v>111</v>
      </c>
      <c r="AE13" s="117" t="s">
        <v>112</v>
      </c>
      <c r="AF13" s="114" t="s">
        <v>113</v>
      </c>
      <c r="AG13" s="116" t="n">
        <v>15.0</v>
      </c>
      <c r="AH13" s="116" t="n">
        <v>9.0</v>
      </c>
      <c r="AI13" s="116" t="n">
        <v>4.0</v>
      </c>
      <c r="AJ13" s="116" t="n">
        <v>0.09</v>
      </c>
    </row>
    <row r="14" ht="50.0" customHeight="true">
      <c r="A14" s="114" t="s">
        <v>171</v>
      </c>
      <c r="B14" s="114" t="s">
        <v>172</v>
      </c>
      <c r="C14" s="114" t="s">
        <v>173</v>
      </c>
      <c r="D14" s="114"/>
      <c r="E14" s="115" t="s">
        <v>174</v>
      </c>
      <c r="F14" s="114" t="s">
        <v>175</v>
      </c>
      <c r="G14" s="114" t="s">
        <v>176</v>
      </c>
      <c r="H14" s="116" t="n">
        <v>10.0</v>
      </c>
      <c r="I14" s="116" t="n">
        <v>174.0</v>
      </c>
      <c r="J14" s="116" t="s">
        <v>103</v>
      </c>
      <c r="K14" s="116" t="n">
        <v>142.0</v>
      </c>
      <c r="L14" s="116" t="n">
        <v>2.0</v>
      </c>
      <c r="M14" s="116"/>
      <c r="N14" s="116"/>
      <c r="O14" s="116"/>
      <c r="P14" s="116"/>
      <c r="Q14" s="116"/>
      <c r="R14" s="116"/>
      <c r="S14" s="116"/>
      <c r="T14" s="116"/>
      <c r="U14" s="116" t="s">
        <v>104</v>
      </c>
      <c r="V14" s="118" t="s">
        <v>177</v>
      </c>
      <c r="W14" s="116" t="s">
        <v>130</v>
      </c>
      <c r="X14" s="116" t="s">
        <v>107</v>
      </c>
      <c r="Y14" s="116" t="s">
        <v>152</v>
      </c>
      <c r="Z14" s="114">
        <f>IF(INDIRECT("Y14")="Clássico","11.5%",IF(INDIRECT("Y14")="Premium","16.5%","-"))</f>
      </c>
      <c r="AA14" s="116" t="s">
        <v>109</v>
      </c>
      <c r="AB14" s="116" t="s">
        <v>110</v>
      </c>
      <c r="AC14" s="116" t="n">
        <v>30.0</v>
      </c>
      <c r="AD14" s="116" t="s">
        <v>111</v>
      </c>
      <c r="AE14" s="117" t="s">
        <v>112</v>
      </c>
      <c r="AF14" s="114" t="s">
        <v>178</v>
      </c>
      <c r="AG14" s="116" t="n">
        <v>34.0</v>
      </c>
      <c r="AH14" s="116" t="n">
        <v>25.0</v>
      </c>
      <c r="AI14" s="116" t="n">
        <v>6.0</v>
      </c>
      <c r="AJ14" s="116" t="n">
        <v>1.54</v>
      </c>
    </row>
    <row r="15" ht="50.0" customHeight="true">
      <c r="A15" s="114" t="s">
        <v>179</v>
      </c>
      <c r="B15" s="114" t="s">
        <v>180</v>
      </c>
      <c r="C15" s="114" t="s">
        <v>181</v>
      </c>
      <c r="D15" s="114"/>
      <c r="E15" s="115" t="s">
        <v>182</v>
      </c>
      <c r="F15" s="114" t="s">
        <v>183</v>
      </c>
      <c r="G15" s="114" t="s">
        <v>184</v>
      </c>
      <c r="H15" s="116" t="n">
        <v>50.0</v>
      </c>
      <c r="I15" s="116" t="n">
        <v>25.0</v>
      </c>
      <c r="J15" s="116" t="s">
        <v>103</v>
      </c>
      <c r="K15" s="116" t="n">
        <v>18.0</v>
      </c>
      <c r="L15" s="116" t="n">
        <v>5.0</v>
      </c>
      <c r="M15" s="116"/>
      <c r="N15" s="116"/>
      <c r="O15" s="116"/>
      <c r="P15" s="116"/>
      <c r="Q15" s="116"/>
      <c r="R15" s="116"/>
      <c r="S15" s="116"/>
      <c r="T15" s="116"/>
      <c r="U15" s="116" t="s">
        <v>104</v>
      </c>
      <c r="V15" s="118" t="s">
        <v>185</v>
      </c>
      <c r="W15" s="116" t="s">
        <v>106</v>
      </c>
      <c r="X15" s="116" t="s">
        <v>107</v>
      </c>
      <c r="Y15" s="116" t="s">
        <v>108</v>
      </c>
      <c r="Z15" s="114">
        <f>IF(INDIRECT("Y15")="Clássico","11.5%",IF(INDIRECT("Y15")="Premium","16.5%","-"))</f>
      </c>
      <c r="AA15" s="116" t="s">
        <v>109</v>
      </c>
      <c r="AB15" s="116" t="s">
        <v>110</v>
      </c>
      <c r="AC15" s="116" t="n">
        <v>30.0</v>
      </c>
      <c r="AD15" s="116" t="s">
        <v>111</v>
      </c>
      <c r="AE15" s="117" t="s">
        <v>112</v>
      </c>
      <c r="AF15" s="114" t="s">
        <v>186</v>
      </c>
      <c r="AG15" s="116" t="n">
        <v>18.0</v>
      </c>
      <c r="AH15" s="116" t="n">
        <v>15.0</v>
      </c>
      <c r="AI15" s="116" t="n">
        <v>7.0</v>
      </c>
      <c r="AJ15" s="116" t="n">
        <v>0.2</v>
      </c>
    </row>
    <row r="16" ht="50.0" customHeight="true">
      <c r="A16" s="114" t="s">
        <v>187</v>
      </c>
      <c r="B16" s="114" t="s">
        <v>188</v>
      </c>
      <c r="C16" s="114" t="s">
        <v>189</v>
      </c>
      <c r="D16" s="114"/>
      <c r="E16" s="115" t="s">
        <v>190</v>
      </c>
      <c r="F16" s="114" t="s">
        <v>191</v>
      </c>
      <c r="G16" s="114" t="s">
        <v>192</v>
      </c>
      <c r="H16" s="116" t="n">
        <v>41.0</v>
      </c>
      <c r="I16" s="116" t="n">
        <v>42.9</v>
      </c>
      <c r="J16" s="116" t="s">
        <v>103</v>
      </c>
      <c r="K16" s="116" t="n">
        <v>39.9</v>
      </c>
      <c r="L16" s="116" t="n">
        <v>5.0</v>
      </c>
      <c r="M16" s="116"/>
      <c r="N16" s="116"/>
      <c r="O16" s="116"/>
      <c r="P16" s="116"/>
      <c r="Q16" s="116"/>
      <c r="R16" s="116"/>
      <c r="S16" s="116"/>
      <c r="T16" s="116"/>
      <c r="U16" s="116" t="s">
        <v>104</v>
      </c>
      <c r="V16" s="118" t="s">
        <v>193</v>
      </c>
      <c r="W16" s="116" t="s">
        <v>106</v>
      </c>
      <c r="X16" s="116" t="s">
        <v>107</v>
      </c>
      <c r="Y16" s="116" t="s">
        <v>108</v>
      </c>
      <c r="Z16" s="114">
        <f>IF(INDIRECT("Y16")="Clássico","12%",IF(INDIRECT("Y16")="Premium","17%","-"))</f>
      </c>
      <c r="AA16" s="116" t="s">
        <v>109</v>
      </c>
      <c r="AB16" s="116" t="s">
        <v>110</v>
      </c>
      <c r="AC16" s="116" t="n">
        <v>30.0</v>
      </c>
      <c r="AD16" s="116" t="s">
        <v>111</v>
      </c>
      <c r="AE16" s="117" t="s">
        <v>112</v>
      </c>
      <c r="AF16" s="114" t="s">
        <v>144</v>
      </c>
      <c r="AG16" s="116" t="n">
        <v>19.0</v>
      </c>
      <c r="AH16" s="116" t="n">
        <v>13.0</v>
      </c>
      <c r="AI16" s="116" t="n">
        <v>5.0</v>
      </c>
      <c r="AJ16" s="116" t="n">
        <v>0.12</v>
      </c>
    </row>
    <row r="17" ht="50.0" customHeight="true">
      <c r="A17" s="114" t="s">
        <v>194</v>
      </c>
      <c r="B17" s="114" t="s">
        <v>195</v>
      </c>
      <c r="C17" s="114" t="s">
        <v>196</v>
      </c>
      <c r="D17" s="114"/>
      <c r="E17" s="115" t="s">
        <v>197</v>
      </c>
      <c r="F17" s="114" t="s">
        <v>198</v>
      </c>
      <c r="G17" s="114" t="s">
        <v>198</v>
      </c>
      <c r="H17" s="116" t="n">
        <v>41.0</v>
      </c>
      <c r="I17" s="116" t="n">
        <v>55.9</v>
      </c>
      <c r="J17" s="116" t="s">
        <v>103</v>
      </c>
      <c r="K17" s="116" t="n">
        <v>52.0</v>
      </c>
      <c r="L17" s="116" t="n">
        <v>2.0</v>
      </c>
      <c r="M17" s="116"/>
      <c r="N17" s="116"/>
      <c r="O17" s="116"/>
      <c r="P17" s="116"/>
      <c r="Q17" s="116"/>
      <c r="R17" s="116"/>
      <c r="S17" s="116"/>
      <c r="T17" s="116"/>
      <c r="U17" s="116" t="s">
        <v>104</v>
      </c>
      <c r="V17" s="118" t="s">
        <v>199</v>
      </c>
      <c r="W17" s="116" t="s">
        <v>106</v>
      </c>
      <c r="X17" s="116" t="s">
        <v>107</v>
      </c>
      <c r="Y17" s="116" t="s">
        <v>108</v>
      </c>
      <c r="Z17" s="114">
        <f>IF(INDIRECT("Y17")="Clássico","12%",IF(INDIRECT("Y17")="Premium","17%","-"))</f>
      </c>
      <c r="AA17" s="116" t="s">
        <v>109</v>
      </c>
      <c r="AB17" s="116" t="s">
        <v>110</v>
      </c>
      <c r="AC17" s="116" t="n">
        <v>30.0</v>
      </c>
      <c r="AD17" s="116" t="s">
        <v>111</v>
      </c>
      <c r="AE17" s="117" t="s">
        <v>112</v>
      </c>
      <c r="AF17" s="114" t="s">
        <v>200</v>
      </c>
      <c r="AG17" s="116" t="n">
        <v>19.0</v>
      </c>
      <c r="AH17" s="116" t="n">
        <v>15.0</v>
      </c>
      <c r="AI17" s="116" t="n">
        <v>5.0</v>
      </c>
      <c r="AJ17" s="116" t="n">
        <v>0.15</v>
      </c>
    </row>
    <row r="18" ht="50.0" customHeight="true">
      <c r="A18" s="114" t="s">
        <v>201</v>
      </c>
      <c r="B18" s="114" t="s">
        <v>202</v>
      </c>
      <c r="C18" s="114" t="s">
        <v>203</v>
      </c>
      <c r="D18" s="114"/>
      <c r="E18" s="115" t="s">
        <v>204</v>
      </c>
      <c r="F18" s="114" t="s">
        <v>205</v>
      </c>
      <c r="G18" s="114" t="s">
        <v>205</v>
      </c>
      <c r="H18" s="116" t="n">
        <v>40.0</v>
      </c>
      <c r="I18" s="116" t="n">
        <v>36.9</v>
      </c>
      <c r="J18" s="116" t="s">
        <v>103</v>
      </c>
      <c r="K18" s="116" t="n">
        <v>32.0</v>
      </c>
      <c r="L18" s="116" t="n">
        <v>5.0</v>
      </c>
      <c r="M18" s="116"/>
      <c r="N18" s="116"/>
      <c r="O18" s="116"/>
      <c r="P18" s="116"/>
      <c r="Q18" s="116"/>
      <c r="R18" s="116"/>
      <c r="S18" s="116"/>
      <c r="T18" s="116"/>
      <c r="U18" s="116" t="s">
        <v>104</v>
      </c>
      <c r="V18" s="118" t="s">
        <v>206</v>
      </c>
      <c r="W18" s="116" t="s">
        <v>106</v>
      </c>
      <c r="X18" s="116" t="s">
        <v>107</v>
      </c>
      <c r="Y18" s="116" t="s">
        <v>152</v>
      </c>
      <c r="Z18" s="114">
        <f>IF(INDIRECT("Y18")="Clássico","12%",IF(INDIRECT("Y18")="Premium","17%","-"))</f>
      </c>
      <c r="AA18" s="116" t="s">
        <v>109</v>
      </c>
      <c r="AB18" s="116" t="s">
        <v>110</v>
      </c>
      <c r="AC18" s="116" t="n">
        <v>30.0</v>
      </c>
      <c r="AD18" s="116" t="s">
        <v>111</v>
      </c>
      <c r="AE18" s="117" t="s">
        <v>112</v>
      </c>
      <c r="AF18" s="114" t="s">
        <v>200</v>
      </c>
      <c r="AG18" s="116" t="n">
        <v>17.0</v>
      </c>
      <c r="AH18" s="116" t="n">
        <v>8.0</v>
      </c>
      <c r="AI18" s="116" t="n">
        <v>4.0</v>
      </c>
      <c r="AJ18" s="116" t="n">
        <v>0.08</v>
      </c>
    </row>
    <row r="19" ht="50.0" customHeight="true">
      <c r="A19" s="114" t="s">
        <v>207</v>
      </c>
      <c r="B19" s="114" t="s">
        <v>208</v>
      </c>
      <c r="C19" s="114" t="s">
        <v>209</v>
      </c>
      <c r="D19" s="114"/>
      <c r="E19" s="115" t="s">
        <v>210</v>
      </c>
      <c r="F19" s="114" t="s">
        <v>211</v>
      </c>
      <c r="G19" s="114" t="s">
        <v>128</v>
      </c>
      <c r="H19" s="116" t="n">
        <v>236.0</v>
      </c>
      <c r="I19" s="116" t="n">
        <v>249.9</v>
      </c>
      <c r="J19" s="116" t="s">
        <v>103</v>
      </c>
      <c r="K19" s="116" t="n">
        <v>210.0</v>
      </c>
      <c r="L19" s="116" t="n">
        <v>5.0</v>
      </c>
      <c r="M19" s="116" t="n">
        <v>200.0</v>
      </c>
      <c r="N19" s="116" t="n">
        <v>10.0</v>
      </c>
      <c r="O19" s="116"/>
      <c r="P19" s="116"/>
      <c r="Q19" s="116"/>
      <c r="R19" s="116"/>
      <c r="S19" s="116"/>
      <c r="T19" s="116"/>
      <c r="U19" s="116" t="s">
        <v>104</v>
      </c>
      <c r="V19" s="118" t="s">
        <v>212</v>
      </c>
      <c r="W19" s="116" t="s">
        <v>130</v>
      </c>
      <c r="X19" s="116" t="s">
        <v>143</v>
      </c>
      <c r="Y19" s="116" t="s">
        <v>108</v>
      </c>
      <c r="Z19" s="114">
        <f>IF(INDIRECT("Y19")="Clássico","12%",IF(INDIRECT("Y19")="Premium","17%","-"))</f>
      </c>
      <c r="AA19" s="116" t="s">
        <v>109</v>
      </c>
      <c r="AB19" s="116" t="s">
        <v>110</v>
      </c>
      <c r="AC19" s="116" t="n">
        <v>30.0</v>
      </c>
      <c r="AD19" s="116" t="s">
        <v>111</v>
      </c>
      <c r="AE19" s="117" t="s">
        <v>112</v>
      </c>
      <c r="AF19" s="114" t="s">
        <v>213</v>
      </c>
      <c r="AG19" s="116" t="n">
        <v>51.0</v>
      </c>
      <c r="AH19" s="116" t="n">
        <v>23.0</v>
      </c>
      <c r="AI19" s="116" t="n">
        <v>12.0</v>
      </c>
      <c r="AJ19" s="116" t="n">
        <v>0.38</v>
      </c>
    </row>
    <row r="20" ht="50.0" customHeight="true">
      <c r="A20" s="114" t="s">
        <v>214</v>
      </c>
      <c r="B20" s="114" t="s">
        <v>215</v>
      </c>
      <c r="C20" s="114" t="s">
        <v>216</v>
      </c>
      <c r="D20" s="114"/>
      <c r="E20" s="115" t="s">
        <v>197</v>
      </c>
      <c r="F20" s="114" t="s">
        <v>217</v>
      </c>
      <c r="G20" s="114" t="s">
        <v>217</v>
      </c>
      <c r="H20" s="116" t="n">
        <v>186.0</v>
      </c>
      <c r="I20" s="116" t="n">
        <v>110.0</v>
      </c>
      <c r="J20" s="116" t="s">
        <v>103</v>
      </c>
      <c r="K20" s="116"/>
      <c r="L20" s="116"/>
      <c r="M20" s="116"/>
      <c r="N20" s="116"/>
      <c r="O20" s="116"/>
      <c r="P20" s="116"/>
      <c r="Q20" s="116"/>
      <c r="R20" s="116"/>
      <c r="S20" s="116"/>
      <c r="T20" s="116"/>
      <c r="U20" s="116" t="s">
        <v>104</v>
      </c>
      <c r="V20" s="118" t="s">
        <v>218</v>
      </c>
      <c r="W20" s="116" t="s">
        <v>130</v>
      </c>
      <c r="X20" s="116" t="s">
        <v>143</v>
      </c>
      <c r="Y20" s="116" t="s">
        <v>152</v>
      </c>
      <c r="Z20" s="114">
        <f>IF(INDIRECT("Y20")="Clássico","12%",IF(INDIRECT("Y20")="Premium","17%","-"))</f>
      </c>
      <c r="AA20" s="116" t="s">
        <v>109</v>
      </c>
      <c r="AB20" s="116" t="s">
        <v>110</v>
      </c>
      <c r="AC20" s="116" t="n">
        <v>30.0</v>
      </c>
      <c r="AD20" s="116" t="s">
        <v>111</v>
      </c>
      <c r="AE20" s="117" t="s">
        <v>112</v>
      </c>
      <c r="AF20" s="114" t="s">
        <v>200</v>
      </c>
      <c r="AG20" s="116" t="n">
        <v>16.0</v>
      </c>
      <c r="AH20" s="116" t="n">
        <v>11.0</v>
      </c>
      <c r="AI20" s="116" t="n">
        <v>9.0</v>
      </c>
      <c r="AJ20" s="116" t="n">
        <v>0.32</v>
      </c>
    </row>
    <row r="21" ht="50.0" customHeight="true">
      <c r="A21" s="114" t="s">
        <v>219</v>
      </c>
      <c r="B21" s="114" t="s">
        <v>220</v>
      </c>
      <c r="C21" s="114" t="s">
        <v>221</v>
      </c>
      <c r="D21" s="114"/>
      <c r="E21" s="115" t="s">
        <v>222</v>
      </c>
      <c r="F21" s="114" t="s">
        <v>223</v>
      </c>
      <c r="G21" s="114" t="s">
        <v>223</v>
      </c>
      <c r="H21" s="116" t="n">
        <v>100.0</v>
      </c>
      <c r="I21" s="116" t="n">
        <v>31.9</v>
      </c>
      <c r="J21" s="116" t="s">
        <v>103</v>
      </c>
      <c r="K21" s="116" t="n">
        <v>28.9</v>
      </c>
      <c r="L21" s="116" t="n">
        <v>2.0</v>
      </c>
      <c r="M21" s="116"/>
      <c r="N21" s="116"/>
      <c r="O21" s="116"/>
      <c r="P21" s="116"/>
      <c r="Q21" s="116"/>
      <c r="R21" s="116"/>
      <c r="S21" s="116"/>
      <c r="T21" s="116"/>
      <c r="U21" s="116" t="s">
        <v>104</v>
      </c>
      <c r="V21" s="118" t="s">
        <v>224</v>
      </c>
      <c r="W21" s="116" t="s">
        <v>106</v>
      </c>
      <c r="X21" s="116" t="s">
        <v>107</v>
      </c>
      <c r="Y21" s="116" t="s">
        <v>108</v>
      </c>
      <c r="Z21" s="114">
        <f>IF(INDIRECT("Y21")="Clássico","12%",IF(INDIRECT("Y21")="Premium","17%","-"))</f>
      </c>
      <c r="AA21" s="116" t="s">
        <v>109</v>
      </c>
      <c r="AB21" s="116" t="s">
        <v>110</v>
      </c>
      <c r="AC21" s="116" t="n">
        <v>30.0</v>
      </c>
      <c r="AD21" s="116" t="s">
        <v>111</v>
      </c>
      <c r="AE21" s="117" t="s">
        <v>112</v>
      </c>
      <c r="AF21" s="114" t="s">
        <v>200</v>
      </c>
      <c r="AG21" s="116" t="n">
        <v>20.0</v>
      </c>
      <c r="AH21" s="116" t="n">
        <v>10.0</v>
      </c>
      <c r="AI21" s="116" t="n">
        <v>6.0</v>
      </c>
      <c r="AJ21" s="116" t="n">
        <v>0.06</v>
      </c>
    </row>
    <row r="22" ht="50.0" customHeight="true">
      <c r="A22" s="114" t="s">
        <v>225</v>
      </c>
      <c r="B22" s="114" t="s">
        <v>226</v>
      </c>
      <c r="C22" s="114" t="s">
        <v>227</v>
      </c>
      <c r="D22" s="114"/>
      <c r="E22" s="115" t="s">
        <v>228</v>
      </c>
      <c r="F22" s="114" t="s">
        <v>229</v>
      </c>
      <c r="G22" s="114" t="s">
        <v>229</v>
      </c>
      <c r="H22" s="116" t="n">
        <v>137.0</v>
      </c>
      <c r="I22" s="116" t="n">
        <v>89.9</v>
      </c>
      <c r="J22" s="116" t="s">
        <v>103</v>
      </c>
      <c r="K22" s="116"/>
      <c r="L22" s="116"/>
      <c r="M22" s="116"/>
      <c r="N22" s="116"/>
      <c r="O22" s="116"/>
      <c r="P22" s="116"/>
      <c r="Q22" s="116"/>
      <c r="R22" s="116"/>
      <c r="S22" s="116"/>
      <c r="T22" s="116"/>
      <c r="U22" s="116" t="s">
        <v>104</v>
      </c>
      <c r="V22" s="118" t="s">
        <v>230</v>
      </c>
      <c r="W22" s="116" t="s">
        <v>130</v>
      </c>
      <c r="X22" s="116" t="s">
        <v>143</v>
      </c>
      <c r="Y22" s="116" t="s">
        <v>108</v>
      </c>
      <c r="Z22" s="114">
        <f>IF(INDIRECT("Y22")="Clássico","12%",IF(INDIRECT("Y22")="Premium","17%","-"))</f>
      </c>
      <c r="AA22" s="116" t="s">
        <v>109</v>
      </c>
      <c r="AB22" s="116" t="s">
        <v>110</v>
      </c>
      <c r="AC22" s="116" t="n">
        <v>3.0</v>
      </c>
      <c r="AD22" s="116" t="s">
        <v>121</v>
      </c>
      <c r="AE22" s="117" t="s">
        <v>112</v>
      </c>
      <c r="AF22" s="114" t="s">
        <v>144</v>
      </c>
      <c r="AG22" s="116" t="n">
        <v>20.0</v>
      </c>
      <c r="AH22" s="116" t="n">
        <v>16.0</v>
      </c>
      <c r="AI22" s="116" t="n">
        <v>10.0</v>
      </c>
      <c r="AJ22" s="116" t="n">
        <v>0.32</v>
      </c>
    </row>
    <row r="23" ht="50.0" customHeight="true">
      <c r="A23" s="114" t="s">
        <v>231</v>
      </c>
      <c r="B23" s="114" t="s">
        <v>232</v>
      </c>
      <c r="C23" s="114" t="s">
        <v>233</v>
      </c>
      <c r="D23" s="114"/>
      <c r="E23" s="115" t="s">
        <v>234</v>
      </c>
      <c r="F23" s="114" t="s">
        <v>235</v>
      </c>
      <c r="G23" s="114" t="s">
        <v>235</v>
      </c>
      <c r="H23" s="116" t="n">
        <v>98.0</v>
      </c>
      <c r="I23" s="116" t="n">
        <v>38.0</v>
      </c>
      <c r="J23" s="116" t="s">
        <v>103</v>
      </c>
      <c r="K23" s="116" t="n">
        <v>33.0</v>
      </c>
      <c r="L23" s="116" t="n">
        <v>5.0</v>
      </c>
      <c r="M23" s="116"/>
      <c r="N23" s="116"/>
      <c r="O23" s="116"/>
      <c r="P23" s="116"/>
      <c r="Q23" s="116"/>
      <c r="R23" s="116"/>
      <c r="S23" s="116"/>
      <c r="T23" s="116"/>
      <c r="U23" s="116" t="s">
        <v>104</v>
      </c>
      <c r="V23" s="118" t="s">
        <v>236</v>
      </c>
      <c r="W23" s="116" t="s">
        <v>106</v>
      </c>
      <c r="X23" s="116" t="s">
        <v>107</v>
      </c>
      <c r="Y23" s="116" t="s">
        <v>108</v>
      </c>
      <c r="Z23" s="114">
        <f>IF(INDIRECT("Y23")="Clássico","12%",IF(INDIRECT("Y23")="Premium","17%","-"))</f>
      </c>
      <c r="AA23" s="116" t="s">
        <v>109</v>
      </c>
      <c r="AB23" s="116" t="s">
        <v>110</v>
      </c>
      <c r="AC23" s="116" t="n">
        <v>30.0</v>
      </c>
      <c r="AD23" s="116" t="s">
        <v>121</v>
      </c>
      <c r="AE23" s="117" t="s">
        <v>112</v>
      </c>
      <c r="AF23" s="114" t="s">
        <v>122</v>
      </c>
      <c r="AG23" s="116" t="n">
        <v>26.0</v>
      </c>
      <c r="AH23" s="116" t="n">
        <v>18.0</v>
      </c>
      <c r="AI23" s="116" t="n">
        <v>4.0</v>
      </c>
      <c r="AJ23" s="116" t="n">
        <v>0.12</v>
      </c>
    </row>
    <row r="24" ht="50.0" customHeight="true">
      <c r="A24" s="114" t="s">
        <v>237</v>
      </c>
      <c r="B24" s="114" t="s">
        <v>238</v>
      </c>
      <c r="C24" s="114" t="s">
        <v>239</v>
      </c>
      <c r="D24" s="114"/>
      <c r="E24" s="115" t="s">
        <v>240</v>
      </c>
      <c r="F24" s="114" t="s">
        <v>241</v>
      </c>
      <c r="G24" s="114" t="s">
        <v>242</v>
      </c>
      <c r="H24" s="116" t="n">
        <v>70.0</v>
      </c>
      <c r="I24" s="116" t="n">
        <v>89.9</v>
      </c>
      <c r="J24" s="116" t="s">
        <v>103</v>
      </c>
      <c r="K24" s="116" t="n">
        <v>73.9</v>
      </c>
      <c r="L24" s="116" t="n">
        <v>5.0</v>
      </c>
      <c r="M24" s="116"/>
      <c r="N24" s="116"/>
      <c r="O24" s="116"/>
      <c r="P24" s="116"/>
      <c r="Q24" s="116"/>
      <c r="R24" s="116"/>
      <c r="S24" s="116"/>
      <c r="T24" s="116"/>
      <c r="U24" s="116" t="s">
        <v>104</v>
      </c>
      <c r="V24" s="118" t="s">
        <v>243</v>
      </c>
      <c r="W24" s="116" t="s">
        <v>106</v>
      </c>
      <c r="X24" s="116" t="s">
        <v>107</v>
      </c>
      <c r="Y24" s="116" t="s">
        <v>152</v>
      </c>
      <c r="Z24" s="114">
        <f>IF(INDIRECT("Y24")="Clássico","13%",IF(INDIRECT("Y24")="Premium","17%","-"))</f>
      </c>
      <c r="AA24" s="116" t="s">
        <v>109</v>
      </c>
      <c r="AB24" s="116" t="s">
        <v>110</v>
      </c>
      <c r="AC24" s="116" t="n">
        <v>30.0</v>
      </c>
      <c r="AD24" s="116" t="s">
        <v>111</v>
      </c>
      <c r="AE24" s="117" t="s">
        <v>112</v>
      </c>
      <c r="AF24" s="114" t="s">
        <v>244</v>
      </c>
      <c r="AG24" s="116" t="n">
        <v>15.0</v>
      </c>
      <c r="AH24" s="116" t="n">
        <v>9.0</v>
      </c>
      <c r="AI24" s="116" t="n">
        <v>5.0</v>
      </c>
      <c r="AJ24" s="116" t="n">
        <v>0.55</v>
      </c>
    </row>
    <row r="25" ht="50.0" customHeight="true">
      <c r="A25" s="114" t="s">
        <v>245</v>
      </c>
      <c r="B25" s="114" t="s">
        <v>246</v>
      </c>
      <c r="C25" s="114" t="s">
        <v>247</v>
      </c>
      <c r="D25" s="114"/>
      <c r="E25" s="115" t="s">
        <v>248</v>
      </c>
      <c r="F25" s="114" t="s">
        <v>249</v>
      </c>
      <c r="G25" s="114" t="s">
        <v>192</v>
      </c>
      <c r="H25" s="116" t="n">
        <v>50.0</v>
      </c>
      <c r="I25" s="116" t="n">
        <v>37.0</v>
      </c>
      <c r="J25" s="116" t="s">
        <v>103</v>
      </c>
      <c r="K25" s="116" t="n">
        <v>30.0</v>
      </c>
      <c r="L25" s="116" t="n">
        <v>2.0</v>
      </c>
      <c r="M25" s="116"/>
      <c r="N25" s="116"/>
      <c r="O25" s="116"/>
      <c r="P25" s="116"/>
      <c r="Q25" s="116"/>
      <c r="R25" s="116"/>
      <c r="S25" s="116"/>
      <c r="T25" s="116"/>
      <c r="U25" s="116" t="s">
        <v>104</v>
      </c>
      <c r="V25" s="118" t="s">
        <v>250</v>
      </c>
      <c r="W25" s="116" t="s">
        <v>106</v>
      </c>
      <c r="X25" s="116" t="s">
        <v>107</v>
      </c>
      <c r="Y25" s="116" t="s">
        <v>108</v>
      </c>
      <c r="Z25" s="114">
        <f>IF(INDIRECT("Y25")="Clássico","12%",IF(INDIRECT("Y25")="Premium","17%","-"))</f>
      </c>
      <c r="AA25" s="116" t="s">
        <v>109</v>
      </c>
      <c r="AB25" s="116" t="s">
        <v>110</v>
      </c>
      <c r="AC25" s="116" t="n">
        <v>3.0</v>
      </c>
      <c r="AD25" s="116" t="s">
        <v>121</v>
      </c>
      <c r="AE25" s="117" t="s">
        <v>112</v>
      </c>
      <c r="AF25" s="114" t="s">
        <v>144</v>
      </c>
      <c r="AG25" s="116" t="n">
        <v>22.0</v>
      </c>
      <c r="AH25" s="116" t="n">
        <v>16.0</v>
      </c>
      <c r="AI25" s="116" t="n">
        <v>8.0</v>
      </c>
      <c r="AJ25" s="116" t="n">
        <v>0.36</v>
      </c>
    </row>
    <row r="26" ht="50.0" customHeight="true">
      <c r="A26" s="114" t="s">
        <v>237</v>
      </c>
      <c r="B26" s="114" t="s">
        <v>251</v>
      </c>
      <c r="C26" s="114" t="s">
        <v>252</v>
      </c>
      <c r="D26" s="114"/>
      <c r="E26" s="115" t="s">
        <v>253</v>
      </c>
      <c r="F26" s="114" t="s">
        <v>241</v>
      </c>
      <c r="G26" s="114" t="s">
        <v>254</v>
      </c>
      <c r="H26" s="116" t="n">
        <v>4.0</v>
      </c>
      <c r="I26" s="116" t="n">
        <v>99.99</v>
      </c>
      <c r="J26" s="116" t="s">
        <v>103</v>
      </c>
      <c r="K26" s="116" t="n">
        <v>89.9</v>
      </c>
      <c r="L26" s="116" t="n">
        <v>2.0</v>
      </c>
      <c r="M26" s="116"/>
      <c r="N26" s="116"/>
      <c r="O26" s="116"/>
      <c r="P26" s="116"/>
      <c r="Q26" s="116"/>
      <c r="R26" s="116"/>
      <c r="S26" s="116"/>
      <c r="T26" s="116"/>
      <c r="U26" s="116" t="s">
        <v>104</v>
      </c>
      <c r="V26" s="118" t="s">
        <v>243</v>
      </c>
      <c r="W26" s="116" t="s">
        <v>130</v>
      </c>
      <c r="X26" s="116" t="s">
        <v>107</v>
      </c>
      <c r="Y26" s="116" t="s">
        <v>152</v>
      </c>
      <c r="Z26" s="114">
        <f>IF(INDIRECT("Y26")="Clássico","13%",IF(INDIRECT("Y26")="Premium","17%","-"))</f>
      </c>
      <c r="AA26" s="116" t="s">
        <v>109</v>
      </c>
      <c r="AB26" s="116" t="s">
        <v>110</v>
      </c>
      <c r="AC26" s="116" t="n">
        <v>30.0</v>
      </c>
      <c r="AD26" s="116" t="s">
        <v>111</v>
      </c>
      <c r="AE26" s="117" t="s">
        <v>112</v>
      </c>
      <c r="AF26" s="114" t="s">
        <v>244</v>
      </c>
      <c r="AG26" s="116" t="n">
        <v>15.0</v>
      </c>
      <c r="AH26" s="116" t="n">
        <v>9.0</v>
      </c>
      <c r="AI26" s="116" t="n">
        <v>5.0</v>
      </c>
      <c r="AJ26" s="116" t="n">
        <v>0.55</v>
      </c>
    </row>
    <row r="27" ht="50.0" customHeight="true">
      <c r="A27" s="114" t="s">
        <v>255</v>
      </c>
      <c r="B27" s="114" t="s">
        <v>256</v>
      </c>
      <c r="C27" s="114" t="s">
        <v>257</v>
      </c>
      <c r="D27" s="114"/>
      <c r="E27" s="115" t="s">
        <v>258</v>
      </c>
      <c r="F27" s="114" t="s">
        <v>259</v>
      </c>
      <c r="G27" s="114" t="s">
        <v>260</v>
      </c>
      <c r="H27" s="116" t="n">
        <v>7.0</v>
      </c>
      <c r="I27" s="116" t="n">
        <v>2999.0</v>
      </c>
      <c r="J27" s="116" t="s">
        <v>103</v>
      </c>
      <c r="K27" s="116" t="n">
        <v>2890.0</v>
      </c>
      <c r="L27" s="116" t="n">
        <v>2.0</v>
      </c>
      <c r="M27" s="116"/>
      <c r="N27" s="116"/>
      <c r="O27" s="116"/>
      <c r="P27" s="116"/>
      <c r="Q27" s="116"/>
      <c r="R27" s="116"/>
      <c r="S27" s="116"/>
      <c r="T27" s="116"/>
      <c r="U27" s="116" t="s">
        <v>104</v>
      </c>
      <c r="V27" s="118" t="s">
        <v>261</v>
      </c>
      <c r="W27" s="116" t="s">
        <v>130</v>
      </c>
      <c r="X27" s="116" t="s">
        <v>143</v>
      </c>
      <c r="Y27" s="116" t="s">
        <v>152</v>
      </c>
      <c r="Z27" s="114">
        <f>IF(INDIRECT("Y27")="Clássico","12%",IF(INDIRECT("Y27")="Premium","17%","-"))</f>
      </c>
      <c r="AA27" s="116" t="s">
        <v>109</v>
      </c>
      <c r="AB27" s="116" t="s">
        <v>110</v>
      </c>
      <c r="AC27" s="116" t="n">
        <v>30.0</v>
      </c>
      <c r="AD27" s="116" t="s">
        <v>111</v>
      </c>
      <c r="AE27" s="117" t="s">
        <v>112</v>
      </c>
      <c r="AF27" s="114" t="s">
        <v>262</v>
      </c>
      <c r="AG27" s="116" t="n">
        <v>62.0</v>
      </c>
      <c r="AH27" s="116" t="n">
        <v>36.0</v>
      </c>
      <c r="AI27" s="116" t="n">
        <v>27.0</v>
      </c>
      <c r="AJ27" s="116" t="n">
        <v>39.0</v>
      </c>
    </row>
    <row r="28" ht="50.0" customHeight="true">
      <c r="A28" s="114" t="s">
        <v>263</v>
      </c>
      <c r="B28" s="114" t="s">
        <v>264</v>
      </c>
      <c r="C28" s="114" t="s">
        <v>265</v>
      </c>
      <c r="D28" s="114"/>
      <c r="E28" s="115" t="s">
        <v>266</v>
      </c>
      <c r="F28" s="114" t="s">
        <v>267</v>
      </c>
      <c r="G28" s="114" t="s">
        <v>268</v>
      </c>
      <c r="H28" s="116" t="n">
        <v>4.0</v>
      </c>
      <c r="I28" s="116" t="n">
        <v>44.0</v>
      </c>
      <c r="J28" s="116" t="s">
        <v>103</v>
      </c>
      <c r="K28" s="116"/>
      <c r="L28" s="116"/>
      <c r="M28" s="116"/>
      <c r="N28" s="116"/>
      <c r="O28" s="116"/>
      <c r="P28" s="116"/>
      <c r="Q28" s="116"/>
      <c r="R28" s="116"/>
      <c r="S28" s="116"/>
      <c r="T28" s="116"/>
      <c r="U28" s="116" t="s">
        <v>104</v>
      </c>
      <c r="V28" s="118" t="s">
        <v>170</v>
      </c>
      <c r="W28" s="116" t="s">
        <v>106</v>
      </c>
      <c r="X28" s="114" t="s">
        <v>107</v>
      </c>
      <c r="Y28" s="116" t="s">
        <v>108</v>
      </c>
      <c r="Z28" s="114">
        <f>IF(INDIRECT("Y28")="Clássico","11.5%",IF(INDIRECT("Y28")="Premium","16.5%","-"))</f>
      </c>
      <c r="AA28" s="116" t="s">
        <v>109</v>
      </c>
      <c r="AB28" s="116" t="s">
        <v>110</v>
      </c>
      <c r="AC28" s="116" t="n">
        <v>30.0</v>
      </c>
      <c r="AD28" s="116" t="s">
        <v>111</v>
      </c>
      <c r="AE28" s="114" t="s">
        <v>131</v>
      </c>
      <c r="AF28" s="114" t="s">
        <v>186</v>
      </c>
      <c r="AG28" s="114" t="s">
        <v>269</v>
      </c>
      <c r="AH28" s="114" t="s">
        <v>270</v>
      </c>
      <c r="AI28" s="114" t="s">
        <v>271</v>
      </c>
      <c r="AJ28" s="114" t="s">
        <v>272</v>
      </c>
    </row>
    <row r="29" ht="50.0" customHeight="true">
      <c r="A29" s="114" t="s">
        <v>273</v>
      </c>
      <c r="B29" s="114" t="s">
        <v>274</v>
      </c>
      <c r="C29" s="114" t="s">
        <v>275</v>
      </c>
      <c r="D29" s="114"/>
      <c r="E29" s="115" t="s">
        <v>276</v>
      </c>
      <c r="F29" s="114" t="s">
        <v>277</v>
      </c>
      <c r="G29" s="114" t="s">
        <v>278</v>
      </c>
      <c r="H29" s="116" t="n">
        <v>2.0</v>
      </c>
      <c r="I29" s="116" t="n">
        <v>62.9</v>
      </c>
      <c r="J29" s="116" t="s">
        <v>103</v>
      </c>
      <c r="K29" s="116" t="n">
        <v>57.0</v>
      </c>
      <c r="L29" s="116" t="n">
        <v>2.0</v>
      </c>
      <c r="M29" s="116"/>
      <c r="N29" s="116"/>
      <c r="O29" s="116"/>
      <c r="P29" s="116"/>
      <c r="Q29" s="116"/>
      <c r="R29" s="116"/>
      <c r="S29" s="116"/>
      <c r="T29" s="116"/>
      <c r="U29" s="116" t="s">
        <v>104</v>
      </c>
      <c r="V29" s="118" t="s">
        <v>279</v>
      </c>
      <c r="W29" s="116" t="s">
        <v>106</v>
      </c>
      <c r="X29" s="116" t="s">
        <v>143</v>
      </c>
      <c r="Y29" s="116" t="s">
        <v>108</v>
      </c>
      <c r="Z29" s="114">
        <f>IF(INDIRECT("Y29")="Clássico","12.5%",IF(INDIRECT("Y29")="Premium","17.5%","-"))</f>
      </c>
      <c r="AA29" s="116" t="s">
        <v>109</v>
      </c>
      <c r="AB29" s="116" t="s">
        <v>110</v>
      </c>
      <c r="AC29" s="116" t="n">
        <v>30.0</v>
      </c>
      <c r="AD29" s="116" t="s">
        <v>111</v>
      </c>
      <c r="AE29" s="117" t="s">
        <v>112</v>
      </c>
      <c r="AF29" s="114" t="s">
        <v>280</v>
      </c>
      <c r="AG29" s="116" t="n">
        <v>28.0</v>
      </c>
      <c r="AH29" s="116" t="n">
        <v>25.0</v>
      </c>
      <c r="AI29" s="116" t="n">
        <v>6.0</v>
      </c>
      <c r="AJ29" s="116" t="n">
        <v>1.45</v>
      </c>
    </row>
    <row r="30" ht="50.0" customHeight="true">
      <c r="A30" s="114" t="s">
        <v>281</v>
      </c>
      <c r="B30" s="114" t="s">
        <v>282</v>
      </c>
      <c r="C30" s="114" t="s">
        <v>283</v>
      </c>
      <c r="D30" s="114"/>
      <c r="E30" s="115" t="s">
        <v>284</v>
      </c>
      <c r="F30" s="114" t="s">
        <v>285</v>
      </c>
      <c r="G30" s="114" t="s">
        <v>285</v>
      </c>
      <c r="H30" s="116" t="n">
        <v>3.0</v>
      </c>
      <c r="I30" s="116" t="n">
        <v>89.9</v>
      </c>
      <c r="J30" s="116" t="s">
        <v>103</v>
      </c>
      <c r="K30" s="116" t="n">
        <v>75.0</v>
      </c>
      <c r="L30" s="116" t="n">
        <v>2.0</v>
      </c>
      <c r="M30" s="116"/>
      <c r="N30" s="116"/>
      <c r="O30" s="116"/>
      <c r="P30" s="116"/>
      <c r="Q30" s="116"/>
      <c r="R30" s="116"/>
      <c r="S30" s="116"/>
      <c r="T30" s="116"/>
      <c r="U30" s="116" t="s">
        <v>104</v>
      </c>
      <c r="V30" s="118" t="s">
        <v>286</v>
      </c>
      <c r="W30" s="116" t="s">
        <v>106</v>
      </c>
      <c r="X30" s="114" t="s">
        <v>107</v>
      </c>
      <c r="Y30" s="116" t="s">
        <v>152</v>
      </c>
      <c r="Z30" s="114">
        <f>IF(INDIRECT("Y30")="Clássico","12%",IF(INDIRECT("Y30")="Premium","17%","-"))</f>
      </c>
      <c r="AA30" s="116" t="s">
        <v>109</v>
      </c>
      <c r="AB30" s="116" t="s">
        <v>110</v>
      </c>
      <c r="AC30" s="116" t="n">
        <v>30.0</v>
      </c>
      <c r="AD30" s="116" t="s">
        <v>111</v>
      </c>
      <c r="AE30" s="114" t="s">
        <v>131</v>
      </c>
      <c r="AF30" s="114" t="s">
        <v>200</v>
      </c>
      <c r="AG30" s="114" t="s">
        <v>287</v>
      </c>
      <c r="AH30" s="114" t="s">
        <v>288</v>
      </c>
      <c r="AI30" s="114" t="s">
        <v>289</v>
      </c>
      <c r="AJ30" s="114" t="s">
        <v>290</v>
      </c>
    </row>
    <row r="31" ht="50.0" customHeight="true">
      <c r="A31" s="114" t="s">
        <v>291</v>
      </c>
      <c r="B31" s="114" t="s">
        <v>292</v>
      </c>
      <c r="C31" s="114" t="s">
        <v>293</v>
      </c>
      <c r="D31" s="114"/>
      <c r="E31" s="115" t="s">
        <v>248</v>
      </c>
      <c r="F31" s="114" t="s">
        <v>294</v>
      </c>
      <c r="G31" s="114" t="s">
        <v>192</v>
      </c>
      <c r="H31" s="116" t="n">
        <v>80.0</v>
      </c>
      <c r="I31" s="116" t="n">
        <v>28.9</v>
      </c>
      <c r="J31" s="116" t="s">
        <v>103</v>
      </c>
      <c r="K31" s="116" t="n">
        <v>22.3</v>
      </c>
      <c r="L31" s="116" t="n">
        <v>5.0</v>
      </c>
      <c r="M31" s="116"/>
      <c r="N31" s="116"/>
      <c r="O31" s="116"/>
      <c r="P31" s="116"/>
      <c r="Q31" s="116"/>
      <c r="R31" s="116"/>
      <c r="S31" s="116"/>
      <c r="T31" s="116"/>
      <c r="U31" s="116" t="s">
        <v>104</v>
      </c>
      <c r="V31" s="118" t="s">
        <v>295</v>
      </c>
      <c r="W31" s="116" t="s">
        <v>106</v>
      </c>
      <c r="X31" s="116" t="s">
        <v>107</v>
      </c>
      <c r="Y31" s="116" t="s">
        <v>108</v>
      </c>
      <c r="Z31" s="114">
        <f>IF(INDIRECT("Y31")="Clássico","12%",IF(INDIRECT("Y31")="Premium","17%","-"))</f>
      </c>
      <c r="AA31" s="116" t="s">
        <v>109</v>
      </c>
      <c r="AB31" s="116" t="s">
        <v>110</v>
      </c>
      <c r="AC31" s="116" t="n">
        <v>30.0</v>
      </c>
      <c r="AD31" s="116" t="s">
        <v>111</v>
      </c>
      <c r="AE31" s="117" t="s">
        <v>112</v>
      </c>
      <c r="AF31" s="114" t="s">
        <v>144</v>
      </c>
      <c r="AG31" s="116" t="n">
        <v>22.0</v>
      </c>
      <c r="AH31" s="116" t="n">
        <v>17.0</v>
      </c>
      <c r="AI31" s="116" t="n">
        <v>7.0</v>
      </c>
      <c r="AJ31" s="116" t="n">
        <v>0.2</v>
      </c>
    </row>
    <row r="32" ht="50.0" customHeight="true">
      <c r="A32" s="114" t="s">
        <v>296</v>
      </c>
      <c r="B32" s="114" t="s">
        <v>297</v>
      </c>
      <c r="C32" s="114" t="s">
        <v>298</v>
      </c>
      <c r="D32" s="114"/>
      <c r="E32" s="115" t="s">
        <v>284</v>
      </c>
      <c r="F32" s="114" t="s">
        <v>299</v>
      </c>
      <c r="G32" s="114" t="s">
        <v>192</v>
      </c>
      <c r="H32" s="116" t="n">
        <v>142.0</v>
      </c>
      <c r="I32" s="116" t="n">
        <v>54.9</v>
      </c>
      <c r="J32" s="116" t="s">
        <v>103</v>
      </c>
      <c r="K32" s="116" t="n">
        <v>44.52</v>
      </c>
      <c r="L32" s="116" t="n">
        <v>4.0</v>
      </c>
      <c r="M32" s="116"/>
      <c r="N32" s="116"/>
      <c r="O32" s="116"/>
      <c r="P32" s="116"/>
      <c r="Q32" s="116"/>
      <c r="R32" s="116"/>
      <c r="S32" s="116"/>
      <c r="T32" s="116"/>
      <c r="U32" s="116" t="s">
        <v>104</v>
      </c>
      <c r="V32" s="118" t="s">
        <v>300</v>
      </c>
      <c r="W32" s="116" t="s">
        <v>106</v>
      </c>
      <c r="X32" s="116" t="s">
        <v>143</v>
      </c>
      <c r="Y32" s="116" t="s">
        <v>152</v>
      </c>
      <c r="Z32" s="114">
        <f>IF(INDIRECT("Y32")="Clássico","12%",IF(INDIRECT("Y32")="Premium","17%","-"))</f>
      </c>
      <c r="AA32" s="116" t="s">
        <v>109</v>
      </c>
      <c r="AB32" s="116" t="s">
        <v>110</v>
      </c>
      <c r="AC32" s="116" t="n">
        <v>30.0</v>
      </c>
      <c r="AD32" s="116" t="s">
        <v>111</v>
      </c>
      <c r="AE32" s="117" t="s">
        <v>112</v>
      </c>
      <c r="AF32" s="114" t="s">
        <v>144</v>
      </c>
      <c r="AG32" s="116" t="n">
        <v>28.0</v>
      </c>
      <c r="AH32" s="116" t="n">
        <v>17.0</v>
      </c>
      <c r="AI32" s="116" t="n">
        <v>8.0</v>
      </c>
      <c r="AJ32" s="116" t="n">
        <v>0.37</v>
      </c>
    </row>
    <row r="33" ht="50.0" customHeight="true">
      <c r="A33" s="114" t="s">
        <v>301</v>
      </c>
      <c r="B33" s="114" t="s">
        <v>302</v>
      </c>
      <c r="C33" s="114" t="s">
        <v>303</v>
      </c>
      <c r="D33" s="114"/>
      <c r="E33" s="115" t="s">
        <v>304</v>
      </c>
      <c r="F33" s="114" t="s">
        <v>305</v>
      </c>
      <c r="G33" s="114" t="s">
        <v>102</v>
      </c>
      <c r="H33" s="116" t="n">
        <v>2.0</v>
      </c>
      <c r="I33" s="116" t="n">
        <v>52.0</v>
      </c>
      <c r="J33" s="116" t="s">
        <v>103</v>
      </c>
      <c r="K33" s="116" t="n">
        <v>43.0</v>
      </c>
      <c r="L33" s="116" t="n">
        <v>2.0</v>
      </c>
      <c r="M33" s="116"/>
      <c r="N33" s="116"/>
      <c r="O33" s="116"/>
      <c r="P33" s="116"/>
      <c r="Q33" s="116"/>
      <c r="R33" s="116"/>
      <c r="S33" s="116"/>
      <c r="T33" s="116"/>
      <c r="U33" s="114" t="s">
        <v>104</v>
      </c>
      <c r="V33" s="114" t="s">
        <v>306</v>
      </c>
      <c r="W33" s="116" t="s">
        <v>106</v>
      </c>
      <c r="X33" s="116" t="s">
        <v>143</v>
      </c>
      <c r="Y33" s="116" t="s">
        <v>152</v>
      </c>
      <c r="Z33" s="114">
        <f>IF(INDIRECT("Y33")="Clássico","13%",IF(INDIRECT("Y33")="Premium","18%","-"))</f>
      </c>
      <c r="AA33" s="116" t="s">
        <v>109</v>
      </c>
      <c r="AB33" s="116" t="s">
        <v>110</v>
      </c>
      <c r="AC33" s="116" t="n">
        <v>30.0</v>
      </c>
      <c r="AD33" s="116" t="s">
        <v>111</v>
      </c>
      <c r="AE33" s="117" t="s">
        <v>112</v>
      </c>
      <c r="AF33" s="114" t="s">
        <v>307</v>
      </c>
      <c r="AG33" s="116" t="n">
        <v>16.0</v>
      </c>
      <c r="AH33" s="116" t="n">
        <v>5.0</v>
      </c>
      <c r="AI33" s="116" t="n">
        <v>2.0</v>
      </c>
      <c r="AJ33" s="116" t="n">
        <v>0.04</v>
      </c>
    </row>
    <row r="34" ht="50.0" customHeight="true">
      <c r="A34" s="114" t="s">
        <v>123</v>
      </c>
      <c r="B34" s="114" t="s">
        <v>308</v>
      </c>
      <c r="C34" s="114" t="s">
        <v>125</v>
      </c>
      <c r="D34" s="114"/>
      <c r="E34" s="115" t="s">
        <v>126</v>
      </c>
      <c r="F34" s="114" t="s">
        <v>309</v>
      </c>
      <c r="G34" s="114" t="s">
        <v>102</v>
      </c>
      <c r="H34" s="116" t="n">
        <v>12.0</v>
      </c>
      <c r="I34" s="116" t="n">
        <v>77.9</v>
      </c>
      <c r="J34" s="116" t="s">
        <v>103</v>
      </c>
      <c r="K34" s="116"/>
      <c r="L34" s="116"/>
      <c r="M34" s="116"/>
      <c r="N34" s="116"/>
      <c r="O34" s="116"/>
      <c r="P34" s="116"/>
      <c r="Q34" s="116"/>
      <c r="R34" s="116"/>
      <c r="S34" s="116"/>
      <c r="T34" s="116"/>
      <c r="U34" s="114" t="s">
        <v>104</v>
      </c>
      <c r="V34" s="114" t="s">
        <v>22</v>
      </c>
      <c r="W34" s="116" t="s">
        <v>130</v>
      </c>
      <c r="X34" s="114" t="s">
        <v>107</v>
      </c>
      <c r="Y34" s="116" t="s">
        <v>108</v>
      </c>
      <c r="Z34" s="114">
        <f>IF(INDIRECT("Y34")="Clássico","12%",IF(INDIRECT("Y34")="Premium","17%","-"))</f>
      </c>
      <c r="AA34" s="116" t="s">
        <v>109</v>
      </c>
      <c r="AB34" s="116" t="s">
        <v>110</v>
      </c>
      <c r="AC34" s="116" t="n">
        <v>30.0</v>
      </c>
      <c r="AD34" s="116" t="s">
        <v>111</v>
      </c>
      <c r="AE34" s="114" t="s">
        <v>131</v>
      </c>
      <c r="AF34" s="114" t="s">
        <v>132</v>
      </c>
      <c r="AG34" s="114" t="s">
        <v>133</v>
      </c>
      <c r="AH34" s="114" t="s">
        <v>134</v>
      </c>
      <c r="AI34" s="114" t="s">
        <v>135</v>
      </c>
      <c r="AJ34" s="114" t="s">
        <v>136</v>
      </c>
    </row>
    <row r="35" ht="50.0" customHeight="true">
      <c r="A35" s="114" t="s">
        <v>310</v>
      </c>
      <c r="B35" s="114" t="s">
        <v>311</v>
      </c>
      <c r="C35" s="114" t="s">
        <v>312</v>
      </c>
      <c r="D35" s="114"/>
      <c r="E35" s="115" t="s">
        <v>313</v>
      </c>
      <c r="F35" s="114" t="s">
        <v>314</v>
      </c>
      <c r="G35" s="114" t="s">
        <v>315</v>
      </c>
      <c r="H35" s="116" t="n">
        <v>93.0</v>
      </c>
      <c r="I35" s="116" t="n">
        <v>134.9</v>
      </c>
      <c r="J35" s="116" t="s">
        <v>103</v>
      </c>
      <c r="K35" s="116" t="n">
        <v>131.9</v>
      </c>
      <c r="L35" s="116" t="n">
        <v>4.0</v>
      </c>
      <c r="M35" s="116"/>
      <c r="N35" s="116"/>
      <c r="O35" s="116"/>
      <c r="P35" s="116"/>
      <c r="Q35" s="116"/>
      <c r="R35" s="116"/>
      <c r="S35" s="116"/>
      <c r="T35" s="116"/>
      <c r="U35" s="116" t="s">
        <v>104</v>
      </c>
      <c r="V35" s="118" t="s">
        <v>316</v>
      </c>
      <c r="W35" s="116" t="s">
        <v>130</v>
      </c>
      <c r="X35" s="116" t="s">
        <v>143</v>
      </c>
      <c r="Y35" s="116" t="s">
        <v>152</v>
      </c>
      <c r="Z35" s="114">
        <f>IF(INDIRECT("Y35")="Clássico","11.5%",IF(INDIRECT("Y35")="Premium","16.5%","-"))</f>
      </c>
      <c r="AA35" s="116" t="s">
        <v>109</v>
      </c>
      <c r="AB35" s="116" t="s">
        <v>110</v>
      </c>
      <c r="AC35" s="116" t="n">
        <v>30.0</v>
      </c>
      <c r="AD35" s="116" t="s">
        <v>111</v>
      </c>
      <c r="AE35" s="117" t="s">
        <v>112</v>
      </c>
      <c r="AF35" s="114" t="s">
        <v>317</v>
      </c>
      <c r="AG35" s="116" t="n">
        <v>22.0</v>
      </c>
      <c r="AH35" s="116" t="n">
        <v>16.0</v>
      </c>
      <c r="AI35" s="116" t="n">
        <v>16.0</v>
      </c>
      <c r="AJ35" s="116" t="n">
        <v>0.9</v>
      </c>
    </row>
    <row r="36" ht="50.0" customHeight="true">
      <c r="A36" s="114" t="s">
        <v>318</v>
      </c>
      <c r="B36" s="114" t="s">
        <v>319</v>
      </c>
      <c r="C36" s="114" t="s">
        <v>320</v>
      </c>
      <c r="D36" s="114"/>
      <c r="E36" s="115" t="s">
        <v>321</v>
      </c>
      <c r="F36" s="114" t="s">
        <v>322</v>
      </c>
      <c r="G36" s="114" t="s">
        <v>322</v>
      </c>
      <c r="H36" s="116" t="n">
        <v>4.0</v>
      </c>
      <c r="I36" s="116" t="n">
        <v>110.0</v>
      </c>
      <c r="J36" s="116" t="s">
        <v>103</v>
      </c>
      <c r="K36" s="116" t="n">
        <v>99.9</v>
      </c>
      <c r="L36" s="116" t="n">
        <v>2.0</v>
      </c>
      <c r="M36" s="116" t="n">
        <v>97.0</v>
      </c>
      <c r="N36" s="116" t="n">
        <v>4.0</v>
      </c>
      <c r="O36" s="116"/>
      <c r="P36" s="116"/>
      <c r="Q36" s="116"/>
      <c r="R36" s="116"/>
      <c r="S36" s="116"/>
      <c r="T36" s="116"/>
      <c r="U36" s="116" t="s">
        <v>104</v>
      </c>
      <c r="V36" s="118" t="s">
        <v>323</v>
      </c>
      <c r="W36" s="116" t="s">
        <v>130</v>
      </c>
      <c r="X36" s="116" t="s">
        <v>107</v>
      </c>
      <c r="Y36" s="116" t="s">
        <v>152</v>
      </c>
      <c r="Z36" s="114">
        <f>IF(INDIRECT("Y36")="Clássico","12%",IF(INDIRECT("Y36")="Premium","17%","-"))</f>
      </c>
      <c r="AA36" s="116" t="s">
        <v>109</v>
      </c>
      <c r="AB36" s="116" t="s">
        <v>110</v>
      </c>
      <c r="AC36" s="116" t="n">
        <v>30.0</v>
      </c>
      <c r="AD36" s="116" t="s">
        <v>111</v>
      </c>
      <c r="AE36" s="117" t="s">
        <v>112</v>
      </c>
      <c r="AF36" s="114" t="s">
        <v>324</v>
      </c>
      <c r="AG36" s="116" t="n">
        <v>30.0</v>
      </c>
      <c r="AH36" s="116" t="n">
        <v>21.0</v>
      </c>
      <c r="AI36" s="116" t="n">
        <v>8.0</v>
      </c>
      <c r="AJ36" s="116" t="n">
        <v>0.35</v>
      </c>
    </row>
    <row r="37" ht="50.0" customHeight="true">
      <c r="A37" s="114" t="s">
        <v>325</v>
      </c>
      <c r="B37" s="114" t="s">
        <v>326</v>
      </c>
      <c r="C37" s="114" t="s">
        <v>327</v>
      </c>
      <c r="D37" s="114"/>
      <c r="E37" s="115" t="s">
        <v>328</v>
      </c>
      <c r="F37" s="114" t="s">
        <v>329</v>
      </c>
      <c r="G37" s="114" t="s">
        <v>330</v>
      </c>
      <c r="H37" s="116" t="n">
        <v>44.0</v>
      </c>
      <c r="I37" s="116" t="n">
        <v>60.0</v>
      </c>
      <c r="J37" s="116" t="s">
        <v>103</v>
      </c>
      <c r="K37" s="116" t="n">
        <v>22.0</v>
      </c>
      <c r="L37" s="116" t="n">
        <v>4.0</v>
      </c>
      <c r="M37" s="116"/>
      <c r="N37" s="116"/>
      <c r="O37" s="116"/>
      <c r="P37" s="116"/>
      <c r="Q37" s="116"/>
      <c r="R37" s="116"/>
      <c r="S37" s="116"/>
      <c r="T37" s="116"/>
      <c r="U37" s="116" t="s">
        <v>104</v>
      </c>
      <c r="V37" s="118" t="s">
        <v>331</v>
      </c>
      <c r="W37" s="116" t="s">
        <v>106</v>
      </c>
      <c r="X37" s="116" t="s">
        <v>107</v>
      </c>
      <c r="Y37" s="116" t="s">
        <v>152</v>
      </c>
      <c r="Z37" s="114">
        <f>IF(INDIRECT("Y37")="Clássico","14%",IF(INDIRECT("Y37")="Premium","19%","-"))</f>
      </c>
      <c r="AA37" s="116" t="s">
        <v>109</v>
      </c>
      <c r="AB37" s="116" t="s">
        <v>110</v>
      </c>
      <c r="AC37" s="116" t="n">
        <v>30.0</v>
      </c>
      <c r="AD37" s="116" t="s">
        <v>111</v>
      </c>
      <c r="AE37" s="117" t="s">
        <v>112</v>
      </c>
      <c r="AF37" s="114" t="s">
        <v>113</v>
      </c>
      <c r="AG37" s="116" t="n">
        <v>31.0</v>
      </c>
      <c r="AH37" s="116" t="n">
        <v>25.0</v>
      </c>
      <c r="AI37" s="116" t="n">
        <v>12.0</v>
      </c>
      <c r="AJ37" s="116" t="n">
        <v>0.37</v>
      </c>
    </row>
    <row r="38" ht="50.0" customHeight="true">
      <c r="A38" s="114" t="s">
        <v>332</v>
      </c>
      <c r="B38" s="114" t="s">
        <v>333</v>
      </c>
      <c r="C38" s="114" t="s">
        <v>334</v>
      </c>
      <c r="D38" s="114"/>
      <c r="E38" s="115" t="s">
        <v>335</v>
      </c>
      <c r="F38" s="114" t="s">
        <v>336</v>
      </c>
      <c r="G38" s="114" t="s">
        <v>336</v>
      </c>
      <c r="H38" s="116" t="n">
        <v>30.0</v>
      </c>
      <c r="I38" s="116" t="n">
        <v>28.9</v>
      </c>
      <c r="J38" s="116" t="s">
        <v>103</v>
      </c>
      <c r="K38" s="116" t="n">
        <v>26.7</v>
      </c>
      <c r="L38" s="116" t="n">
        <v>5.0</v>
      </c>
      <c r="M38" s="116"/>
      <c r="N38" s="116"/>
      <c r="O38" s="116"/>
      <c r="P38" s="116"/>
      <c r="Q38" s="116"/>
      <c r="R38" s="116"/>
      <c r="S38" s="116"/>
      <c r="T38" s="116"/>
      <c r="U38" s="116" t="s">
        <v>104</v>
      </c>
      <c r="V38" s="118" t="s">
        <v>337</v>
      </c>
      <c r="W38" s="116" t="s">
        <v>106</v>
      </c>
      <c r="X38" s="116" t="s">
        <v>107</v>
      </c>
      <c r="Y38" s="116" t="s">
        <v>152</v>
      </c>
      <c r="Z38" s="114">
        <f>IF(INDIRECT("Y38")="Clássico","12%",IF(INDIRECT("Y38")="Premium","17%","-"))</f>
      </c>
      <c r="AA38" s="116" t="s">
        <v>109</v>
      </c>
      <c r="AB38" s="116" t="s">
        <v>110</v>
      </c>
      <c r="AC38" s="116" t="n">
        <v>3.0</v>
      </c>
      <c r="AD38" s="116" t="s">
        <v>121</v>
      </c>
      <c r="AE38" s="117" t="s">
        <v>112</v>
      </c>
      <c r="AF38" s="114" t="s">
        <v>144</v>
      </c>
      <c r="AG38" s="116" t="n">
        <v>22.0</v>
      </c>
      <c r="AH38" s="116" t="n">
        <v>17.0</v>
      </c>
      <c r="AI38" s="116" t="n">
        <v>6.0</v>
      </c>
      <c r="AJ38" s="116" t="n">
        <v>0.17</v>
      </c>
    </row>
    <row r="39" ht="50.0" customHeight="true">
      <c r="A39" s="114" t="s">
        <v>338</v>
      </c>
      <c r="B39" s="114" t="s">
        <v>339</v>
      </c>
      <c r="C39" s="114" t="s">
        <v>340</v>
      </c>
      <c r="D39" s="114"/>
      <c r="E39" s="115" t="s">
        <v>341</v>
      </c>
      <c r="F39" s="114" t="s">
        <v>342</v>
      </c>
      <c r="G39" s="114" t="s">
        <v>343</v>
      </c>
      <c r="H39" s="116" t="n">
        <v>146.0</v>
      </c>
      <c r="I39" s="116" t="n">
        <v>16.99</v>
      </c>
      <c r="J39" s="116" t="s">
        <v>103</v>
      </c>
      <c r="K39" s="116" t="n">
        <v>12.0</v>
      </c>
      <c r="L39" s="116" t="n">
        <v>5.0</v>
      </c>
      <c r="M39" s="116" t="n">
        <v>11.8</v>
      </c>
      <c r="N39" s="116" t="n">
        <v>10.0</v>
      </c>
      <c r="O39" s="116"/>
      <c r="P39" s="116"/>
      <c r="Q39" s="116"/>
      <c r="R39" s="116"/>
      <c r="S39" s="116"/>
      <c r="T39" s="116"/>
      <c r="U39" s="116" t="s">
        <v>104</v>
      </c>
      <c r="V39" s="118" t="s">
        <v>344</v>
      </c>
      <c r="W39" s="116" t="s">
        <v>106</v>
      </c>
      <c r="X39" s="116" t="s">
        <v>107</v>
      </c>
      <c r="Y39" s="116" t="s">
        <v>108</v>
      </c>
      <c r="Z39" s="114">
        <f>IF(INDIRECT("Y39")="Clássico","14%",IF(INDIRECT("Y39")="Premium","19%","-"))</f>
      </c>
      <c r="AA39" s="116" t="s">
        <v>109</v>
      </c>
      <c r="AB39" s="116" t="s">
        <v>110</v>
      </c>
      <c r="AC39" s="116" t="n">
        <v>30.0</v>
      </c>
      <c r="AD39" s="116" t="s">
        <v>111</v>
      </c>
      <c r="AE39" s="117" t="s">
        <v>112</v>
      </c>
      <c r="AF39" s="114" t="s">
        <v>113</v>
      </c>
      <c r="AG39" s="116" t="n">
        <v>12.0</v>
      </c>
      <c r="AH39" s="116" t="n">
        <v>9.0</v>
      </c>
      <c r="AI39" s="116" t="n">
        <v>2.0</v>
      </c>
      <c r="AJ39" s="116" t="n">
        <v>0.07</v>
      </c>
    </row>
    <row r="40" ht="50.0" customHeight="true">
      <c r="A40" s="114" t="s">
        <v>345</v>
      </c>
      <c r="B40" s="114" t="s">
        <v>346</v>
      </c>
      <c r="C40" s="114" t="s">
        <v>347</v>
      </c>
      <c r="D40" s="114"/>
      <c r="E40" s="115" t="s">
        <v>348</v>
      </c>
      <c r="F40" s="114" t="s">
        <v>349</v>
      </c>
      <c r="G40" s="114" t="s">
        <v>349</v>
      </c>
      <c r="H40" s="116" t="n">
        <v>1.0</v>
      </c>
      <c r="I40" s="116" t="n">
        <v>1600.0</v>
      </c>
      <c r="J40" s="116" t="s">
        <v>103</v>
      </c>
      <c r="K40" s="116" t="n">
        <v>1500.0</v>
      </c>
      <c r="L40" s="116" t="n">
        <v>2.0</v>
      </c>
      <c r="M40" s="116"/>
      <c r="N40" s="116"/>
      <c r="O40" s="116"/>
      <c r="P40" s="116"/>
      <c r="Q40" s="116"/>
      <c r="R40" s="116"/>
      <c r="S40" s="116"/>
      <c r="T40" s="116"/>
      <c r="U40" s="116" t="s">
        <v>104</v>
      </c>
      <c r="V40" s="118" t="s">
        <v>350</v>
      </c>
      <c r="W40" s="116" t="s">
        <v>130</v>
      </c>
      <c r="X40" s="116" t="s">
        <v>143</v>
      </c>
      <c r="Y40" s="116" t="s">
        <v>152</v>
      </c>
      <c r="Z40" s="114">
        <f>IF(INDIRECT("Y40")="Clássico","11.5%",IF(INDIRECT("Y40")="Premium","16.5%","-"))</f>
      </c>
      <c r="AA40" s="116" t="s">
        <v>109</v>
      </c>
      <c r="AB40" s="116" t="s">
        <v>110</v>
      </c>
      <c r="AC40" s="116" t="n">
        <v>30.0</v>
      </c>
      <c r="AD40" s="116" t="s">
        <v>111</v>
      </c>
      <c r="AE40" s="117" t="s">
        <v>112</v>
      </c>
      <c r="AF40" s="114" t="s">
        <v>351</v>
      </c>
      <c r="AG40" s="116" t="n">
        <v>51.0</v>
      </c>
      <c r="AH40" s="116" t="n">
        <v>50.0</v>
      </c>
      <c r="AI40" s="116" t="n">
        <v>11.0</v>
      </c>
      <c r="AJ40" s="116" t="n">
        <v>1.29</v>
      </c>
    </row>
    <row r="41" ht="50.0" customHeight="true">
      <c r="A41" s="114" t="s">
        <v>352</v>
      </c>
      <c r="B41" s="114" t="s">
        <v>353</v>
      </c>
      <c r="C41" s="114" t="s">
        <v>354</v>
      </c>
      <c r="D41" s="114"/>
      <c r="E41" s="115" t="s">
        <v>355</v>
      </c>
      <c r="F41" s="114" t="s">
        <v>356</v>
      </c>
      <c r="G41" s="114" t="s">
        <v>357</v>
      </c>
      <c r="H41" s="116" t="n">
        <v>1000.0</v>
      </c>
      <c r="I41" s="116" t="n">
        <v>32.0</v>
      </c>
      <c r="J41" s="116" t="s">
        <v>103</v>
      </c>
      <c r="K41" s="116"/>
      <c r="L41" s="116"/>
      <c r="M41" s="116"/>
      <c r="N41" s="116"/>
      <c r="O41" s="116"/>
      <c r="P41" s="116"/>
      <c r="Q41" s="116"/>
      <c r="R41" s="116"/>
      <c r="S41" s="116"/>
      <c r="T41" s="116"/>
      <c r="U41" s="116" t="s">
        <v>104</v>
      </c>
      <c r="V41" s="118" t="s">
        <v>358</v>
      </c>
      <c r="W41" s="116" t="s">
        <v>106</v>
      </c>
      <c r="X41" s="116" t="s">
        <v>143</v>
      </c>
      <c r="Y41" s="116" t="s">
        <v>152</v>
      </c>
      <c r="Z41" s="114">
        <f>IF(INDIRECT("Y41")="Clássico","14%",IF(INDIRECT("Y41")="Premium","19%","-"))</f>
      </c>
      <c r="AA41" s="116" t="s">
        <v>109</v>
      </c>
      <c r="AB41" s="116" t="s">
        <v>110</v>
      </c>
      <c r="AC41" s="116" t="n">
        <v>30.0</v>
      </c>
      <c r="AD41" s="116" t="s">
        <v>111</v>
      </c>
      <c r="AE41" s="117" t="s">
        <v>112</v>
      </c>
      <c r="AF41" s="114" t="s">
        <v>113</v>
      </c>
      <c r="AG41" s="116" t="n">
        <v>22.0</v>
      </c>
      <c r="AH41" s="116" t="n">
        <v>22.0</v>
      </c>
      <c r="AI41" s="116" t="n">
        <v>5.0</v>
      </c>
      <c r="AJ41" s="116" t="n">
        <v>0.45</v>
      </c>
    </row>
    <row r="42" ht="50.0" customHeight="true">
      <c r="A42" s="114" t="s">
        <v>359</v>
      </c>
      <c r="B42" s="114" t="s">
        <v>360</v>
      </c>
      <c r="C42" s="114" t="s">
        <v>361</v>
      </c>
      <c r="D42" s="114"/>
      <c r="E42" s="115" t="s">
        <v>162</v>
      </c>
      <c r="F42" s="114" t="s">
        <v>362</v>
      </c>
      <c r="G42" s="114" t="s">
        <v>362</v>
      </c>
      <c r="H42" s="116" t="n">
        <v>296.0</v>
      </c>
      <c r="I42" s="116" t="n">
        <v>90.0</v>
      </c>
      <c r="J42" s="116" t="s">
        <v>103</v>
      </c>
      <c r="K42" s="116" t="n">
        <v>76.0</v>
      </c>
      <c r="L42" s="116" t="n">
        <v>5.0</v>
      </c>
      <c r="M42" s="116"/>
      <c r="N42" s="116"/>
      <c r="O42" s="116"/>
      <c r="P42" s="116"/>
      <c r="Q42" s="116"/>
      <c r="R42" s="116"/>
      <c r="S42" s="116"/>
      <c r="T42" s="116"/>
      <c r="U42" s="116" t="s">
        <v>104</v>
      </c>
      <c r="V42" s="118" t="s">
        <v>363</v>
      </c>
      <c r="W42" s="116" t="s">
        <v>130</v>
      </c>
      <c r="X42" s="116" t="s">
        <v>143</v>
      </c>
      <c r="Y42" s="116" t="s">
        <v>108</v>
      </c>
      <c r="Z42" s="114">
        <f>IF(INDIRECT("Y42")="Clássico","12%",IF(INDIRECT("Y42")="Premium","17%","-"))</f>
      </c>
      <c r="AA42" s="116" t="s">
        <v>109</v>
      </c>
      <c r="AB42" s="116" t="s">
        <v>110</v>
      </c>
      <c r="AC42" s="116" t="n">
        <v>30.0</v>
      </c>
      <c r="AD42" s="116" t="s">
        <v>111</v>
      </c>
      <c r="AE42" s="117" t="s">
        <v>112</v>
      </c>
      <c r="AF42" s="114" t="s">
        <v>165</v>
      </c>
      <c r="AG42" s="116" t="n">
        <v>12.0</v>
      </c>
      <c r="AH42" s="116" t="n">
        <v>12.0</v>
      </c>
      <c r="AI42" s="116" t="n">
        <v>10.0</v>
      </c>
      <c r="AJ42" s="116" t="n">
        <v>0.3</v>
      </c>
    </row>
    <row r="43" ht="50.0" customHeight="true">
      <c r="A43" s="114" t="s">
        <v>273</v>
      </c>
      <c r="B43" s="114" t="s">
        <v>364</v>
      </c>
      <c r="C43" s="114" t="s">
        <v>365</v>
      </c>
      <c r="D43" s="114"/>
      <c r="E43" s="115" t="s">
        <v>366</v>
      </c>
      <c r="F43" s="114" t="s">
        <v>277</v>
      </c>
      <c r="G43" s="114" t="s">
        <v>367</v>
      </c>
      <c r="H43" s="116" t="n">
        <v>2.0</v>
      </c>
      <c r="I43" s="116" t="n">
        <v>62.9</v>
      </c>
      <c r="J43" s="116" t="s">
        <v>103</v>
      </c>
      <c r="K43" s="116" t="n">
        <v>57.0</v>
      </c>
      <c r="L43" s="116" t="n">
        <v>2.0</v>
      </c>
      <c r="M43" s="116"/>
      <c r="N43" s="116"/>
      <c r="O43" s="116"/>
      <c r="P43" s="116"/>
      <c r="Q43" s="116"/>
      <c r="R43" s="116"/>
      <c r="S43" s="116"/>
      <c r="T43" s="116"/>
      <c r="U43" s="116" t="s">
        <v>104</v>
      </c>
      <c r="V43" s="118" t="s">
        <v>279</v>
      </c>
      <c r="W43" s="116" t="s">
        <v>106</v>
      </c>
      <c r="X43" s="116" t="s">
        <v>143</v>
      </c>
      <c r="Y43" s="116" t="s">
        <v>108</v>
      </c>
      <c r="Z43" s="114">
        <f>IF(INDIRECT("Y43")="Clássico","12.5%",IF(INDIRECT("Y43")="Premium","17.5%","-"))</f>
      </c>
      <c r="AA43" s="116" t="s">
        <v>109</v>
      </c>
      <c r="AB43" s="116" t="s">
        <v>110</v>
      </c>
      <c r="AC43" s="116" t="n">
        <v>30.0</v>
      </c>
      <c r="AD43" s="116" t="s">
        <v>111</v>
      </c>
      <c r="AE43" s="117" t="s">
        <v>112</v>
      </c>
      <c r="AF43" s="114" t="s">
        <v>280</v>
      </c>
      <c r="AG43" s="116" t="n">
        <v>28.0</v>
      </c>
      <c r="AH43" s="116" t="n">
        <v>25.0</v>
      </c>
      <c r="AI43" s="116" t="n">
        <v>6.0</v>
      </c>
      <c r="AJ43" s="116" t="n">
        <v>1.45</v>
      </c>
    </row>
    <row r="44" ht="50.0" customHeight="true">
      <c r="A44" s="114" t="s">
        <v>368</v>
      </c>
      <c r="B44" s="114" t="s">
        <v>369</v>
      </c>
      <c r="C44" s="114" t="s">
        <v>370</v>
      </c>
      <c r="D44" s="114"/>
      <c r="E44" s="115" t="s">
        <v>371</v>
      </c>
      <c r="F44" s="114" t="s">
        <v>372</v>
      </c>
      <c r="G44" s="114" t="s">
        <v>373</v>
      </c>
      <c r="H44" s="116" t="n">
        <v>5.0</v>
      </c>
      <c r="I44" s="116" t="n">
        <v>160.0</v>
      </c>
      <c r="J44" s="116" t="s">
        <v>103</v>
      </c>
      <c r="K44" s="116" t="n">
        <v>146.06</v>
      </c>
      <c r="L44" s="116" t="n">
        <v>5.0</v>
      </c>
      <c r="M44" s="116"/>
      <c r="N44" s="116"/>
      <c r="O44" s="116"/>
      <c r="P44" s="116"/>
      <c r="Q44" s="116"/>
      <c r="R44" s="116"/>
      <c r="S44" s="116"/>
      <c r="T44" s="116"/>
      <c r="U44" s="116" t="s">
        <v>104</v>
      </c>
      <c r="V44" s="118" t="s">
        <v>374</v>
      </c>
      <c r="W44" s="116" t="s">
        <v>130</v>
      </c>
      <c r="X44" s="116" t="s">
        <v>143</v>
      </c>
      <c r="Y44" s="116" t="s">
        <v>152</v>
      </c>
      <c r="Z44" s="114">
        <f>IF(INDIRECT("Y44")="Clássico","12%",IF(INDIRECT("Y44")="Premium","17%","-"))</f>
      </c>
      <c r="AA44" s="116" t="s">
        <v>109</v>
      </c>
      <c r="AB44" s="116" t="s">
        <v>110</v>
      </c>
      <c r="AC44" s="116" t="n">
        <v>30.0</v>
      </c>
      <c r="AD44" s="116" t="s">
        <v>111</v>
      </c>
      <c r="AE44" s="117" t="s">
        <v>112</v>
      </c>
      <c r="AF44" s="114" t="s">
        <v>375</v>
      </c>
      <c r="AG44" s="116" t="n">
        <v>10.0</v>
      </c>
      <c r="AH44" s="116" t="n">
        <v>10.0</v>
      </c>
      <c r="AI44" s="116" t="n">
        <v>2.0</v>
      </c>
      <c r="AJ44" s="116" t="n">
        <v>0.1</v>
      </c>
    </row>
    <row r="45" ht="50.0" customHeight="true">
      <c r="A45" s="114" t="s">
        <v>376</v>
      </c>
      <c r="B45" s="114" t="s">
        <v>377</v>
      </c>
      <c r="C45" s="114" t="s">
        <v>378</v>
      </c>
      <c r="D45" s="114"/>
      <c r="E45" s="115" t="s">
        <v>379</v>
      </c>
      <c r="F45" s="114" t="s">
        <v>380</v>
      </c>
      <c r="G45" s="114" t="s">
        <v>380</v>
      </c>
      <c r="H45" s="116" t="n">
        <v>25.0</v>
      </c>
      <c r="I45" s="116" t="n">
        <v>52.08</v>
      </c>
      <c r="J45" s="116" t="s">
        <v>103</v>
      </c>
      <c r="K45" s="116" t="n">
        <v>53.0</v>
      </c>
      <c r="L45" s="116" t="n">
        <v>2.0</v>
      </c>
      <c r="M45" s="116" t="n">
        <v>51.0</v>
      </c>
      <c r="N45" s="116" t="n">
        <v>4.0</v>
      </c>
      <c r="O45" s="116"/>
      <c r="P45" s="116"/>
      <c r="Q45" s="116"/>
      <c r="R45" s="116"/>
      <c r="S45" s="116"/>
      <c r="T45" s="116"/>
      <c r="U45" s="116" t="s">
        <v>104</v>
      </c>
      <c r="V45" s="118" t="s">
        <v>381</v>
      </c>
      <c r="W45" s="116" t="s">
        <v>106</v>
      </c>
      <c r="X45" s="116" t="s">
        <v>107</v>
      </c>
      <c r="Y45" s="116" t="s">
        <v>152</v>
      </c>
      <c r="Z45" s="114">
        <f>IF(INDIRECT("Y45")="Clássico","12.5%",IF(INDIRECT("Y45")="Premium","17.5%","-"))</f>
      </c>
      <c r="AA45" s="116" t="s">
        <v>109</v>
      </c>
      <c r="AB45" s="116" t="s">
        <v>110</v>
      </c>
      <c r="AC45" s="116" t="n">
        <v>30.0</v>
      </c>
      <c r="AD45" s="116" t="s">
        <v>111</v>
      </c>
      <c r="AE45" s="117" t="s">
        <v>112</v>
      </c>
      <c r="AF45" s="114" t="s">
        <v>280</v>
      </c>
      <c r="AG45" s="116" t="n">
        <v>32.0</v>
      </c>
      <c r="AH45" s="116" t="n">
        <v>29.0</v>
      </c>
      <c r="AI45" s="116" t="n">
        <v>4.0</v>
      </c>
      <c r="AJ45" s="116" t="n">
        <v>1.21</v>
      </c>
    </row>
    <row r="46" ht="50.0" customHeight="true">
      <c r="A46" s="114" t="s">
        <v>382</v>
      </c>
      <c r="B46" s="114" t="s">
        <v>383</v>
      </c>
      <c r="C46" s="114" t="s">
        <v>384</v>
      </c>
      <c r="D46" s="114"/>
      <c r="E46" s="115" t="s">
        <v>385</v>
      </c>
      <c r="F46" s="114" t="s">
        <v>386</v>
      </c>
      <c r="G46" s="114" t="s">
        <v>176</v>
      </c>
      <c r="H46" s="116" t="n">
        <v>1.0</v>
      </c>
      <c r="I46" s="116" t="n">
        <v>384.32</v>
      </c>
      <c r="J46" s="116" t="s">
        <v>103</v>
      </c>
      <c r="K46" s="116" t="n">
        <v>377.0</v>
      </c>
      <c r="L46" s="116" t="n">
        <v>2.0</v>
      </c>
      <c r="M46" s="116"/>
      <c r="N46" s="116"/>
      <c r="O46" s="116"/>
      <c r="P46" s="116"/>
      <c r="Q46" s="116"/>
      <c r="R46" s="116"/>
      <c r="S46" s="116"/>
      <c r="T46" s="116"/>
      <c r="U46" s="116" t="s">
        <v>104</v>
      </c>
      <c r="V46" s="118" t="s">
        <v>387</v>
      </c>
      <c r="W46" s="116" t="s">
        <v>130</v>
      </c>
      <c r="X46" s="116" t="s">
        <v>143</v>
      </c>
      <c r="Y46" s="116" t="s">
        <v>152</v>
      </c>
      <c r="Z46" s="114">
        <f>IF(INDIRECT("Y46")="Clássico","11.5%",IF(INDIRECT("Y46")="Premium","16.5%","-"))</f>
      </c>
      <c r="AA46" s="116" t="s">
        <v>109</v>
      </c>
      <c r="AB46" s="116" t="s">
        <v>110</v>
      </c>
      <c r="AC46" s="116" t="n">
        <v>30.0</v>
      </c>
      <c r="AD46" s="116" t="s">
        <v>111</v>
      </c>
      <c r="AE46" s="117" t="s">
        <v>112</v>
      </c>
      <c r="AF46" s="114" t="s">
        <v>178</v>
      </c>
      <c r="AG46" s="116" t="n">
        <v>36.0</v>
      </c>
      <c r="AH46" s="116" t="n">
        <v>32.0</v>
      </c>
      <c r="AI46" s="116" t="n">
        <v>11.0</v>
      </c>
      <c r="AJ46" s="116" t="n">
        <v>4.64</v>
      </c>
    </row>
    <row r="47" ht="50.0" customHeight="true">
      <c r="A47" s="114" t="s">
        <v>388</v>
      </c>
      <c r="B47" s="114" t="s">
        <v>389</v>
      </c>
      <c r="C47" s="114" t="s">
        <v>390</v>
      </c>
      <c r="D47" s="114"/>
      <c r="E47" s="115" t="s">
        <v>391</v>
      </c>
      <c r="F47" s="114" t="s">
        <v>392</v>
      </c>
      <c r="G47" s="114" t="s">
        <v>393</v>
      </c>
      <c r="H47" s="116" t="n">
        <v>44.0</v>
      </c>
      <c r="I47" s="116" t="n">
        <v>49.99</v>
      </c>
      <c r="J47" s="116" t="s">
        <v>103</v>
      </c>
      <c r="K47" s="116" t="n">
        <v>37.0</v>
      </c>
      <c r="L47" s="116" t="n">
        <v>2.0</v>
      </c>
      <c r="M47" s="116" t="n">
        <v>35.0</v>
      </c>
      <c r="N47" s="116" t="n">
        <v>4.0</v>
      </c>
      <c r="O47" s="116"/>
      <c r="P47" s="116"/>
      <c r="Q47" s="116"/>
      <c r="R47" s="116"/>
      <c r="S47" s="116"/>
      <c r="T47" s="116"/>
      <c r="U47" s="116" t="s">
        <v>104</v>
      </c>
      <c r="V47" s="118" t="s">
        <v>394</v>
      </c>
      <c r="W47" s="116" t="s">
        <v>106</v>
      </c>
      <c r="X47" s="116" t="s">
        <v>143</v>
      </c>
      <c r="Y47" s="116" t="s">
        <v>152</v>
      </c>
      <c r="Z47" s="114">
        <f>IF(INDIRECT("Y47")="Clássico","11.5%",IF(INDIRECT("Y47")="Premium","16.5%","-"))</f>
      </c>
      <c r="AA47" s="116" t="s">
        <v>109</v>
      </c>
      <c r="AB47" s="116" t="s">
        <v>110</v>
      </c>
      <c r="AC47" s="116" t="n">
        <v>30.0</v>
      </c>
      <c r="AD47" s="116" t="s">
        <v>111</v>
      </c>
      <c r="AE47" s="117" t="s">
        <v>112</v>
      </c>
      <c r="AF47" s="114" t="s">
        <v>395</v>
      </c>
      <c r="AG47" s="116" t="n">
        <v>23.0</v>
      </c>
      <c r="AH47" s="116" t="n">
        <v>19.0</v>
      </c>
      <c r="AI47" s="116" t="n">
        <v>5.0</v>
      </c>
      <c r="AJ47" s="116" t="n">
        <v>0.13</v>
      </c>
    </row>
    <row r="48" ht="50.0" customHeight="true">
      <c r="A48" s="114" t="s">
        <v>273</v>
      </c>
      <c r="B48" s="114" t="s">
        <v>396</v>
      </c>
      <c r="C48" s="114" t="s">
        <v>397</v>
      </c>
      <c r="D48" s="114"/>
      <c r="E48" s="115" t="s">
        <v>398</v>
      </c>
      <c r="F48" s="114" t="s">
        <v>277</v>
      </c>
      <c r="G48" s="114" t="s">
        <v>399</v>
      </c>
      <c r="H48" s="116" t="n">
        <v>5.0</v>
      </c>
      <c r="I48" s="116" t="n">
        <v>62.9</v>
      </c>
      <c r="J48" s="116" t="s">
        <v>103</v>
      </c>
      <c r="K48" s="116" t="n">
        <v>57.0</v>
      </c>
      <c r="L48" s="116" t="n">
        <v>2.0</v>
      </c>
      <c r="M48" s="116"/>
      <c r="N48" s="116"/>
      <c r="O48" s="116"/>
      <c r="P48" s="116"/>
      <c r="Q48" s="116"/>
      <c r="R48" s="116"/>
      <c r="S48" s="116"/>
      <c r="T48" s="116"/>
      <c r="U48" s="116" t="s">
        <v>104</v>
      </c>
      <c r="V48" s="118" t="s">
        <v>279</v>
      </c>
      <c r="W48" s="116" t="s">
        <v>106</v>
      </c>
      <c r="X48" s="116" t="s">
        <v>143</v>
      </c>
      <c r="Y48" s="116" t="s">
        <v>108</v>
      </c>
      <c r="Z48" s="114">
        <f>IF(INDIRECT("Y48")="Clássico","12.5%",IF(INDIRECT("Y48")="Premium","17.5%","-"))</f>
      </c>
      <c r="AA48" s="116" t="s">
        <v>109</v>
      </c>
      <c r="AB48" s="116" t="s">
        <v>110</v>
      </c>
      <c r="AC48" s="116" t="n">
        <v>30.0</v>
      </c>
      <c r="AD48" s="116" t="s">
        <v>111</v>
      </c>
      <c r="AE48" s="117" t="s">
        <v>112</v>
      </c>
      <c r="AF48" s="114" t="s">
        <v>280</v>
      </c>
      <c r="AG48" s="116" t="n">
        <v>28.0</v>
      </c>
      <c r="AH48" s="116" t="n">
        <v>25.0</v>
      </c>
      <c r="AI48" s="116" t="n">
        <v>6.0</v>
      </c>
      <c r="AJ48" s="116" t="n">
        <v>1.45</v>
      </c>
    </row>
    <row r="49" ht="50.0" customHeight="true">
      <c r="A49" s="114" t="s">
        <v>400</v>
      </c>
      <c r="B49" s="114" t="s">
        <v>401</v>
      </c>
      <c r="C49" s="114" t="s">
        <v>402</v>
      </c>
      <c r="D49" s="114"/>
      <c r="E49" s="115" t="s">
        <v>403</v>
      </c>
      <c r="F49" s="114" t="s">
        <v>404</v>
      </c>
      <c r="G49" s="114" t="s">
        <v>404</v>
      </c>
      <c r="H49" s="116" t="n">
        <v>457.0</v>
      </c>
      <c r="I49" s="116" t="n">
        <v>99.9</v>
      </c>
      <c r="J49" s="116" t="s">
        <v>103</v>
      </c>
      <c r="K49" s="116" t="n">
        <v>84.0</v>
      </c>
      <c r="L49" s="116" t="n">
        <v>2.0</v>
      </c>
      <c r="M49" s="116"/>
      <c r="N49" s="116"/>
      <c r="O49" s="116"/>
      <c r="P49" s="116"/>
      <c r="Q49" s="116"/>
      <c r="R49" s="116"/>
      <c r="S49" s="116"/>
      <c r="T49" s="116"/>
      <c r="U49" s="116" t="s">
        <v>104</v>
      </c>
      <c r="V49" s="118" t="s">
        <v>405</v>
      </c>
      <c r="W49" s="116" t="s">
        <v>130</v>
      </c>
      <c r="X49" s="116" t="s">
        <v>143</v>
      </c>
      <c r="Y49" s="116" t="s">
        <v>152</v>
      </c>
      <c r="Z49" s="114">
        <f>IF(INDIRECT("Y49")="Clássico","12%",IF(INDIRECT("Y49")="Premium","17%","-"))</f>
      </c>
      <c r="AA49" s="116" t="s">
        <v>109</v>
      </c>
      <c r="AB49" s="116" t="s">
        <v>110</v>
      </c>
      <c r="AC49" s="116" t="n">
        <v>3.0</v>
      </c>
      <c r="AD49" s="116" t="s">
        <v>121</v>
      </c>
      <c r="AE49" s="117" t="s">
        <v>112</v>
      </c>
      <c r="AF49" s="114" t="s">
        <v>122</v>
      </c>
      <c r="AG49" s="116" t="n">
        <v>26.0</v>
      </c>
      <c r="AH49" s="116" t="n">
        <v>18.0</v>
      </c>
      <c r="AI49" s="116" t="n">
        <v>16.0</v>
      </c>
      <c r="AJ49" s="116" t="n">
        <v>0.58</v>
      </c>
    </row>
    <row r="50" ht="50.0" customHeight="true">
      <c r="A50" s="114" t="s">
        <v>406</v>
      </c>
      <c r="B50" s="114" t="s">
        <v>407</v>
      </c>
      <c r="C50" s="114" t="s">
        <v>408</v>
      </c>
      <c r="D50" s="114"/>
      <c r="E50" s="115" t="s">
        <v>409</v>
      </c>
      <c r="F50" s="114" t="s">
        <v>410</v>
      </c>
      <c r="G50" s="114" t="s">
        <v>411</v>
      </c>
      <c r="H50" s="116" t="n">
        <v>7.0</v>
      </c>
      <c r="I50" s="116" t="n">
        <v>130.0</v>
      </c>
      <c r="J50" s="116" t="s">
        <v>103</v>
      </c>
      <c r="K50" s="116" t="n">
        <v>99.0</v>
      </c>
      <c r="L50" s="116" t="n">
        <v>2.0</v>
      </c>
      <c r="M50" s="116"/>
      <c r="N50" s="116"/>
      <c r="O50" s="116"/>
      <c r="P50" s="116"/>
      <c r="Q50" s="116"/>
      <c r="R50" s="116"/>
      <c r="S50" s="116"/>
      <c r="T50" s="116"/>
      <c r="U50" s="116" t="s">
        <v>104</v>
      </c>
      <c r="V50" s="118" t="s">
        <v>412</v>
      </c>
      <c r="W50" s="116" t="s">
        <v>130</v>
      </c>
      <c r="X50" s="116" t="s">
        <v>143</v>
      </c>
      <c r="Y50" s="116" t="s">
        <v>108</v>
      </c>
      <c r="Z50" s="114">
        <f>IF(INDIRECT("Y50")="Clássico","11.5%",IF(INDIRECT("Y50")="Premium","16.5%","-"))</f>
      </c>
      <c r="AA50" s="116" t="s">
        <v>109</v>
      </c>
      <c r="AB50" s="116" t="s">
        <v>110</v>
      </c>
      <c r="AC50" s="116" t="n">
        <v>30.0</v>
      </c>
      <c r="AD50" s="116" t="s">
        <v>111</v>
      </c>
      <c r="AE50" s="117" t="s">
        <v>112</v>
      </c>
      <c r="AF50" s="114" t="s">
        <v>413</v>
      </c>
      <c r="AG50" s="116" t="n">
        <v>21.0</v>
      </c>
      <c r="AH50" s="116" t="n">
        <v>19.0</v>
      </c>
      <c r="AI50" s="116" t="n">
        <v>18.0</v>
      </c>
      <c r="AJ50" s="116" t="n">
        <v>2.53</v>
      </c>
    </row>
    <row r="51" ht="50.0" customHeight="true">
      <c r="A51" s="114" t="s">
        <v>414</v>
      </c>
      <c r="B51" s="114" t="s">
        <v>415</v>
      </c>
      <c r="C51" s="114" t="s">
        <v>416</v>
      </c>
      <c r="D51" s="114"/>
      <c r="E51" s="115" t="s">
        <v>417</v>
      </c>
      <c r="F51" s="114" t="s">
        <v>418</v>
      </c>
      <c r="G51" s="114" t="s">
        <v>419</v>
      </c>
      <c r="H51" s="116" t="n">
        <v>2.0</v>
      </c>
      <c r="I51" s="116" t="n">
        <v>89.9</v>
      </c>
      <c r="J51" s="116" t="s">
        <v>103</v>
      </c>
      <c r="K51" s="116" t="n">
        <v>79.9</v>
      </c>
      <c r="L51" s="116" t="n">
        <v>2.0</v>
      </c>
      <c r="M51" s="116"/>
      <c r="N51" s="116"/>
      <c r="O51" s="116"/>
      <c r="P51" s="116"/>
      <c r="Q51" s="116"/>
      <c r="R51" s="116"/>
      <c r="S51" s="116"/>
      <c r="T51" s="116"/>
      <c r="U51" s="116" t="s">
        <v>104</v>
      </c>
      <c r="V51" s="118" t="s">
        <v>420</v>
      </c>
      <c r="W51" s="116" t="s">
        <v>106</v>
      </c>
      <c r="X51" s="116" t="s">
        <v>143</v>
      </c>
      <c r="Y51" s="116" t="s">
        <v>152</v>
      </c>
      <c r="Z51" s="114">
        <f>IF(INDIRECT("Y51")="Clássico","11.5%",IF(INDIRECT("Y51")="Premium","16.5%","-"))</f>
      </c>
      <c r="AA51" s="116" t="s">
        <v>109</v>
      </c>
      <c r="AB51" s="116" t="s">
        <v>110</v>
      </c>
      <c r="AC51" s="116" t="n">
        <v>30.0</v>
      </c>
      <c r="AD51" s="116" t="s">
        <v>111</v>
      </c>
      <c r="AE51" s="117" t="s">
        <v>112</v>
      </c>
      <c r="AF51" s="114" t="s">
        <v>421</v>
      </c>
      <c r="AG51" s="116" t="n">
        <v>3.0</v>
      </c>
      <c r="AH51" s="116" t="n">
        <v>10.0</v>
      </c>
      <c r="AI51" s="116" t="n">
        <v>10.0</v>
      </c>
      <c r="AJ51" s="116" t="n">
        <v>0.1</v>
      </c>
    </row>
    <row r="52" ht="50.0" customHeight="true">
      <c r="A52" s="114" t="s">
        <v>422</v>
      </c>
      <c r="B52" s="114" t="s">
        <v>423</v>
      </c>
      <c r="C52" s="114" t="s">
        <v>424</v>
      </c>
      <c r="D52" s="114"/>
      <c r="E52" s="115" t="s">
        <v>425</v>
      </c>
      <c r="F52" s="114" t="s">
        <v>426</v>
      </c>
      <c r="G52" s="114" t="s">
        <v>426</v>
      </c>
      <c r="H52" s="116" t="n">
        <v>7.0</v>
      </c>
      <c r="I52" s="116" t="n">
        <v>18.37</v>
      </c>
      <c r="J52" s="116" t="s">
        <v>103</v>
      </c>
      <c r="K52" s="116" t="n">
        <v>19.0</v>
      </c>
      <c r="L52" s="116" t="n">
        <v>3.0</v>
      </c>
      <c r="M52" s="116"/>
      <c r="N52" s="116"/>
      <c r="O52" s="116"/>
      <c r="P52" s="116"/>
      <c r="Q52" s="116"/>
      <c r="R52" s="116"/>
      <c r="S52" s="116"/>
      <c r="T52" s="116"/>
      <c r="U52" s="116" t="s">
        <v>104</v>
      </c>
      <c r="V52" s="118" t="s">
        <v>427</v>
      </c>
      <c r="W52" s="116" t="s">
        <v>106</v>
      </c>
      <c r="X52" s="116" t="s">
        <v>143</v>
      </c>
      <c r="Y52" s="116" t="s">
        <v>108</v>
      </c>
      <c r="Z52" s="114">
        <f>IF(INDIRECT("Y52")="Clássico","12%",IF(INDIRECT("Y52")="Premium","17%","-"))</f>
      </c>
      <c r="AA52" s="116" t="s">
        <v>109</v>
      </c>
      <c r="AB52" s="116" t="s">
        <v>120</v>
      </c>
      <c r="AC52" s="116" t="n">
        <v>3.0</v>
      </c>
      <c r="AD52" s="116" t="s">
        <v>121</v>
      </c>
      <c r="AE52" s="117" t="s">
        <v>112</v>
      </c>
      <c r="AF52" s="114" t="s">
        <v>122</v>
      </c>
      <c r="AG52" s="116" t="n">
        <v>31.0</v>
      </c>
      <c r="AH52" s="116" t="n">
        <v>23.0</v>
      </c>
      <c r="AI52" s="116" t="n">
        <v>3.0</v>
      </c>
      <c r="AJ52" s="116" t="n">
        <v>0.1</v>
      </c>
    </row>
    <row r="53" ht="50.0" customHeight="true">
      <c r="A53" s="114" t="s">
        <v>428</v>
      </c>
      <c r="B53" s="114" t="s">
        <v>429</v>
      </c>
      <c r="C53" s="114" t="s">
        <v>430</v>
      </c>
      <c r="D53" s="114"/>
      <c r="E53" s="115" t="s">
        <v>431</v>
      </c>
      <c r="F53" s="114" t="s">
        <v>432</v>
      </c>
      <c r="G53" s="114" t="s">
        <v>432</v>
      </c>
      <c r="H53" s="116" t="n">
        <v>4.0</v>
      </c>
      <c r="I53" s="116" t="n">
        <v>19.9</v>
      </c>
      <c r="J53" s="116" t="s">
        <v>103</v>
      </c>
      <c r="K53" s="116" t="n">
        <v>19.0</v>
      </c>
      <c r="L53" s="116" t="n">
        <v>2.0</v>
      </c>
      <c r="M53" s="116"/>
      <c r="N53" s="116"/>
      <c r="O53" s="116"/>
      <c r="P53" s="116"/>
      <c r="Q53" s="116"/>
      <c r="R53" s="116"/>
      <c r="S53" s="116"/>
      <c r="T53" s="116"/>
      <c r="U53" s="116" t="s">
        <v>104</v>
      </c>
      <c r="V53" s="118" t="s">
        <v>433</v>
      </c>
      <c r="W53" s="116" t="s">
        <v>106</v>
      </c>
      <c r="X53" s="116" t="s">
        <v>107</v>
      </c>
      <c r="Y53" s="116" t="s">
        <v>108</v>
      </c>
      <c r="Z53" s="114">
        <f>IF(INDIRECT("Y53")="Clássico","12%",IF(INDIRECT("Y53")="Premium","17%","-"))</f>
      </c>
      <c r="AA53" s="116" t="s">
        <v>109</v>
      </c>
      <c r="AB53" s="116" t="s">
        <v>110</v>
      </c>
      <c r="AC53" s="116" t="n">
        <v>3.0</v>
      </c>
      <c r="AD53" s="116" t="s">
        <v>121</v>
      </c>
      <c r="AE53" s="117" t="s">
        <v>112</v>
      </c>
      <c r="AF53" s="114" t="s">
        <v>122</v>
      </c>
      <c r="AG53" s="116"/>
      <c r="AH53" s="116"/>
      <c r="AI53" s="116"/>
      <c r="AJ53" s="116"/>
    </row>
    <row r="54" ht="50.0" customHeight="true">
      <c r="A54" s="114" t="s">
        <v>434</v>
      </c>
      <c r="B54" s="114" t="s">
        <v>435</v>
      </c>
      <c r="C54" s="114" t="s">
        <v>436</v>
      </c>
      <c r="D54" s="114"/>
      <c r="E54" s="115" t="s">
        <v>253</v>
      </c>
      <c r="F54" s="114" t="s">
        <v>437</v>
      </c>
      <c r="G54" s="114" t="s">
        <v>254</v>
      </c>
      <c r="H54" s="116" t="n">
        <v>3.0</v>
      </c>
      <c r="I54" s="116" t="n">
        <v>15.59</v>
      </c>
      <c r="J54" s="116" t="s">
        <v>103</v>
      </c>
      <c r="K54" s="116" t="n">
        <v>15.0</v>
      </c>
      <c r="L54" s="116" t="n">
        <v>4.0</v>
      </c>
      <c r="M54" s="116"/>
      <c r="N54" s="116"/>
      <c r="O54" s="116"/>
      <c r="P54" s="116"/>
      <c r="Q54" s="116"/>
      <c r="R54" s="116"/>
      <c r="S54" s="116"/>
      <c r="T54" s="116"/>
      <c r="U54" s="116" t="s">
        <v>104</v>
      </c>
      <c r="V54" s="118" t="s">
        <v>438</v>
      </c>
      <c r="W54" s="116" t="s">
        <v>106</v>
      </c>
      <c r="X54" s="116" t="s">
        <v>107</v>
      </c>
      <c r="Y54" s="116" t="s">
        <v>152</v>
      </c>
      <c r="Z54" s="114">
        <f>IF(INDIRECT("Y54")="Clássico","13%",IF(INDIRECT("Y54")="Premium","17%","-"))</f>
      </c>
      <c r="AA54" s="116" t="s">
        <v>109</v>
      </c>
      <c r="AB54" s="116" t="s">
        <v>110</v>
      </c>
      <c r="AC54" s="116" t="n">
        <v>30.0</v>
      </c>
      <c r="AD54" s="116" t="s">
        <v>111</v>
      </c>
      <c r="AE54" s="117" t="s">
        <v>112</v>
      </c>
      <c r="AF54" s="114" t="s">
        <v>244</v>
      </c>
      <c r="AG54" s="116" t="n">
        <v>23.0</v>
      </c>
      <c r="AH54" s="116" t="n">
        <v>17.0</v>
      </c>
      <c r="AI54" s="116" t="n">
        <v>5.0</v>
      </c>
      <c r="AJ54" s="116" t="n">
        <v>0.28</v>
      </c>
    </row>
    <row r="55" ht="50.0" customHeight="true">
      <c r="A55" s="114" t="s">
        <v>439</v>
      </c>
      <c r="B55" s="114" t="s">
        <v>440</v>
      </c>
      <c r="C55" s="114" t="s">
        <v>441</v>
      </c>
      <c r="D55" s="114"/>
      <c r="E55" s="115" t="s">
        <v>442</v>
      </c>
      <c r="F55" s="114" t="s">
        <v>443</v>
      </c>
      <c r="G55" s="114" t="s">
        <v>443</v>
      </c>
      <c r="H55" s="116" t="n">
        <v>98.0</v>
      </c>
      <c r="I55" s="116" t="n">
        <v>28.9</v>
      </c>
      <c r="J55" s="116" t="s">
        <v>103</v>
      </c>
      <c r="K55" s="116" t="n">
        <v>25.0</v>
      </c>
      <c r="L55" s="116" t="n">
        <v>5.0</v>
      </c>
      <c r="M55" s="116"/>
      <c r="N55" s="116"/>
      <c r="O55" s="116"/>
      <c r="P55" s="116"/>
      <c r="Q55" s="116"/>
      <c r="R55" s="116"/>
      <c r="S55" s="116"/>
      <c r="T55" s="116"/>
      <c r="U55" s="116" t="s">
        <v>104</v>
      </c>
      <c r="V55" s="118" t="s">
        <v>444</v>
      </c>
      <c r="W55" s="116" t="s">
        <v>106</v>
      </c>
      <c r="X55" s="116" t="s">
        <v>143</v>
      </c>
      <c r="Y55" s="116" t="s">
        <v>108</v>
      </c>
      <c r="Z55" s="114">
        <f>IF(INDIRECT("Y55")="Clássico","12%",IF(INDIRECT("Y55")="Premium","17%","-"))</f>
      </c>
      <c r="AA55" s="116" t="s">
        <v>109</v>
      </c>
      <c r="AB55" s="116" t="s">
        <v>110</v>
      </c>
      <c r="AC55" s="116" t="n">
        <v>3.0</v>
      </c>
      <c r="AD55" s="116" t="s">
        <v>121</v>
      </c>
      <c r="AE55" s="117" t="s">
        <v>112</v>
      </c>
      <c r="AF55" s="114" t="s">
        <v>144</v>
      </c>
      <c r="AG55" s="116"/>
      <c r="AH55" s="116"/>
      <c r="AI55" s="116"/>
      <c r="AJ55" s="116"/>
    </row>
    <row r="56" ht="50.0" customHeight="true">
      <c r="A56" s="114" t="s">
        <v>445</v>
      </c>
      <c r="B56" s="114" t="s">
        <v>446</v>
      </c>
      <c r="C56" s="114" t="s">
        <v>447</v>
      </c>
      <c r="D56" s="114"/>
      <c r="E56" s="115" t="s">
        <v>448</v>
      </c>
      <c r="F56" s="114" t="s">
        <v>449</v>
      </c>
      <c r="G56" s="114" t="s">
        <v>449</v>
      </c>
      <c r="H56" s="116" t="n">
        <v>7.0</v>
      </c>
      <c r="I56" s="116" t="n">
        <v>1400.0</v>
      </c>
      <c r="J56" s="116" t="s">
        <v>103</v>
      </c>
      <c r="K56" s="116" t="n">
        <v>1350.0</v>
      </c>
      <c r="L56" s="116" t="n">
        <v>2.0</v>
      </c>
      <c r="M56" s="116"/>
      <c r="N56" s="116"/>
      <c r="O56" s="116"/>
      <c r="P56" s="116"/>
      <c r="Q56" s="116"/>
      <c r="R56" s="116"/>
      <c r="S56" s="116"/>
      <c r="T56" s="116"/>
      <c r="U56" s="116" t="s">
        <v>104</v>
      </c>
      <c r="V56" s="118" t="s">
        <v>450</v>
      </c>
      <c r="W56" s="116" t="s">
        <v>130</v>
      </c>
      <c r="X56" s="116" t="s">
        <v>107</v>
      </c>
      <c r="Y56" s="116" t="s">
        <v>108</v>
      </c>
      <c r="Z56" s="114">
        <f>IF(INDIRECT("Y56")="Clássico","11.5%",IF(INDIRECT("Y56")="Premium","16.5%","-"))</f>
      </c>
      <c r="AA56" s="116" t="s">
        <v>109</v>
      </c>
      <c r="AB56" s="116" t="s">
        <v>110</v>
      </c>
      <c r="AC56" s="116" t="n">
        <v>30.0</v>
      </c>
      <c r="AD56" s="116" t="s">
        <v>111</v>
      </c>
      <c r="AE56" s="117" t="s">
        <v>112</v>
      </c>
      <c r="AF56" s="114" t="s">
        <v>351</v>
      </c>
      <c r="AG56" s="116" t="n">
        <v>39.0</v>
      </c>
      <c r="AH56" s="116" t="n">
        <v>26.0</v>
      </c>
      <c r="AI56" s="116" t="n">
        <v>23.0</v>
      </c>
      <c r="AJ56" s="116" t="n">
        <v>5.31</v>
      </c>
    </row>
    <row r="57" ht="50.0" customHeight="true">
      <c r="A57" s="114" t="s">
        <v>451</v>
      </c>
      <c r="B57" s="114" t="s">
        <v>452</v>
      </c>
      <c r="C57" s="114" t="s">
        <v>453</v>
      </c>
      <c r="D57" s="114"/>
      <c r="E57" s="115" t="s">
        <v>454</v>
      </c>
      <c r="F57" s="114" t="s">
        <v>455</v>
      </c>
      <c r="G57" s="114" t="s">
        <v>419</v>
      </c>
      <c r="H57" s="116" t="n">
        <v>14.0</v>
      </c>
      <c r="I57" s="116" t="n">
        <v>57.0</v>
      </c>
      <c r="J57" s="116" t="s">
        <v>103</v>
      </c>
      <c r="K57" s="116" t="n">
        <v>46.0</v>
      </c>
      <c r="L57" s="116" t="n">
        <v>5.0</v>
      </c>
      <c r="M57" s="116"/>
      <c r="N57" s="116"/>
      <c r="O57" s="116"/>
      <c r="P57" s="116"/>
      <c r="Q57" s="116"/>
      <c r="R57" s="116"/>
      <c r="S57" s="116"/>
      <c r="T57" s="116"/>
      <c r="U57" s="116" t="s">
        <v>104</v>
      </c>
      <c r="V57" s="118" t="s">
        <v>456</v>
      </c>
      <c r="W57" s="114" t="s">
        <v>457</v>
      </c>
      <c r="X57" s="116" t="s">
        <v>107</v>
      </c>
      <c r="Y57" s="116" t="s">
        <v>108</v>
      </c>
      <c r="Z57" s="114">
        <f>IF(INDIRECT("Y57")="Clássico","12%",IF(INDIRECT("Y57")="Premium","17%","-"))</f>
      </c>
      <c r="AA57" s="116" t="s">
        <v>109</v>
      </c>
      <c r="AB57" s="116" t="s">
        <v>110</v>
      </c>
      <c r="AC57" s="116" t="n">
        <v>30.0</v>
      </c>
      <c r="AD57" s="116" t="s">
        <v>111</v>
      </c>
      <c r="AE57" s="117" t="s">
        <v>112</v>
      </c>
      <c r="AF57" s="114" t="s">
        <v>458</v>
      </c>
      <c r="AG57" s="116" t="n">
        <v>16.0</v>
      </c>
      <c r="AH57" s="116" t="n">
        <v>13.0</v>
      </c>
      <c r="AI57" s="116" t="n">
        <v>10.0</v>
      </c>
      <c r="AJ57" s="116" t="n">
        <v>0.16</v>
      </c>
    </row>
    <row r="58" ht="50.0" customHeight="true">
      <c r="A58" s="114" t="s">
        <v>459</v>
      </c>
      <c r="B58" s="114" t="s">
        <v>460</v>
      </c>
      <c r="C58" s="114" t="s">
        <v>461</v>
      </c>
      <c r="D58" s="114"/>
      <c r="E58" s="115" t="s">
        <v>313</v>
      </c>
      <c r="F58" s="114" t="s">
        <v>462</v>
      </c>
      <c r="G58" s="114" t="s">
        <v>315</v>
      </c>
      <c r="H58" s="116" t="n">
        <v>98.0</v>
      </c>
      <c r="I58" s="116" t="n">
        <v>57.9</v>
      </c>
      <c r="J58" s="116" t="s">
        <v>103</v>
      </c>
      <c r="K58" s="116" t="n">
        <v>51.0</v>
      </c>
      <c r="L58" s="116" t="n">
        <v>4.0</v>
      </c>
      <c r="M58" s="116"/>
      <c r="N58" s="116"/>
      <c r="O58" s="116"/>
      <c r="P58" s="116"/>
      <c r="Q58" s="116"/>
      <c r="R58" s="116"/>
      <c r="S58" s="116"/>
      <c r="T58" s="116"/>
      <c r="U58" s="116" t="s">
        <v>104</v>
      </c>
      <c r="V58" s="118" t="s">
        <v>463</v>
      </c>
      <c r="W58" s="116" t="s">
        <v>106</v>
      </c>
      <c r="X58" s="116" t="s">
        <v>143</v>
      </c>
      <c r="Y58" s="116" t="s">
        <v>152</v>
      </c>
      <c r="Z58" s="114">
        <f>IF(INDIRECT("Y58")="Clássico","11.5%",IF(INDIRECT("Y58")="Premium","16.5%","-"))</f>
      </c>
      <c r="AA58" s="116" t="s">
        <v>109</v>
      </c>
      <c r="AB58" s="116" t="s">
        <v>110</v>
      </c>
      <c r="AC58" s="116" t="n">
        <v>30.0</v>
      </c>
      <c r="AD58" s="116" t="s">
        <v>111</v>
      </c>
      <c r="AE58" s="117" t="s">
        <v>112</v>
      </c>
      <c r="AF58" s="114" t="s">
        <v>317</v>
      </c>
      <c r="AG58" s="116" t="n">
        <v>22.0</v>
      </c>
      <c r="AH58" s="116" t="n">
        <v>8.0</v>
      </c>
      <c r="AI58" s="116" t="n">
        <v>8.0</v>
      </c>
      <c r="AJ58" s="116" t="n">
        <v>0.15</v>
      </c>
    </row>
    <row r="59" ht="50.0" customHeight="true">
      <c r="A59" s="114" t="s">
        <v>464</v>
      </c>
      <c r="B59" s="114" t="s">
        <v>465</v>
      </c>
      <c r="C59" s="114" t="s">
        <v>466</v>
      </c>
      <c r="D59" s="114"/>
      <c r="E59" s="115" t="s">
        <v>403</v>
      </c>
      <c r="F59" s="114" t="s">
        <v>467</v>
      </c>
      <c r="G59" s="114" t="s">
        <v>467</v>
      </c>
      <c r="H59" s="116" t="n">
        <v>458.0</v>
      </c>
      <c r="I59" s="116" t="n">
        <v>79.9</v>
      </c>
      <c r="J59" s="116" t="s">
        <v>103</v>
      </c>
      <c r="K59" s="116" t="n">
        <v>56.0</v>
      </c>
      <c r="L59" s="116" t="n">
        <v>3.0</v>
      </c>
      <c r="M59" s="116"/>
      <c r="N59" s="116"/>
      <c r="O59" s="116"/>
      <c r="P59" s="116"/>
      <c r="Q59" s="116"/>
      <c r="R59" s="116"/>
      <c r="S59" s="116"/>
      <c r="T59" s="116"/>
      <c r="U59" s="116" t="s">
        <v>104</v>
      </c>
      <c r="V59" s="118" t="s">
        <v>468</v>
      </c>
      <c r="W59" s="116" t="s">
        <v>106</v>
      </c>
      <c r="X59" s="116" t="s">
        <v>143</v>
      </c>
      <c r="Y59" s="116" t="s">
        <v>152</v>
      </c>
      <c r="Z59" s="114">
        <f>IF(INDIRECT("Y59")="Clássico","12%",IF(INDIRECT("Y59")="Premium","17%","-"))</f>
      </c>
      <c r="AA59" s="116" t="s">
        <v>109</v>
      </c>
      <c r="AB59" s="116" t="s">
        <v>120</v>
      </c>
      <c r="AC59" s="116" t="n">
        <v>3.0</v>
      </c>
      <c r="AD59" s="116" t="s">
        <v>121</v>
      </c>
      <c r="AE59" s="117" t="s">
        <v>112</v>
      </c>
      <c r="AF59" s="114" t="s">
        <v>122</v>
      </c>
      <c r="AG59" s="116" t="n">
        <v>37.0</v>
      </c>
      <c r="AH59" s="116" t="n">
        <v>15.0</v>
      </c>
      <c r="AI59" s="116" t="n">
        <v>10.0</v>
      </c>
      <c r="AJ59" s="116" t="n">
        <v>0.5</v>
      </c>
    </row>
    <row r="60" ht="50.0" customHeight="true">
      <c r="A60" s="114" t="s">
        <v>469</v>
      </c>
      <c r="B60" s="114" t="s">
        <v>470</v>
      </c>
      <c r="C60" s="114" t="s">
        <v>471</v>
      </c>
      <c r="D60" s="114"/>
      <c r="E60" s="115" t="s">
        <v>472</v>
      </c>
      <c r="F60" s="114" t="s">
        <v>473</v>
      </c>
      <c r="G60" s="114" t="s">
        <v>176</v>
      </c>
      <c r="H60" s="116" t="n">
        <v>8.0</v>
      </c>
      <c r="I60" s="116" t="n">
        <v>275.71</v>
      </c>
      <c r="J60" s="116" t="s">
        <v>103</v>
      </c>
      <c r="K60" s="116" t="n">
        <v>241.0</v>
      </c>
      <c r="L60" s="116" t="n">
        <v>2.0</v>
      </c>
      <c r="M60" s="116" t="n">
        <v>240.0</v>
      </c>
      <c r="N60" s="116" t="n">
        <v>4.0</v>
      </c>
      <c r="O60" s="116"/>
      <c r="P60" s="116"/>
      <c r="Q60" s="116"/>
      <c r="R60" s="116"/>
      <c r="S60" s="116"/>
      <c r="T60" s="116"/>
      <c r="U60" s="116" t="s">
        <v>104</v>
      </c>
      <c r="V60" s="118" t="s">
        <v>474</v>
      </c>
      <c r="W60" s="116" t="s">
        <v>130</v>
      </c>
      <c r="X60" s="116" t="s">
        <v>143</v>
      </c>
      <c r="Y60" s="116" t="s">
        <v>152</v>
      </c>
      <c r="Z60" s="114">
        <f>IF(INDIRECT("Y60")="Clássico","11.5%",IF(INDIRECT("Y60")="Premium","16.5%","-"))</f>
      </c>
      <c r="AA60" s="116" t="s">
        <v>109</v>
      </c>
      <c r="AB60" s="116" t="s">
        <v>110</v>
      </c>
      <c r="AC60" s="116" t="n">
        <v>30.0</v>
      </c>
      <c r="AD60" s="116" t="s">
        <v>111</v>
      </c>
      <c r="AE60" s="117" t="s">
        <v>112</v>
      </c>
      <c r="AF60" s="114" t="s">
        <v>178</v>
      </c>
      <c r="AG60" s="116" t="n">
        <v>45.0</v>
      </c>
      <c r="AH60" s="116" t="n">
        <v>34.0</v>
      </c>
      <c r="AI60" s="116" t="n">
        <v>12.0</v>
      </c>
      <c r="AJ60" s="116" t="n">
        <v>3.36</v>
      </c>
    </row>
    <row r="61" ht="50.0" customHeight="true">
      <c r="A61" s="114" t="s">
        <v>475</v>
      </c>
      <c r="B61" s="114" t="s">
        <v>476</v>
      </c>
      <c r="C61" s="114" t="s">
        <v>477</v>
      </c>
      <c r="D61" s="114"/>
      <c r="E61" s="115" t="s">
        <v>478</v>
      </c>
      <c r="F61" s="114" t="s">
        <v>479</v>
      </c>
      <c r="G61" s="114" t="s">
        <v>102</v>
      </c>
      <c r="H61" s="116" t="n">
        <v>998.0</v>
      </c>
      <c r="I61" s="116" t="n">
        <v>16.99</v>
      </c>
      <c r="J61" s="116" t="s">
        <v>103</v>
      </c>
      <c r="K61" s="116" t="n">
        <v>14.0</v>
      </c>
      <c r="L61" s="116" t="n">
        <v>3.0</v>
      </c>
      <c r="M61" s="116"/>
      <c r="N61" s="116"/>
      <c r="O61" s="116"/>
      <c r="P61" s="116"/>
      <c r="Q61" s="116"/>
      <c r="R61" s="116"/>
      <c r="S61" s="116"/>
      <c r="T61" s="116"/>
      <c r="U61" s="114" t="s">
        <v>104</v>
      </c>
      <c r="V61" s="114" t="s">
        <v>480</v>
      </c>
      <c r="W61" s="116" t="s">
        <v>106</v>
      </c>
      <c r="X61" s="116" t="s">
        <v>143</v>
      </c>
      <c r="Y61" s="116" t="s">
        <v>108</v>
      </c>
      <c r="Z61" s="114">
        <f>IF(INDIRECT("Y61")="Clássico","14%",IF(INDIRECT("Y61")="Premium","19%","-"))</f>
      </c>
      <c r="AA61" s="116" t="s">
        <v>109</v>
      </c>
      <c r="AB61" s="116" t="s">
        <v>110</v>
      </c>
      <c r="AC61" s="116" t="n">
        <v>30.0</v>
      </c>
      <c r="AD61" s="116" t="s">
        <v>111</v>
      </c>
      <c r="AE61" s="117" t="s">
        <v>112</v>
      </c>
      <c r="AF61" s="114" t="s">
        <v>113</v>
      </c>
      <c r="AG61" s="116" t="n">
        <v>14.0</v>
      </c>
      <c r="AH61" s="116" t="n">
        <v>8.0</v>
      </c>
      <c r="AI61" s="116" t="n">
        <v>6.0</v>
      </c>
      <c r="AJ61" s="116" t="n">
        <v>0.21</v>
      </c>
    </row>
    <row r="62" ht="50.0" customHeight="true">
      <c r="A62" s="114" t="s">
        <v>481</v>
      </c>
      <c r="B62" s="114" t="s">
        <v>482</v>
      </c>
      <c r="C62" s="114" t="s">
        <v>483</v>
      </c>
      <c r="D62" s="114"/>
      <c r="E62" s="115" t="s">
        <v>484</v>
      </c>
      <c r="F62" s="114" t="s">
        <v>485</v>
      </c>
      <c r="G62" s="114" t="s">
        <v>330</v>
      </c>
      <c r="H62" s="116" t="n">
        <v>48.0</v>
      </c>
      <c r="I62" s="116" t="n">
        <v>48.0</v>
      </c>
      <c r="J62" s="116" t="s">
        <v>103</v>
      </c>
      <c r="K62" s="116" t="n">
        <v>42.0</v>
      </c>
      <c r="L62" s="116" t="n">
        <v>2.0</v>
      </c>
      <c r="M62" s="116"/>
      <c r="N62" s="116"/>
      <c r="O62" s="116"/>
      <c r="P62" s="116"/>
      <c r="Q62" s="116"/>
      <c r="R62" s="116"/>
      <c r="S62" s="116"/>
      <c r="T62" s="116"/>
      <c r="U62" s="116" t="s">
        <v>104</v>
      </c>
      <c r="V62" s="118" t="s">
        <v>486</v>
      </c>
      <c r="W62" s="116" t="s">
        <v>106</v>
      </c>
      <c r="X62" s="116" t="s">
        <v>107</v>
      </c>
      <c r="Y62" s="116" t="s">
        <v>108</v>
      </c>
      <c r="Z62" s="114">
        <f>IF(INDIRECT("Y62")="Clássico","11.5%",IF(INDIRECT("Y62")="Premium","16.5%","-"))</f>
      </c>
      <c r="AA62" s="116" t="s">
        <v>109</v>
      </c>
      <c r="AB62" s="116" t="s">
        <v>110</v>
      </c>
      <c r="AC62" s="116" t="n">
        <v>30.0</v>
      </c>
      <c r="AD62" s="116" t="s">
        <v>111</v>
      </c>
      <c r="AE62" s="117" t="s">
        <v>112</v>
      </c>
      <c r="AF62" s="114" t="s">
        <v>186</v>
      </c>
      <c r="AG62" s="116" t="n">
        <v>17.0</v>
      </c>
      <c r="AH62" s="116" t="n">
        <v>12.0</v>
      </c>
      <c r="AI62" s="116" t="n">
        <v>4.0</v>
      </c>
      <c r="AJ62" s="116" t="n">
        <v>0.25</v>
      </c>
    </row>
    <row r="63" ht="50.0" customHeight="true">
      <c r="A63" s="114" t="s">
        <v>487</v>
      </c>
      <c r="B63" s="114" t="s">
        <v>488</v>
      </c>
      <c r="C63" s="114" t="s">
        <v>489</v>
      </c>
      <c r="D63" s="114"/>
      <c r="E63" s="115" t="s">
        <v>490</v>
      </c>
      <c r="F63" s="114" t="s">
        <v>491</v>
      </c>
      <c r="G63" s="114" t="s">
        <v>260</v>
      </c>
      <c r="H63" s="116" t="n">
        <v>2.0</v>
      </c>
      <c r="I63" s="116" t="n">
        <v>5300.0</v>
      </c>
      <c r="J63" s="116" t="s">
        <v>103</v>
      </c>
      <c r="K63" s="116" t="n">
        <v>4999.0</v>
      </c>
      <c r="L63" s="116" t="n">
        <v>2.0</v>
      </c>
      <c r="M63" s="116"/>
      <c r="N63" s="116"/>
      <c r="O63" s="116"/>
      <c r="P63" s="116"/>
      <c r="Q63" s="116"/>
      <c r="R63" s="116"/>
      <c r="S63" s="116"/>
      <c r="T63" s="116"/>
      <c r="U63" s="116" t="s">
        <v>104</v>
      </c>
      <c r="V63" s="118" t="s">
        <v>492</v>
      </c>
      <c r="W63" s="116" t="s">
        <v>130</v>
      </c>
      <c r="X63" s="116" t="s">
        <v>143</v>
      </c>
      <c r="Y63" s="116" t="s">
        <v>152</v>
      </c>
      <c r="Z63" s="114">
        <f>IF(INDIRECT("Y63")="Clássico","12%",IF(INDIRECT("Y63")="Premium","17%","-"))</f>
      </c>
      <c r="AA63" s="116" t="s">
        <v>109</v>
      </c>
      <c r="AB63" s="116" t="s">
        <v>110</v>
      </c>
      <c r="AC63" s="116" t="n">
        <v>30.0</v>
      </c>
      <c r="AD63" s="116" t="s">
        <v>111</v>
      </c>
      <c r="AE63" s="117" t="s">
        <v>112</v>
      </c>
      <c r="AF63" s="114" t="s">
        <v>262</v>
      </c>
      <c r="AG63" s="116" t="n">
        <v>20.0</v>
      </c>
      <c r="AH63" s="116" t="n">
        <v>62.0</v>
      </c>
      <c r="AI63" s="116" t="n">
        <v>26.0</v>
      </c>
      <c r="AJ63" s="116" t="n">
        <v>48.0</v>
      </c>
    </row>
    <row r="64" ht="50.0" customHeight="true">
      <c r="A64" s="114" t="s">
        <v>493</v>
      </c>
      <c r="B64" s="114" t="s">
        <v>494</v>
      </c>
      <c r="C64" s="114" t="s">
        <v>495</v>
      </c>
      <c r="D64" s="114"/>
      <c r="E64" s="115" t="s">
        <v>313</v>
      </c>
      <c r="F64" s="114" t="s">
        <v>496</v>
      </c>
      <c r="G64" s="114" t="s">
        <v>315</v>
      </c>
      <c r="H64" s="116" t="n">
        <v>98.0</v>
      </c>
      <c r="I64" s="116" t="n">
        <v>219.9</v>
      </c>
      <c r="J64" s="116" t="s">
        <v>103</v>
      </c>
      <c r="K64" s="116" t="n">
        <v>215.0</v>
      </c>
      <c r="L64" s="116" t="n">
        <v>3.0</v>
      </c>
      <c r="M64" s="116"/>
      <c r="N64" s="116"/>
      <c r="O64" s="116"/>
      <c r="P64" s="116"/>
      <c r="Q64" s="116"/>
      <c r="R64" s="116"/>
      <c r="S64" s="116"/>
      <c r="T64" s="116"/>
      <c r="U64" s="116" t="s">
        <v>104</v>
      </c>
      <c r="V64" s="118" t="s">
        <v>497</v>
      </c>
      <c r="W64" s="116" t="s">
        <v>130</v>
      </c>
      <c r="X64" s="116" t="s">
        <v>143</v>
      </c>
      <c r="Y64" s="116" t="s">
        <v>152</v>
      </c>
      <c r="Z64" s="114">
        <f>IF(INDIRECT("Y64")="Clássico","11.5%",IF(INDIRECT("Y64")="Premium","16.5%","-"))</f>
      </c>
      <c r="AA64" s="116" t="s">
        <v>109</v>
      </c>
      <c r="AB64" s="116" t="s">
        <v>110</v>
      </c>
      <c r="AC64" s="116" t="n">
        <v>30.0</v>
      </c>
      <c r="AD64" s="116" t="s">
        <v>111</v>
      </c>
      <c r="AE64" s="117" t="s">
        <v>112</v>
      </c>
      <c r="AF64" s="114" t="s">
        <v>317</v>
      </c>
      <c r="AG64" s="116" t="n">
        <v>22.0</v>
      </c>
      <c r="AH64" s="116" t="n">
        <v>22.0</v>
      </c>
      <c r="AI64" s="116" t="n">
        <v>22.0</v>
      </c>
      <c r="AJ64" s="116" t="n">
        <v>0.8</v>
      </c>
    </row>
    <row r="65" ht="50.0" customHeight="true">
      <c r="A65" s="114" t="s">
        <v>498</v>
      </c>
      <c r="B65" s="114" t="s">
        <v>499</v>
      </c>
      <c r="C65" s="114" t="s">
        <v>500</v>
      </c>
      <c r="D65" s="114"/>
      <c r="E65" s="115" t="s">
        <v>313</v>
      </c>
      <c r="F65" s="114" t="s">
        <v>462</v>
      </c>
      <c r="G65" s="114" t="s">
        <v>315</v>
      </c>
      <c r="H65" s="116" t="n">
        <v>98.0</v>
      </c>
      <c r="I65" s="116" t="n">
        <v>59.9</v>
      </c>
      <c r="J65" s="116" t="s">
        <v>103</v>
      </c>
      <c r="K65" s="116" t="n">
        <v>48.75</v>
      </c>
      <c r="L65" s="116" t="n">
        <v>4.0</v>
      </c>
      <c r="M65" s="116"/>
      <c r="N65" s="116"/>
      <c r="O65" s="116"/>
      <c r="P65" s="116"/>
      <c r="Q65" s="116"/>
      <c r="R65" s="116"/>
      <c r="S65" s="116"/>
      <c r="T65" s="116"/>
      <c r="U65" s="116" t="s">
        <v>104</v>
      </c>
      <c r="V65" s="118" t="s">
        <v>463</v>
      </c>
      <c r="W65" s="116" t="s">
        <v>106</v>
      </c>
      <c r="X65" s="116" t="s">
        <v>143</v>
      </c>
      <c r="Y65" s="116" t="s">
        <v>152</v>
      </c>
      <c r="Z65" s="114">
        <f>IF(INDIRECT("Y65")="Clássico","11.5%",IF(INDIRECT("Y65")="Premium","16.5%","-"))</f>
      </c>
      <c r="AA65" s="116" t="s">
        <v>109</v>
      </c>
      <c r="AB65" s="116" t="s">
        <v>110</v>
      </c>
      <c r="AC65" s="116" t="n">
        <v>30.0</v>
      </c>
      <c r="AD65" s="116" t="s">
        <v>111</v>
      </c>
      <c r="AE65" s="117" t="s">
        <v>112</v>
      </c>
      <c r="AF65" s="114" t="s">
        <v>317</v>
      </c>
      <c r="AG65" s="116" t="n">
        <v>22.0</v>
      </c>
      <c r="AH65" s="116" t="n">
        <v>8.0</v>
      </c>
      <c r="AI65" s="116" t="n">
        <v>8.0</v>
      </c>
      <c r="AJ65" s="116" t="n">
        <v>0.15</v>
      </c>
    </row>
    <row r="66" ht="50.0" customHeight="true">
      <c r="A66" s="114" t="s">
        <v>501</v>
      </c>
      <c r="B66" s="114" t="s">
        <v>502</v>
      </c>
      <c r="C66" s="114" t="s">
        <v>503</v>
      </c>
      <c r="D66" s="114"/>
      <c r="E66" s="115" t="s">
        <v>504</v>
      </c>
      <c r="F66" s="114" t="s">
        <v>505</v>
      </c>
      <c r="G66" s="114" t="s">
        <v>505</v>
      </c>
      <c r="H66" s="116" t="n">
        <v>8.0</v>
      </c>
      <c r="I66" s="116" t="n">
        <v>19.9</v>
      </c>
      <c r="J66" s="116" t="s">
        <v>103</v>
      </c>
      <c r="K66" s="116"/>
      <c r="L66" s="116"/>
      <c r="M66" s="116"/>
      <c r="N66" s="116"/>
      <c r="O66" s="116"/>
      <c r="P66" s="116"/>
      <c r="Q66" s="116"/>
      <c r="R66" s="116"/>
      <c r="S66" s="116"/>
      <c r="T66" s="116"/>
      <c r="U66" s="116" t="s">
        <v>104</v>
      </c>
      <c r="V66" s="118" t="s">
        <v>433</v>
      </c>
      <c r="W66" s="116" t="s">
        <v>106</v>
      </c>
      <c r="X66" s="116" t="s">
        <v>143</v>
      </c>
      <c r="Y66" s="116" t="s">
        <v>152</v>
      </c>
      <c r="Z66" s="114">
        <f>IF(INDIRECT("Y66")="Clássico","12%",IF(INDIRECT("Y66")="Premium","17%","-"))</f>
      </c>
      <c r="AA66" s="116" t="s">
        <v>109</v>
      </c>
      <c r="AB66" s="116" t="s">
        <v>110</v>
      </c>
      <c r="AC66" s="116" t="n">
        <v>3.0</v>
      </c>
      <c r="AD66" s="116" t="s">
        <v>121</v>
      </c>
      <c r="AE66" s="117" t="s">
        <v>112</v>
      </c>
      <c r="AF66" s="114" t="s">
        <v>122</v>
      </c>
      <c r="AG66" s="116" t="n">
        <v>20.0</v>
      </c>
      <c r="AH66" s="116" t="n">
        <v>19.0</v>
      </c>
      <c r="AI66" s="116" t="n">
        <v>3.0</v>
      </c>
      <c r="AJ66" s="116" t="n">
        <v>0.26</v>
      </c>
    </row>
    <row r="67" ht="50.0" customHeight="true">
      <c r="A67" s="114" t="s">
        <v>506</v>
      </c>
      <c r="B67" s="114" t="s">
        <v>507</v>
      </c>
      <c r="C67" s="114" t="s">
        <v>508</v>
      </c>
      <c r="D67" s="114"/>
      <c r="E67" s="115" t="s">
        <v>509</v>
      </c>
      <c r="F67" s="114" t="s">
        <v>510</v>
      </c>
      <c r="G67" s="114" t="s">
        <v>176</v>
      </c>
      <c r="H67" s="116" t="n">
        <v>4.0</v>
      </c>
      <c r="I67" s="116" t="n">
        <v>239.9</v>
      </c>
      <c r="J67" s="116" t="s">
        <v>103</v>
      </c>
      <c r="K67" s="116" t="n">
        <v>230.0</v>
      </c>
      <c r="L67" s="116" t="n">
        <v>2.0</v>
      </c>
      <c r="M67" s="116"/>
      <c r="N67" s="116"/>
      <c r="O67" s="116"/>
      <c r="P67" s="116"/>
      <c r="Q67" s="116"/>
      <c r="R67" s="116"/>
      <c r="S67" s="116"/>
      <c r="T67" s="116"/>
      <c r="U67" s="116" t="s">
        <v>104</v>
      </c>
      <c r="V67" s="118" t="s">
        <v>511</v>
      </c>
      <c r="W67" s="116" t="s">
        <v>130</v>
      </c>
      <c r="X67" s="116" t="s">
        <v>143</v>
      </c>
      <c r="Y67" s="116" t="s">
        <v>108</v>
      </c>
      <c r="Z67" s="114">
        <f>IF(INDIRECT("Y67")="Clássico","11.5%",IF(INDIRECT("Y67")="Premium","16.5%","-"))</f>
      </c>
      <c r="AA67" s="116" t="s">
        <v>109</v>
      </c>
      <c r="AB67" s="116" t="s">
        <v>110</v>
      </c>
      <c r="AC67" s="116" t="n">
        <v>30.0</v>
      </c>
      <c r="AD67" s="116" t="s">
        <v>111</v>
      </c>
      <c r="AE67" s="117" t="s">
        <v>112</v>
      </c>
      <c r="AF67" s="114" t="s">
        <v>178</v>
      </c>
      <c r="AG67" s="116" t="n">
        <v>34.0</v>
      </c>
      <c r="AH67" s="116" t="n">
        <v>32.0</v>
      </c>
      <c r="AI67" s="116" t="n">
        <v>11.0</v>
      </c>
      <c r="AJ67" s="116" t="n">
        <v>3.96</v>
      </c>
    </row>
    <row r="68" ht="50.0" customHeight="true">
      <c r="A68" s="114" t="s">
        <v>512</v>
      </c>
      <c r="B68" s="114" t="s">
        <v>513</v>
      </c>
      <c r="C68" s="114" t="s">
        <v>514</v>
      </c>
      <c r="D68" s="114"/>
      <c r="E68" s="115" t="s">
        <v>515</v>
      </c>
      <c r="F68" s="114" t="s">
        <v>516</v>
      </c>
      <c r="G68" s="114" t="s">
        <v>517</v>
      </c>
      <c r="H68" s="116" t="n">
        <v>147.0</v>
      </c>
      <c r="I68" s="116" t="n">
        <v>89.99</v>
      </c>
      <c r="J68" s="116" t="s">
        <v>103</v>
      </c>
      <c r="K68" s="116"/>
      <c r="L68" s="116"/>
      <c r="M68" s="116"/>
      <c r="N68" s="116"/>
      <c r="O68" s="116"/>
      <c r="P68" s="116"/>
      <c r="Q68" s="116"/>
      <c r="R68" s="116"/>
      <c r="S68" s="116"/>
      <c r="T68" s="116"/>
      <c r="U68" s="116" t="s">
        <v>104</v>
      </c>
      <c r="V68" s="118" t="s">
        <v>518</v>
      </c>
      <c r="W68" s="116" t="s">
        <v>106</v>
      </c>
      <c r="X68" s="116" t="s">
        <v>143</v>
      </c>
      <c r="Y68" s="116" t="s">
        <v>152</v>
      </c>
      <c r="Z68" s="114">
        <f>IF(INDIRECT("Y68")="Clássico","14%",IF(INDIRECT("Y68")="Premium","19%","-"))</f>
      </c>
      <c r="AA68" s="116" t="s">
        <v>109</v>
      </c>
      <c r="AB68" s="116" t="s">
        <v>110</v>
      </c>
      <c r="AC68" s="116" t="n">
        <v>30.0</v>
      </c>
      <c r="AD68" s="116" t="s">
        <v>111</v>
      </c>
      <c r="AE68" s="117" t="s">
        <v>112</v>
      </c>
      <c r="AF68" s="114" t="s">
        <v>113</v>
      </c>
      <c r="AG68" s="116" t="n">
        <v>16.0</v>
      </c>
      <c r="AH68" s="116" t="n">
        <v>13.0</v>
      </c>
      <c r="AI68" s="116" t="n">
        <v>3.0</v>
      </c>
      <c r="AJ68" s="116" t="n">
        <v>0.27</v>
      </c>
    </row>
    <row r="69" ht="50.0" customHeight="true">
      <c r="A69" s="114" t="s">
        <v>519</v>
      </c>
      <c r="B69" s="114" t="s">
        <v>520</v>
      </c>
      <c r="C69" s="114" t="s">
        <v>521</v>
      </c>
      <c r="D69" s="114"/>
      <c r="E69" s="115" t="s">
        <v>162</v>
      </c>
      <c r="F69" s="114" t="s">
        <v>522</v>
      </c>
      <c r="G69" s="114" t="s">
        <v>522</v>
      </c>
      <c r="H69" s="116" t="n">
        <v>299.0</v>
      </c>
      <c r="I69" s="116" t="n">
        <v>45.0</v>
      </c>
      <c r="J69" s="116" t="s">
        <v>103</v>
      </c>
      <c r="K69" s="116" t="n">
        <v>39.9</v>
      </c>
      <c r="L69" s="116" t="n">
        <v>2.0</v>
      </c>
      <c r="M69" s="116"/>
      <c r="N69" s="116"/>
      <c r="O69" s="116"/>
      <c r="P69" s="116"/>
      <c r="Q69" s="116"/>
      <c r="R69" s="116"/>
      <c r="S69" s="116"/>
      <c r="T69" s="116"/>
      <c r="U69" s="116" t="s">
        <v>104</v>
      </c>
      <c r="V69" s="118" t="s">
        <v>164</v>
      </c>
      <c r="W69" s="116" t="s">
        <v>106</v>
      </c>
      <c r="X69" s="116" t="s">
        <v>143</v>
      </c>
      <c r="Y69" s="116" t="s">
        <v>108</v>
      </c>
      <c r="Z69" s="114">
        <f>IF(INDIRECT("Y69")="Clássico","12%",IF(INDIRECT("Y69")="Premium","17%","-"))</f>
      </c>
      <c r="AA69" s="116" t="s">
        <v>109</v>
      </c>
      <c r="AB69" s="116" t="s">
        <v>110</v>
      </c>
      <c r="AC69" s="116" t="n">
        <v>30.0</v>
      </c>
      <c r="AD69" s="116" t="s">
        <v>111</v>
      </c>
      <c r="AE69" s="117" t="s">
        <v>112</v>
      </c>
      <c r="AF69" s="114" t="s">
        <v>165</v>
      </c>
      <c r="AG69" s="116" t="n">
        <v>16.0</v>
      </c>
      <c r="AH69" s="116" t="n">
        <v>10.0</v>
      </c>
      <c r="AI69" s="116" t="n">
        <v>6.0</v>
      </c>
      <c r="AJ69" s="116" t="n">
        <v>0.32</v>
      </c>
    </row>
    <row r="70" ht="50.0" customHeight="true">
      <c r="A70" s="114" t="s">
        <v>523</v>
      </c>
      <c r="B70" s="114" t="s">
        <v>524</v>
      </c>
      <c r="C70" s="114" t="s">
        <v>525</v>
      </c>
      <c r="D70" s="114"/>
      <c r="E70" s="115" t="s">
        <v>526</v>
      </c>
      <c r="F70" s="114" t="s">
        <v>527</v>
      </c>
      <c r="G70" s="114" t="s">
        <v>528</v>
      </c>
      <c r="H70" s="116" t="n">
        <v>499.0</v>
      </c>
      <c r="I70" s="116" t="n">
        <v>287.04</v>
      </c>
      <c r="J70" s="116" t="s">
        <v>103</v>
      </c>
      <c r="K70" s="116"/>
      <c r="L70" s="116"/>
      <c r="M70" s="116"/>
      <c r="N70" s="116"/>
      <c r="O70" s="116"/>
      <c r="P70" s="116"/>
      <c r="Q70" s="116"/>
      <c r="R70" s="116"/>
      <c r="S70" s="116"/>
      <c r="T70" s="116"/>
      <c r="U70" s="116" t="s">
        <v>104</v>
      </c>
      <c r="V70" s="118" t="s">
        <v>529</v>
      </c>
      <c r="W70" s="116" t="s">
        <v>130</v>
      </c>
      <c r="X70" s="116" t="s">
        <v>107</v>
      </c>
      <c r="Y70" s="116" t="s">
        <v>152</v>
      </c>
      <c r="Z70" s="114">
        <f>IF(INDIRECT("Y70")="Clássico","14%",IF(INDIRECT("Y70")="Premium","19%","-"))</f>
      </c>
      <c r="AA70" s="116" t="s">
        <v>109</v>
      </c>
      <c r="AB70" s="116" t="s">
        <v>110</v>
      </c>
      <c r="AC70" s="116" t="n">
        <v>30.0</v>
      </c>
      <c r="AD70" s="116" t="s">
        <v>111</v>
      </c>
      <c r="AE70" s="117" t="s">
        <v>112</v>
      </c>
      <c r="AF70" s="114" t="s">
        <v>113</v>
      </c>
      <c r="AG70" s="116" t="n">
        <v>35.0</v>
      </c>
      <c r="AH70" s="116" t="n">
        <v>29.0</v>
      </c>
      <c r="AI70" s="116" t="n">
        <v>24.0</v>
      </c>
      <c r="AJ70" s="116" t="n">
        <v>3.27</v>
      </c>
    </row>
    <row r="71" ht="50.0" customHeight="true">
      <c r="A71" s="114" t="s">
        <v>530</v>
      </c>
      <c r="B71" s="114" t="s">
        <v>531</v>
      </c>
      <c r="C71" s="114" t="s">
        <v>532</v>
      </c>
      <c r="D71" s="114"/>
      <c r="E71" s="115" t="s">
        <v>533</v>
      </c>
      <c r="F71" s="114" t="s">
        <v>534</v>
      </c>
      <c r="G71" s="114" t="s">
        <v>534</v>
      </c>
      <c r="H71" s="116" t="n">
        <v>6.0</v>
      </c>
      <c r="I71" s="116" t="n">
        <v>19.9</v>
      </c>
      <c r="J71" s="116" t="s">
        <v>103</v>
      </c>
      <c r="K71" s="116" t="n">
        <v>19.0</v>
      </c>
      <c r="L71" s="116" t="n">
        <v>2.0</v>
      </c>
      <c r="M71" s="116"/>
      <c r="N71" s="116"/>
      <c r="O71" s="116"/>
      <c r="P71" s="116"/>
      <c r="Q71" s="116"/>
      <c r="R71" s="116"/>
      <c r="S71" s="116"/>
      <c r="T71" s="116"/>
      <c r="U71" s="116" t="s">
        <v>104</v>
      </c>
      <c r="V71" s="118" t="s">
        <v>433</v>
      </c>
      <c r="W71" s="116" t="s">
        <v>106</v>
      </c>
      <c r="X71" s="116" t="s">
        <v>143</v>
      </c>
      <c r="Y71" s="116" t="s">
        <v>108</v>
      </c>
      <c r="Z71" s="114">
        <f>IF(INDIRECT("Y71")="Clássico","12%",IF(INDIRECT("Y71")="Premium","17%","-"))</f>
      </c>
      <c r="AA71" s="116" t="s">
        <v>109</v>
      </c>
      <c r="AB71" s="116" t="s">
        <v>110</v>
      </c>
      <c r="AC71" s="116" t="n">
        <v>3.0</v>
      </c>
      <c r="AD71" s="116" t="s">
        <v>121</v>
      </c>
      <c r="AE71" s="117" t="s">
        <v>112</v>
      </c>
      <c r="AF71" s="114" t="s">
        <v>122</v>
      </c>
      <c r="AG71" s="116"/>
      <c r="AH71" s="116"/>
      <c r="AI71" s="116"/>
      <c r="AJ71" s="116"/>
    </row>
    <row r="72" ht="50.0" customHeight="true">
      <c r="A72" s="114" t="s">
        <v>434</v>
      </c>
      <c r="B72" s="114" t="s">
        <v>535</v>
      </c>
      <c r="C72" s="114" t="s">
        <v>536</v>
      </c>
      <c r="D72" s="114"/>
      <c r="E72" s="115" t="s">
        <v>253</v>
      </c>
      <c r="F72" s="114" t="s">
        <v>437</v>
      </c>
      <c r="G72" s="114" t="s">
        <v>242</v>
      </c>
      <c r="H72" s="116" t="n">
        <v>4.0</v>
      </c>
      <c r="I72" s="116" t="n">
        <v>15.59</v>
      </c>
      <c r="J72" s="116" t="s">
        <v>103</v>
      </c>
      <c r="K72" s="116" t="n">
        <v>15.0</v>
      </c>
      <c r="L72" s="116" t="n">
        <v>4.0</v>
      </c>
      <c r="M72" s="116"/>
      <c r="N72" s="116"/>
      <c r="O72" s="116"/>
      <c r="P72" s="116"/>
      <c r="Q72" s="116"/>
      <c r="R72" s="116"/>
      <c r="S72" s="116"/>
      <c r="T72" s="116"/>
      <c r="U72" s="116" t="s">
        <v>104</v>
      </c>
      <c r="V72" s="118" t="s">
        <v>438</v>
      </c>
      <c r="W72" s="116" t="s">
        <v>106</v>
      </c>
      <c r="X72" s="116" t="s">
        <v>107</v>
      </c>
      <c r="Y72" s="116" t="s">
        <v>152</v>
      </c>
      <c r="Z72" s="114">
        <f>IF(INDIRECT("Y72")="Clássico","13%",IF(INDIRECT("Y72")="Premium","17%","-"))</f>
      </c>
      <c r="AA72" s="116" t="s">
        <v>109</v>
      </c>
      <c r="AB72" s="116" t="s">
        <v>110</v>
      </c>
      <c r="AC72" s="116" t="n">
        <v>30.0</v>
      </c>
      <c r="AD72" s="116" t="s">
        <v>111</v>
      </c>
      <c r="AE72" s="117" t="s">
        <v>112</v>
      </c>
      <c r="AF72" s="114" t="s">
        <v>244</v>
      </c>
      <c r="AG72" s="116" t="n">
        <v>23.0</v>
      </c>
      <c r="AH72" s="116" t="n">
        <v>17.0</v>
      </c>
      <c r="AI72" s="116" t="n">
        <v>5.0</v>
      </c>
      <c r="AJ72" s="116" t="n">
        <v>0.28</v>
      </c>
    </row>
    <row r="73" ht="50.0" customHeight="true">
      <c r="A73" s="114" t="s">
        <v>537</v>
      </c>
      <c r="B73" s="114" t="s">
        <v>538</v>
      </c>
      <c r="C73" s="114" t="s">
        <v>539</v>
      </c>
      <c r="D73" s="114"/>
      <c r="E73" s="115" t="s">
        <v>540</v>
      </c>
      <c r="F73" s="114" t="s">
        <v>541</v>
      </c>
      <c r="G73" s="114" t="s">
        <v>541</v>
      </c>
      <c r="H73" s="116" t="n">
        <v>3.0</v>
      </c>
      <c r="I73" s="116" t="n">
        <v>550.0</v>
      </c>
      <c r="J73" s="116" t="s">
        <v>103</v>
      </c>
      <c r="K73" s="116" t="n">
        <v>490.0</v>
      </c>
      <c r="L73" s="116" t="n">
        <v>2.0</v>
      </c>
      <c r="M73" s="116"/>
      <c r="N73" s="116"/>
      <c r="O73" s="116"/>
      <c r="P73" s="116"/>
      <c r="Q73" s="116"/>
      <c r="R73" s="116"/>
      <c r="S73" s="116"/>
      <c r="T73" s="116"/>
      <c r="U73" s="116" t="s">
        <v>104</v>
      </c>
      <c r="V73" s="118" t="s">
        <v>542</v>
      </c>
      <c r="W73" s="116" t="s">
        <v>130</v>
      </c>
      <c r="X73" s="116" t="s">
        <v>107</v>
      </c>
      <c r="Y73" s="116" t="s">
        <v>152</v>
      </c>
      <c r="Z73" s="114">
        <f>IF(INDIRECT("Y73")="Clássico","12%",IF(INDIRECT("Y73")="Premium","17%","-"))</f>
      </c>
      <c r="AA73" s="116" t="s">
        <v>109</v>
      </c>
      <c r="AB73" s="116" t="s">
        <v>110</v>
      </c>
      <c r="AC73" s="116" t="n">
        <v>30.0</v>
      </c>
      <c r="AD73" s="116" t="s">
        <v>111</v>
      </c>
      <c r="AE73" s="117" t="s">
        <v>112</v>
      </c>
      <c r="AF73" s="114" t="s">
        <v>543</v>
      </c>
      <c r="AG73" s="116" t="n">
        <v>30.0</v>
      </c>
      <c r="AH73" s="116" t="n">
        <v>22.0</v>
      </c>
      <c r="AI73" s="116" t="n">
        <v>12.0</v>
      </c>
      <c r="AJ73" s="116" t="n">
        <v>1.74</v>
      </c>
    </row>
    <row r="74" ht="50.0" customHeight="true">
      <c r="A74" s="114" t="s">
        <v>544</v>
      </c>
      <c r="B74" s="114" t="s">
        <v>545</v>
      </c>
      <c r="C74" s="114" t="s">
        <v>546</v>
      </c>
      <c r="D74" s="114"/>
      <c r="E74" s="115" t="s">
        <v>547</v>
      </c>
      <c r="F74" s="114" t="s">
        <v>548</v>
      </c>
      <c r="G74" s="114" t="s">
        <v>548</v>
      </c>
      <c r="H74" s="116" t="n">
        <v>8.0</v>
      </c>
      <c r="I74" s="116" t="n">
        <v>19.9</v>
      </c>
      <c r="J74" s="116" t="s">
        <v>103</v>
      </c>
      <c r="K74" s="116" t="n">
        <v>19.0</v>
      </c>
      <c r="L74" s="116" t="n">
        <v>2.0</v>
      </c>
      <c r="M74" s="116"/>
      <c r="N74" s="116"/>
      <c r="O74" s="116"/>
      <c r="P74" s="116"/>
      <c r="Q74" s="116"/>
      <c r="R74" s="116"/>
      <c r="S74" s="116"/>
      <c r="T74" s="116"/>
      <c r="U74" s="116" t="s">
        <v>104</v>
      </c>
      <c r="V74" s="118" t="s">
        <v>549</v>
      </c>
      <c r="W74" s="116" t="s">
        <v>106</v>
      </c>
      <c r="X74" s="116" t="s">
        <v>143</v>
      </c>
      <c r="Y74" s="116" t="s">
        <v>108</v>
      </c>
      <c r="Z74" s="114">
        <f>IF(INDIRECT("Y74")="Clássico","12%",IF(INDIRECT("Y74")="Premium","17%","-"))</f>
      </c>
      <c r="AA74" s="116" t="s">
        <v>109</v>
      </c>
      <c r="AB74" s="116" t="s">
        <v>110</v>
      </c>
      <c r="AC74" s="116" t="n">
        <v>3.0</v>
      </c>
      <c r="AD74" s="116" t="s">
        <v>121</v>
      </c>
      <c r="AE74" s="117" t="s">
        <v>112</v>
      </c>
      <c r="AF74" s="114" t="s">
        <v>122</v>
      </c>
      <c r="AG74" s="116"/>
      <c r="AH74" s="116"/>
      <c r="AI74" s="116"/>
      <c r="AJ74" s="116"/>
    </row>
    <row r="75" ht="50.0" customHeight="true">
      <c r="A75" s="114" t="s">
        <v>550</v>
      </c>
      <c r="B75" s="114" t="s">
        <v>551</v>
      </c>
      <c r="C75" s="114" t="s">
        <v>552</v>
      </c>
      <c r="D75" s="114"/>
      <c r="E75" s="115" t="s">
        <v>553</v>
      </c>
      <c r="F75" s="114" t="s">
        <v>554</v>
      </c>
      <c r="G75" s="114" t="s">
        <v>554</v>
      </c>
      <c r="H75" s="116" t="n">
        <v>3.0</v>
      </c>
      <c r="I75" s="116" t="n">
        <v>41.99</v>
      </c>
      <c r="J75" s="116" t="s">
        <v>103</v>
      </c>
      <c r="K75" s="116" t="n">
        <v>39.0</v>
      </c>
      <c r="L75" s="116" t="n">
        <v>2.0</v>
      </c>
      <c r="M75" s="116"/>
      <c r="N75" s="116"/>
      <c r="O75" s="116"/>
      <c r="P75" s="116"/>
      <c r="Q75" s="116"/>
      <c r="R75" s="116"/>
      <c r="S75" s="116"/>
      <c r="T75" s="116"/>
      <c r="U75" s="116" t="s">
        <v>104</v>
      </c>
      <c r="V75" s="118" t="s">
        <v>555</v>
      </c>
      <c r="W75" s="116" t="s">
        <v>106</v>
      </c>
      <c r="X75" s="116" t="s">
        <v>143</v>
      </c>
      <c r="Y75" s="116" t="s">
        <v>152</v>
      </c>
      <c r="Z75" s="114">
        <f>IF(INDIRECT("Y75")="Clássico","12%",IF(INDIRECT("Y75")="Premium","17%","-"))</f>
      </c>
      <c r="AA75" s="116" t="s">
        <v>109</v>
      </c>
      <c r="AB75" s="116" t="s">
        <v>110</v>
      </c>
      <c r="AC75" s="116" t="n">
        <v>3.0</v>
      </c>
      <c r="AD75" s="116" t="s">
        <v>121</v>
      </c>
      <c r="AE75" s="117" t="s">
        <v>112</v>
      </c>
      <c r="AF75" s="114" t="s">
        <v>144</v>
      </c>
      <c r="AG75" s="116"/>
      <c r="AH75" s="116"/>
      <c r="AI75" s="116"/>
      <c r="AJ75" s="116"/>
    </row>
    <row r="76" ht="50.0" customHeight="true">
      <c r="A76" s="114" t="s">
        <v>556</v>
      </c>
      <c r="B76" s="114" t="s">
        <v>557</v>
      </c>
      <c r="C76" s="114" t="s">
        <v>558</v>
      </c>
      <c r="D76" s="114"/>
      <c r="E76" s="115" t="s">
        <v>559</v>
      </c>
      <c r="F76" s="114" t="s">
        <v>560</v>
      </c>
      <c r="G76" s="114" t="s">
        <v>560</v>
      </c>
      <c r="H76" s="116" t="n">
        <v>1.0</v>
      </c>
      <c r="I76" s="116" t="n">
        <v>149.9</v>
      </c>
      <c r="J76" s="116" t="s">
        <v>103</v>
      </c>
      <c r="K76" s="116"/>
      <c r="L76" s="116"/>
      <c r="M76" s="116"/>
      <c r="N76" s="116"/>
      <c r="O76" s="116"/>
      <c r="P76" s="116"/>
      <c r="Q76" s="116"/>
      <c r="R76" s="116"/>
      <c r="S76" s="116"/>
      <c r="T76" s="116"/>
      <c r="U76" s="116" t="s">
        <v>104</v>
      </c>
      <c r="V76" s="118" t="s">
        <v>561</v>
      </c>
      <c r="W76" s="116" t="s">
        <v>130</v>
      </c>
      <c r="X76" s="116" t="s">
        <v>143</v>
      </c>
      <c r="Y76" s="116" t="s">
        <v>108</v>
      </c>
      <c r="Z76" s="114">
        <f>IF(INDIRECT("Y76")="Clássico","12%",IF(INDIRECT("Y76")="Premium","17%","-"))</f>
      </c>
      <c r="AA76" s="116" t="s">
        <v>109</v>
      </c>
      <c r="AB76" s="116" t="s">
        <v>110</v>
      </c>
      <c r="AC76" s="116" t="n">
        <v>3.0</v>
      </c>
      <c r="AD76" s="116" t="s">
        <v>121</v>
      </c>
      <c r="AE76" s="117" t="s">
        <v>112</v>
      </c>
      <c r="AF76" s="114" t="s">
        <v>562</v>
      </c>
      <c r="AG76" s="116" t="n">
        <v>17.0</v>
      </c>
      <c r="AH76" s="116" t="n">
        <v>11.0</v>
      </c>
      <c r="AI76" s="116" t="n">
        <v>4.0</v>
      </c>
      <c r="AJ76" s="116" t="n">
        <v>0.28</v>
      </c>
    </row>
    <row r="77" ht="50.0" customHeight="true">
      <c r="A77" s="114" t="s">
        <v>563</v>
      </c>
      <c r="B77" s="114" t="s">
        <v>564</v>
      </c>
      <c r="C77" s="114" t="s">
        <v>565</v>
      </c>
      <c r="D77" s="114"/>
      <c r="E77" s="115" t="s">
        <v>566</v>
      </c>
      <c r="F77" s="114" t="s">
        <v>567</v>
      </c>
      <c r="G77" s="114" t="s">
        <v>128</v>
      </c>
      <c r="H77" s="116" t="n">
        <v>5.0</v>
      </c>
      <c r="I77" s="116" t="n">
        <v>1540.0</v>
      </c>
      <c r="J77" s="116" t="s">
        <v>103</v>
      </c>
      <c r="K77" s="116" t="n">
        <v>1502.37</v>
      </c>
      <c r="L77" s="116" t="n">
        <v>2.0</v>
      </c>
      <c r="M77" s="116" t="n">
        <v>1482.44</v>
      </c>
      <c r="N77" s="116" t="n">
        <v>5.0</v>
      </c>
      <c r="O77" s="116"/>
      <c r="P77" s="116"/>
      <c r="Q77" s="116"/>
      <c r="R77" s="116"/>
      <c r="S77" s="116"/>
      <c r="T77" s="116"/>
      <c r="U77" s="116" t="s">
        <v>104</v>
      </c>
      <c r="V77" s="118" t="s">
        <v>568</v>
      </c>
      <c r="W77" s="116" t="s">
        <v>130</v>
      </c>
      <c r="X77" s="116" t="s">
        <v>143</v>
      </c>
      <c r="Y77" s="116" t="s">
        <v>108</v>
      </c>
      <c r="Z77" s="114">
        <f>IF(INDIRECT("Y77")="Clássico","12%",IF(INDIRECT("Y77")="Premium","17%","-"))</f>
      </c>
      <c r="AA77" s="116" t="s">
        <v>109</v>
      </c>
      <c r="AB77" s="116" t="s">
        <v>120</v>
      </c>
      <c r="AC77" s="116" t="n">
        <v>3.0</v>
      </c>
      <c r="AD77" s="116" t="s">
        <v>121</v>
      </c>
      <c r="AE77" s="117" t="s">
        <v>112</v>
      </c>
      <c r="AF77" s="114" t="s">
        <v>213</v>
      </c>
      <c r="AG77" s="116" t="n">
        <v>32.0</v>
      </c>
      <c r="AH77" s="116" t="n">
        <v>78.0</v>
      </c>
      <c r="AI77" s="116" t="n">
        <v>33.0</v>
      </c>
      <c r="AJ77" s="116" t="n">
        <v>20.0</v>
      </c>
    </row>
    <row r="78" ht="50.0" customHeight="true">
      <c r="A78" s="114" t="s">
        <v>569</v>
      </c>
      <c r="B78" s="114" t="s">
        <v>570</v>
      </c>
      <c r="C78" s="114" t="s">
        <v>571</v>
      </c>
      <c r="D78" s="114"/>
      <c r="E78" s="115" t="s">
        <v>572</v>
      </c>
      <c r="F78" s="114" t="s">
        <v>573</v>
      </c>
      <c r="G78" s="114" t="s">
        <v>574</v>
      </c>
      <c r="H78" s="116" t="n">
        <v>2.0</v>
      </c>
      <c r="I78" s="116" t="n">
        <v>36.0</v>
      </c>
      <c r="J78" s="116" t="s">
        <v>103</v>
      </c>
      <c r="K78" s="116"/>
      <c r="L78" s="116"/>
      <c r="M78" s="116"/>
      <c r="N78" s="116"/>
      <c r="O78" s="116"/>
      <c r="P78" s="116"/>
      <c r="Q78" s="116"/>
      <c r="R78" s="116"/>
      <c r="S78" s="116"/>
      <c r="T78" s="116"/>
      <c r="U78" s="116" t="s">
        <v>104</v>
      </c>
      <c r="V78" s="118" t="s">
        <v>575</v>
      </c>
      <c r="W78" s="116" t="s">
        <v>106</v>
      </c>
      <c r="X78" s="116" t="s">
        <v>143</v>
      </c>
      <c r="Y78" s="116" t="s">
        <v>108</v>
      </c>
      <c r="Z78" s="114">
        <f>IF(INDIRECT("Y78")="Clássico","12.5%",IF(INDIRECT("Y78")="Premium","17.5%","-"))</f>
      </c>
      <c r="AA78" s="116" t="s">
        <v>109</v>
      </c>
      <c r="AB78" s="116" t="s">
        <v>110</v>
      </c>
      <c r="AC78" s="116" t="n">
        <v>30.0</v>
      </c>
      <c r="AD78" s="116" t="s">
        <v>111</v>
      </c>
      <c r="AE78" s="117" t="s">
        <v>112</v>
      </c>
      <c r="AF78" s="114" t="s">
        <v>280</v>
      </c>
      <c r="AG78" s="116" t="n">
        <v>33.0</v>
      </c>
      <c r="AH78" s="116" t="n">
        <v>22.0</v>
      </c>
      <c r="AI78" s="116" t="n">
        <v>10.0</v>
      </c>
      <c r="AJ78" s="116" t="n">
        <v>1.35</v>
      </c>
    </row>
    <row r="79" ht="50.0" customHeight="true">
      <c r="A79" s="114" t="s">
        <v>576</v>
      </c>
      <c r="B79" s="114" t="s">
        <v>577</v>
      </c>
      <c r="C79" s="114" t="s">
        <v>578</v>
      </c>
      <c r="D79" s="114"/>
      <c r="E79" s="115" t="s">
        <v>579</v>
      </c>
      <c r="F79" s="114" t="s">
        <v>580</v>
      </c>
      <c r="G79" s="114" t="s">
        <v>574</v>
      </c>
      <c r="H79" s="116" t="n">
        <v>2.0</v>
      </c>
      <c r="I79" s="116" t="n">
        <v>175.0</v>
      </c>
      <c r="J79" s="116" t="s">
        <v>103</v>
      </c>
      <c r="K79" s="116"/>
      <c r="L79" s="116"/>
      <c r="M79" s="116"/>
      <c r="N79" s="116"/>
      <c r="O79" s="116"/>
      <c r="P79" s="116"/>
      <c r="Q79" s="116"/>
      <c r="R79" s="116"/>
      <c r="S79" s="116"/>
      <c r="T79" s="116"/>
      <c r="U79" s="116" t="s">
        <v>104</v>
      </c>
      <c r="V79" s="118" t="s">
        <v>581</v>
      </c>
      <c r="W79" s="116" t="s">
        <v>130</v>
      </c>
      <c r="X79" s="116" t="s">
        <v>143</v>
      </c>
      <c r="Y79" s="116" t="s">
        <v>108</v>
      </c>
      <c r="Z79" s="114">
        <f>IF(INDIRECT("Y79")="Clássico","12.5%",IF(INDIRECT("Y79")="Premium","17.5%","-"))</f>
      </c>
      <c r="AA79" s="116" t="s">
        <v>109</v>
      </c>
      <c r="AB79" s="116" t="s">
        <v>110</v>
      </c>
      <c r="AC79" s="116" t="n">
        <v>30.0</v>
      </c>
      <c r="AD79" s="116" t="s">
        <v>111</v>
      </c>
      <c r="AE79" s="117" t="s">
        <v>112</v>
      </c>
      <c r="AF79" s="114" t="s">
        <v>280</v>
      </c>
      <c r="AG79" s="116" t="n">
        <v>34.0</v>
      </c>
      <c r="AH79" s="116" t="n">
        <v>29.0</v>
      </c>
      <c r="AI79" s="116" t="n">
        <v>10.0</v>
      </c>
      <c r="AJ79" s="116" t="n">
        <v>2.34</v>
      </c>
    </row>
    <row r="80" ht="50.0" customHeight="true">
      <c r="A80" s="114" t="s">
        <v>582</v>
      </c>
      <c r="B80" s="114" t="s">
        <v>583</v>
      </c>
      <c r="C80" s="114" t="s">
        <v>584</v>
      </c>
      <c r="D80" s="114"/>
      <c r="E80" s="115" t="s">
        <v>585</v>
      </c>
      <c r="F80" s="114" t="s">
        <v>586</v>
      </c>
      <c r="G80" s="114" t="s">
        <v>587</v>
      </c>
      <c r="H80" s="116" t="n">
        <v>2.0</v>
      </c>
      <c r="I80" s="116" t="n">
        <v>171.22</v>
      </c>
      <c r="J80" s="116" t="s">
        <v>103</v>
      </c>
      <c r="K80" s="116" t="n">
        <v>165.0</v>
      </c>
      <c r="L80" s="116" t="n">
        <v>2.0</v>
      </c>
      <c r="M80" s="116"/>
      <c r="N80" s="116"/>
      <c r="O80" s="116"/>
      <c r="P80" s="116"/>
      <c r="Q80" s="116"/>
      <c r="R80" s="116"/>
      <c r="S80" s="116"/>
      <c r="T80" s="116"/>
      <c r="U80" s="116" t="s">
        <v>104</v>
      </c>
      <c r="V80" s="118" t="s">
        <v>588</v>
      </c>
      <c r="W80" s="116" t="s">
        <v>130</v>
      </c>
      <c r="X80" s="116" t="s">
        <v>143</v>
      </c>
      <c r="Y80" s="116" t="s">
        <v>108</v>
      </c>
      <c r="Z80" s="114">
        <f>IF(INDIRECT("Y80")="Clássico","11.5%",IF(INDIRECT("Y80")="Premium","16.5%","-"))</f>
      </c>
      <c r="AA80" s="116" t="s">
        <v>109</v>
      </c>
      <c r="AB80" s="116" t="s">
        <v>110</v>
      </c>
      <c r="AC80" s="116" t="n">
        <v>30.0</v>
      </c>
      <c r="AD80" s="116" t="s">
        <v>111</v>
      </c>
      <c r="AE80" s="117" t="s">
        <v>112</v>
      </c>
      <c r="AF80" s="114" t="s">
        <v>589</v>
      </c>
      <c r="AG80" s="116"/>
      <c r="AH80" s="116"/>
      <c r="AI80" s="116"/>
      <c r="AJ80" s="116"/>
    </row>
    <row r="81" ht="50.0" customHeight="true">
      <c r="A81" s="114" t="s">
        <v>590</v>
      </c>
      <c r="B81" s="114" t="s">
        <v>591</v>
      </c>
      <c r="C81" s="114" t="s">
        <v>592</v>
      </c>
      <c r="D81" s="114"/>
      <c r="E81" s="115" t="s">
        <v>593</v>
      </c>
      <c r="F81" s="114" t="s">
        <v>594</v>
      </c>
      <c r="G81" s="114" t="s">
        <v>595</v>
      </c>
      <c r="H81" s="116" t="n">
        <v>3.0</v>
      </c>
      <c r="I81" s="116" t="n">
        <v>299.9</v>
      </c>
      <c r="J81" s="116" t="s">
        <v>103</v>
      </c>
      <c r="K81" s="116" t="n">
        <v>282.0</v>
      </c>
      <c r="L81" s="116" t="n">
        <v>2.0</v>
      </c>
      <c r="M81" s="116"/>
      <c r="N81" s="116"/>
      <c r="O81" s="116"/>
      <c r="P81" s="116"/>
      <c r="Q81" s="116"/>
      <c r="R81" s="116"/>
      <c r="S81" s="116"/>
      <c r="T81" s="116"/>
      <c r="U81" s="116" t="s">
        <v>104</v>
      </c>
      <c r="V81" s="118" t="s">
        <v>596</v>
      </c>
      <c r="W81" s="116" t="s">
        <v>130</v>
      </c>
      <c r="X81" s="116" t="s">
        <v>143</v>
      </c>
      <c r="Y81" s="116" t="s">
        <v>108</v>
      </c>
      <c r="Z81" s="114">
        <f>IF(INDIRECT("Y81")="Clássico","12.5%",IF(INDIRECT("Y81")="Premium","17.5%","-"))</f>
      </c>
      <c r="AA81" s="116" t="s">
        <v>109</v>
      </c>
      <c r="AB81" s="116" t="s">
        <v>110</v>
      </c>
      <c r="AC81" s="116" t="n">
        <v>30.0</v>
      </c>
      <c r="AD81" s="116" t="s">
        <v>111</v>
      </c>
      <c r="AE81" s="117" t="s">
        <v>112</v>
      </c>
      <c r="AF81" s="114" t="s">
        <v>280</v>
      </c>
      <c r="AG81" s="116" t="n">
        <v>43.0</v>
      </c>
      <c r="AH81" s="116" t="n">
        <v>35.0</v>
      </c>
      <c r="AI81" s="116" t="n">
        <v>19.0</v>
      </c>
      <c r="AJ81" s="116" t="n">
        <v>1.33</v>
      </c>
    </row>
    <row r="82" ht="50.0" customHeight="true">
      <c r="A82" s="114" t="s">
        <v>597</v>
      </c>
      <c r="B82" s="114" t="s">
        <v>598</v>
      </c>
      <c r="C82" s="114" t="s">
        <v>599</v>
      </c>
      <c r="D82" s="114"/>
      <c r="E82" s="115" t="s">
        <v>600</v>
      </c>
      <c r="F82" s="114" t="s">
        <v>601</v>
      </c>
      <c r="G82" s="114" t="s">
        <v>602</v>
      </c>
      <c r="H82" s="116" t="n">
        <v>999.0</v>
      </c>
      <c r="I82" s="116" t="n">
        <v>129.9</v>
      </c>
      <c r="J82" s="116" t="s">
        <v>103</v>
      </c>
      <c r="K82" s="116"/>
      <c r="L82" s="116"/>
      <c r="M82" s="116"/>
      <c r="N82" s="116"/>
      <c r="O82" s="116"/>
      <c r="P82" s="116"/>
      <c r="Q82" s="116"/>
      <c r="R82" s="116"/>
      <c r="S82" s="116"/>
      <c r="T82" s="116"/>
      <c r="U82" s="116" t="s">
        <v>104</v>
      </c>
      <c r="V82" s="118" t="s">
        <v>603</v>
      </c>
      <c r="W82" s="116" t="s">
        <v>130</v>
      </c>
      <c r="X82" s="116" t="s">
        <v>107</v>
      </c>
      <c r="Y82" s="116" t="s">
        <v>152</v>
      </c>
      <c r="Z82" s="114">
        <f>IF(INDIRECT("Y82")="Clássico","14%",IF(INDIRECT("Y82")="Premium","19%","-"))</f>
      </c>
      <c r="AA82" s="116" t="s">
        <v>109</v>
      </c>
      <c r="AB82" s="116" t="s">
        <v>110</v>
      </c>
      <c r="AC82" s="116" t="n">
        <v>30.0</v>
      </c>
      <c r="AD82" s="116" t="s">
        <v>111</v>
      </c>
      <c r="AE82" s="117" t="s">
        <v>112</v>
      </c>
      <c r="AF82" s="114" t="s">
        <v>113</v>
      </c>
      <c r="AG82" s="116" t="n">
        <v>21.0</v>
      </c>
      <c r="AH82" s="116" t="n">
        <v>18.0</v>
      </c>
      <c r="AI82" s="116" t="n">
        <v>6.0</v>
      </c>
      <c r="AJ82" s="116" t="n">
        <v>0.22</v>
      </c>
    </row>
    <row r="83" ht="50.0" customHeight="true">
      <c r="A83" s="114" t="s">
        <v>604</v>
      </c>
      <c r="B83" s="114" t="s">
        <v>605</v>
      </c>
      <c r="C83" s="114" t="s">
        <v>606</v>
      </c>
      <c r="D83" s="114"/>
      <c r="E83" s="115" t="s">
        <v>607</v>
      </c>
      <c r="F83" s="114" t="s">
        <v>608</v>
      </c>
      <c r="G83" s="114" t="s">
        <v>609</v>
      </c>
      <c r="H83" s="116" t="n">
        <v>9.0</v>
      </c>
      <c r="I83" s="116" t="n">
        <v>55.0</v>
      </c>
      <c r="J83" s="116" t="s">
        <v>103</v>
      </c>
      <c r="K83" s="116"/>
      <c r="L83" s="116"/>
      <c r="M83" s="116"/>
      <c r="N83" s="116"/>
      <c r="O83" s="116"/>
      <c r="P83" s="116"/>
      <c r="Q83" s="116"/>
      <c r="R83" s="116"/>
      <c r="S83" s="116"/>
      <c r="T83" s="116"/>
      <c r="U83" s="116" t="s">
        <v>104</v>
      </c>
      <c r="V83" s="118" t="s">
        <v>610</v>
      </c>
      <c r="W83" s="116" t="s">
        <v>106</v>
      </c>
      <c r="X83" s="116" t="s">
        <v>107</v>
      </c>
      <c r="Y83" s="116" t="s">
        <v>152</v>
      </c>
      <c r="Z83" s="114">
        <f>IF(INDIRECT("Y83")="Clássico","12%",IF(INDIRECT("Y83")="Premium","17%","-"))</f>
      </c>
      <c r="AA83" s="116" t="s">
        <v>109</v>
      </c>
      <c r="AB83" s="116" t="s">
        <v>110</v>
      </c>
      <c r="AC83" s="116" t="n">
        <v>30.0</v>
      </c>
      <c r="AD83" s="116" t="s">
        <v>111</v>
      </c>
      <c r="AE83" s="117" t="s">
        <v>112</v>
      </c>
      <c r="AF83" s="114" t="s">
        <v>611</v>
      </c>
      <c r="AG83" s="116" t="n">
        <v>20.0</v>
      </c>
      <c r="AH83" s="116" t="n">
        <v>18.0</v>
      </c>
      <c r="AI83" s="116" t="n">
        <v>17.0</v>
      </c>
      <c r="AJ83" s="116" t="n">
        <v>0.58</v>
      </c>
    </row>
    <row r="84" ht="50.0" customHeight="true">
      <c r="A84" s="114" t="s">
        <v>612</v>
      </c>
      <c r="B84" s="114" t="s">
        <v>613</v>
      </c>
      <c r="C84" s="114" t="s">
        <v>614</v>
      </c>
      <c r="D84" s="114"/>
      <c r="E84" s="115" t="s">
        <v>448</v>
      </c>
      <c r="F84" s="114" t="s">
        <v>615</v>
      </c>
      <c r="G84" s="114" t="s">
        <v>615</v>
      </c>
      <c r="H84" s="116" t="n">
        <v>4.0</v>
      </c>
      <c r="I84" s="116" t="n">
        <v>1400.0</v>
      </c>
      <c r="J84" s="116" t="s">
        <v>103</v>
      </c>
      <c r="K84" s="116"/>
      <c r="L84" s="116"/>
      <c r="M84" s="116"/>
      <c r="N84" s="116"/>
      <c r="O84" s="116"/>
      <c r="P84" s="116"/>
      <c r="Q84" s="116"/>
      <c r="R84" s="116"/>
      <c r="S84" s="116"/>
      <c r="T84" s="116"/>
      <c r="U84" s="116" t="s">
        <v>104</v>
      </c>
      <c r="V84" s="118" t="s">
        <v>616</v>
      </c>
      <c r="W84" s="116" t="s">
        <v>130</v>
      </c>
      <c r="X84" s="116" t="s">
        <v>107</v>
      </c>
      <c r="Y84" s="116" t="s">
        <v>108</v>
      </c>
      <c r="Z84" s="114">
        <f>IF(INDIRECT("Y84")="Clássico","11.5%",IF(INDIRECT("Y84")="Premium","16.5%","-"))</f>
      </c>
      <c r="AA84" s="116" t="s">
        <v>109</v>
      </c>
      <c r="AB84" s="116" t="s">
        <v>110</v>
      </c>
      <c r="AC84" s="116" t="n">
        <v>30.0</v>
      </c>
      <c r="AD84" s="116" t="s">
        <v>111</v>
      </c>
      <c r="AE84" s="117" t="s">
        <v>112</v>
      </c>
      <c r="AF84" s="114" t="s">
        <v>617</v>
      </c>
      <c r="AG84" s="116" t="n">
        <v>59.0</v>
      </c>
      <c r="AH84" s="116" t="n">
        <v>57.0</v>
      </c>
      <c r="AI84" s="116" t="n">
        <v>23.0</v>
      </c>
      <c r="AJ84" s="116" t="n">
        <v>5.47</v>
      </c>
    </row>
    <row r="85" ht="50.0" customHeight="true">
      <c r="A85" s="114" t="s">
        <v>618</v>
      </c>
      <c r="B85" s="114" t="s">
        <v>619</v>
      </c>
      <c r="C85" s="114" t="s">
        <v>620</v>
      </c>
      <c r="D85" s="114"/>
      <c r="E85" s="115" t="s">
        <v>621</v>
      </c>
      <c r="F85" s="114" t="s">
        <v>622</v>
      </c>
      <c r="G85" s="114" t="s">
        <v>622</v>
      </c>
      <c r="H85" s="116" t="n">
        <v>25.0</v>
      </c>
      <c r="I85" s="116" t="n">
        <v>25.0</v>
      </c>
      <c r="J85" s="116" t="s">
        <v>103</v>
      </c>
      <c r="K85" s="116" t="n">
        <v>22.0</v>
      </c>
      <c r="L85" s="116" t="n">
        <v>2.0</v>
      </c>
      <c r="M85" s="116" t="n">
        <v>20.0</v>
      </c>
      <c r="N85" s="116" t="n">
        <v>4.0</v>
      </c>
      <c r="O85" s="116"/>
      <c r="P85" s="116"/>
      <c r="Q85" s="116"/>
      <c r="R85" s="116"/>
      <c r="S85" s="116"/>
      <c r="T85" s="116"/>
      <c r="U85" s="116" t="s">
        <v>104</v>
      </c>
      <c r="V85" s="118" t="s">
        <v>623</v>
      </c>
      <c r="W85" s="116" t="s">
        <v>106</v>
      </c>
      <c r="X85" s="116" t="s">
        <v>107</v>
      </c>
      <c r="Y85" s="116" t="s">
        <v>152</v>
      </c>
      <c r="Z85" s="114">
        <f>IF(INDIRECT("Y85")="Clássico","13%",IF(INDIRECT("Y85")="Premium","18%","-"))</f>
      </c>
      <c r="AA85" s="116" t="s">
        <v>109</v>
      </c>
      <c r="AB85" s="116" t="s">
        <v>110</v>
      </c>
      <c r="AC85" s="116" t="n">
        <v>30.0</v>
      </c>
      <c r="AD85" s="116" t="s">
        <v>111</v>
      </c>
      <c r="AE85" s="117" t="s">
        <v>112</v>
      </c>
      <c r="AF85" s="114" t="s">
        <v>624</v>
      </c>
      <c r="AG85" s="116" t="n">
        <v>20.0</v>
      </c>
      <c r="AH85" s="116" t="n">
        <v>13.0</v>
      </c>
      <c r="AI85" s="116" t="n">
        <v>4.0</v>
      </c>
      <c r="AJ85" s="116" t="n">
        <v>0.19</v>
      </c>
    </row>
    <row r="86" ht="50.0" customHeight="true">
      <c r="A86" s="114" t="s">
        <v>625</v>
      </c>
      <c r="B86" s="114" t="s">
        <v>626</v>
      </c>
      <c r="C86" s="114" t="s">
        <v>627</v>
      </c>
      <c r="D86" s="114"/>
      <c r="E86" s="115" t="s">
        <v>628</v>
      </c>
      <c r="F86" s="114" t="s">
        <v>629</v>
      </c>
      <c r="G86" s="114" t="s">
        <v>629</v>
      </c>
      <c r="H86" s="116" t="n">
        <v>2.0</v>
      </c>
      <c r="I86" s="116" t="n">
        <v>110.0</v>
      </c>
      <c r="J86" s="116" t="s">
        <v>103</v>
      </c>
      <c r="K86" s="116" t="n">
        <v>90.0</v>
      </c>
      <c r="L86" s="116" t="n">
        <v>2.0</v>
      </c>
      <c r="M86" s="116"/>
      <c r="N86" s="116"/>
      <c r="O86" s="116"/>
      <c r="P86" s="116"/>
      <c r="Q86" s="116"/>
      <c r="R86" s="116"/>
      <c r="S86" s="116"/>
      <c r="T86" s="116"/>
      <c r="U86" s="116" t="s">
        <v>104</v>
      </c>
      <c r="V86" s="118" t="s">
        <v>630</v>
      </c>
      <c r="W86" s="116" t="s">
        <v>130</v>
      </c>
      <c r="X86" s="116" t="s">
        <v>143</v>
      </c>
      <c r="Y86" s="116" t="s">
        <v>108</v>
      </c>
      <c r="Z86" s="114">
        <f>IF(INDIRECT("Y86")="Clássico","11.5%",IF(INDIRECT("Y86")="Premium","16.5%","-"))</f>
      </c>
      <c r="AA86" s="116" t="s">
        <v>109</v>
      </c>
      <c r="AB86" s="116" t="s">
        <v>110</v>
      </c>
      <c r="AC86" s="116" t="n">
        <v>30.0</v>
      </c>
      <c r="AD86" s="116" t="s">
        <v>111</v>
      </c>
      <c r="AE86" s="117" t="s">
        <v>112</v>
      </c>
      <c r="AF86" s="114" t="s">
        <v>631</v>
      </c>
      <c r="AG86" s="116" t="n">
        <v>6.0</v>
      </c>
      <c r="AH86" s="116" t="n">
        <v>36.0</v>
      </c>
      <c r="AI86" s="116" t="n">
        <v>32.0</v>
      </c>
      <c r="AJ86" s="116" t="n">
        <v>0.68</v>
      </c>
    </row>
    <row r="87" ht="50.0" customHeight="true">
      <c r="A87" s="114" t="s">
        <v>632</v>
      </c>
      <c r="B87" s="114" t="s">
        <v>633</v>
      </c>
      <c r="C87" s="114" t="s">
        <v>634</v>
      </c>
      <c r="D87" s="114"/>
      <c r="E87" s="115" t="s">
        <v>635</v>
      </c>
      <c r="F87" s="114" t="s">
        <v>636</v>
      </c>
      <c r="G87" s="114" t="s">
        <v>315</v>
      </c>
      <c r="H87" s="116" t="n">
        <v>99.0</v>
      </c>
      <c r="I87" s="116" t="n">
        <v>129.9</v>
      </c>
      <c r="J87" s="116" t="s">
        <v>103</v>
      </c>
      <c r="K87" s="116" t="n">
        <v>126.9</v>
      </c>
      <c r="L87" s="116" t="n">
        <v>4.0</v>
      </c>
      <c r="M87" s="116"/>
      <c r="N87" s="116"/>
      <c r="O87" s="116"/>
      <c r="P87" s="116"/>
      <c r="Q87" s="116"/>
      <c r="R87" s="116"/>
      <c r="S87" s="116"/>
      <c r="T87" s="116"/>
      <c r="U87" s="116" t="s">
        <v>104</v>
      </c>
      <c r="V87" s="118" t="s">
        <v>637</v>
      </c>
      <c r="W87" s="116" t="s">
        <v>130</v>
      </c>
      <c r="X87" s="116" t="s">
        <v>143</v>
      </c>
      <c r="Y87" s="116" t="s">
        <v>152</v>
      </c>
      <c r="Z87" s="114">
        <f>IF(INDIRECT("Y87")="Clássico","11.5%",IF(INDIRECT("Y87")="Premium","16.5%","-"))</f>
      </c>
      <c r="AA87" s="116" t="s">
        <v>109</v>
      </c>
      <c r="AB87" s="116" t="s">
        <v>110</v>
      </c>
      <c r="AC87" s="116" t="n">
        <v>30.0</v>
      </c>
      <c r="AD87" s="116" t="s">
        <v>111</v>
      </c>
      <c r="AE87" s="117" t="s">
        <v>112</v>
      </c>
      <c r="AF87" s="114" t="s">
        <v>317</v>
      </c>
      <c r="AG87" s="116" t="n">
        <v>8.0</v>
      </c>
      <c r="AH87" s="116" t="n">
        <v>22.0</v>
      </c>
      <c r="AI87" s="116" t="n">
        <v>22.0</v>
      </c>
      <c r="AJ87" s="116" t="n">
        <v>0.6</v>
      </c>
    </row>
    <row r="88" ht="50.0" customHeight="true">
      <c r="A88" s="114" t="s">
        <v>638</v>
      </c>
      <c r="B88" s="114" t="s">
        <v>639</v>
      </c>
      <c r="C88" s="114" t="s">
        <v>640</v>
      </c>
      <c r="D88" s="114"/>
      <c r="E88" s="115" t="s">
        <v>641</v>
      </c>
      <c r="F88" s="114" t="s">
        <v>642</v>
      </c>
      <c r="G88" s="114" t="s">
        <v>192</v>
      </c>
      <c r="H88" s="116" t="n">
        <v>2.0</v>
      </c>
      <c r="I88" s="116" t="n">
        <v>89.9</v>
      </c>
      <c r="J88" s="116" t="s">
        <v>103</v>
      </c>
      <c r="K88" s="116" t="n">
        <v>79.9</v>
      </c>
      <c r="L88" s="116" t="n">
        <v>2.0</v>
      </c>
      <c r="M88" s="116"/>
      <c r="N88" s="116"/>
      <c r="O88" s="116"/>
      <c r="P88" s="116"/>
      <c r="Q88" s="116"/>
      <c r="R88" s="116"/>
      <c r="S88" s="116"/>
      <c r="T88" s="116"/>
      <c r="U88" s="116" t="s">
        <v>104</v>
      </c>
      <c r="V88" s="118" t="s">
        <v>643</v>
      </c>
      <c r="W88" s="116" t="s">
        <v>106</v>
      </c>
      <c r="X88" s="116" t="s">
        <v>143</v>
      </c>
      <c r="Y88" s="116" t="s">
        <v>108</v>
      </c>
      <c r="Z88" s="114">
        <f>IF(INDIRECT("Y88")="Clássico","12%",IF(INDIRECT("Y88")="Premium","17%","-"))</f>
      </c>
      <c r="AA88" s="116" t="s">
        <v>109</v>
      </c>
      <c r="AB88" s="116" t="s">
        <v>110</v>
      </c>
      <c r="AC88" s="116" t="n">
        <v>15.0</v>
      </c>
      <c r="AD88" s="116" t="s">
        <v>111</v>
      </c>
      <c r="AE88" s="117" t="s">
        <v>112</v>
      </c>
      <c r="AF88" s="114" t="s">
        <v>458</v>
      </c>
      <c r="AG88" s="116" t="n">
        <v>4.0</v>
      </c>
      <c r="AH88" s="116" t="n">
        <v>15.0</v>
      </c>
      <c r="AI88" s="116" t="n">
        <v>16.0</v>
      </c>
      <c r="AJ88" s="116" t="n">
        <v>0.15</v>
      </c>
    </row>
    <row r="89" ht="50.0" customHeight="true">
      <c r="A89" s="114" t="s">
        <v>644</v>
      </c>
      <c r="B89" s="114" t="s">
        <v>645</v>
      </c>
      <c r="C89" s="114" t="s">
        <v>646</v>
      </c>
      <c r="D89" s="114"/>
      <c r="E89" s="115" t="s">
        <v>647</v>
      </c>
      <c r="F89" s="114" t="s">
        <v>648</v>
      </c>
      <c r="G89" s="114" t="s">
        <v>649</v>
      </c>
      <c r="H89" s="116" t="n">
        <v>1.0</v>
      </c>
      <c r="I89" s="116" t="n">
        <v>490.0</v>
      </c>
      <c r="J89" s="116" t="s">
        <v>103</v>
      </c>
      <c r="K89" s="116"/>
      <c r="L89" s="116"/>
      <c r="M89" s="116"/>
      <c r="N89" s="116"/>
      <c r="O89" s="116"/>
      <c r="P89" s="116"/>
      <c r="Q89" s="116"/>
      <c r="R89" s="116"/>
      <c r="S89" s="116"/>
      <c r="T89" s="116"/>
      <c r="U89" s="116" t="s">
        <v>104</v>
      </c>
      <c r="V89" s="118" t="s">
        <v>650</v>
      </c>
      <c r="W89" s="116" t="s">
        <v>130</v>
      </c>
      <c r="X89" s="116" t="s">
        <v>143</v>
      </c>
      <c r="Y89" s="116" t="s">
        <v>108</v>
      </c>
      <c r="Z89" s="114">
        <f>IF(INDIRECT("Y89")="Clássico","11.5%",IF(INDIRECT("Y89")="Premium","16.5%","-"))</f>
      </c>
      <c r="AA89" s="116" t="s">
        <v>109</v>
      </c>
      <c r="AB89" s="116" t="s">
        <v>110</v>
      </c>
      <c r="AC89" s="116" t="n">
        <v>30.0</v>
      </c>
      <c r="AD89" s="116" t="s">
        <v>111</v>
      </c>
      <c r="AE89" s="117" t="s">
        <v>112</v>
      </c>
      <c r="AF89" s="114" t="s">
        <v>651</v>
      </c>
      <c r="AG89" s="116" t="n">
        <v>45.0</v>
      </c>
      <c r="AH89" s="116" t="n">
        <v>38.0</v>
      </c>
      <c r="AI89" s="116" t="n">
        <v>8.0</v>
      </c>
      <c r="AJ89" s="116" t="n">
        <v>3.3</v>
      </c>
    </row>
    <row r="90" ht="50.0" customHeight="true">
      <c r="A90" s="114" t="s">
        <v>652</v>
      </c>
      <c r="B90" s="114" t="s">
        <v>653</v>
      </c>
      <c r="C90" s="114" t="s">
        <v>654</v>
      </c>
      <c r="D90" s="114"/>
      <c r="E90" s="115" t="s">
        <v>655</v>
      </c>
      <c r="F90" s="115" t="s">
        <v>656</v>
      </c>
      <c r="G90" s="114" t="s">
        <v>656</v>
      </c>
      <c r="H90" s="116" t="n">
        <v>9.0</v>
      </c>
      <c r="I90" s="116" t="n">
        <v>19.9</v>
      </c>
      <c r="J90" s="116" t="s">
        <v>103</v>
      </c>
      <c r="K90" s="116"/>
      <c r="L90" s="116"/>
      <c r="M90" s="116"/>
      <c r="N90" s="116"/>
      <c r="O90" s="116"/>
      <c r="P90" s="116"/>
      <c r="Q90" s="116"/>
      <c r="R90" s="116"/>
      <c r="S90" s="116"/>
      <c r="T90" s="116"/>
      <c r="U90" s="116" t="s">
        <v>104</v>
      </c>
      <c r="V90" s="118" t="s">
        <v>657</v>
      </c>
      <c r="W90" s="116" t="s">
        <v>106</v>
      </c>
      <c r="X90" s="116" t="s">
        <v>143</v>
      </c>
      <c r="Y90" s="116" t="s">
        <v>108</v>
      </c>
      <c r="Z90" s="114">
        <f>IF(INDIRECT("Y90")="Clássico","12%",IF(INDIRECT("Y90")="Premium","17%","-"))</f>
      </c>
      <c r="AA90" s="116" t="s">
        <v>109</v>
      </c>
      <c r="AB90" s="116" t="s">
        <v>110</v>
      </c>
      <c r="AC90" s="116" t="n">
        <v>3.0</v>
      </c>
      <c r="AD90" s="116" t="s">
        <v>121</v>
      </c>
      <c r="AE90" s="117" t="s">
        <v>112</v>
      </c>
      <c r="AF90" s="114" t="s">
        <v>658</v>
      </c>
      <c r="AG90" s="116"/>
      <c r="AH90" s="116"/>
      <c r="AI90" s="116"/>
      <c r="AJ90" s="116"/>
    </row>
    <row r="91" ht="50.0" customHeight="true">
      <c r="A91" s="114" t="s">
        <v>659</v>
      </c>
      <c r="B91" s="114" t="s">
        <v>660</v>
      </c>
      <c r="C91" s="114" t="s">
        <v>661</v>
      </c>
      <c r="D91" s="114"/>
      <c r="E91" s="115" t="s">
        <v>204</v>
      </c>
      <c r="F91" s="115" t="s">
        <v>662</v>
      </c>
      <c r="G91" s="114" t="s">
        <v>662</v>
      </c>
      <c r="H91" s="116" t="n">
        <v>6.0</v>
      </c>
      <c r="I91" s="116" t="n">
        <v>48.9</v>
      </c>
      <c r="J91" s="116" t="s">
        <v>103</v>
      </c>
      <c r="K91" s="116"/>
      <c r="L91" s="116"/>
      <c r="M91" s="116"/>
      <c r="N91" s="116"/>
      <c r="O91" s="116"/>
      <c r="P91" s="116"/>
      <c r="Q91" s="116"/>
      <c r="R91" s="116"/>
      <c r="S91" s="116"/>
      <c r="T91" s="116"/>
      <c r="U91" s="116" t="s">
        <v>104</v>
      </c>
      <c r="V91" s="118" t="s">
        <v>663</v>
      </c>
      <c r="W91" s="116" t="s">
        <v>106</v>
      </c>
      <c r="X91" s="116" t="s">
        <v>143</v>
      </c>
      <c r="Y91" s="116" t="s">
        <v>108</v>
      </c>
      <c r="Z91" s="114">
        <f>IF(INDIRECT("Y91")="Clássico","12%",IF(INDIRECT("Y91")="Premium","17%","-"))</f>
      </c>
      <c r="AA91" s="116" t="s">
        <v>109</v>
      </c>
      <c r="AB91" s="116" t="s">
        <v>110</v>
      </c>
      <c r="AC91" s="116" t="n">
        <v>3.0</v>
      </c>
      <c r="AD91" s="116" t="s">
        <v>121</v>
      </c>
      <c r="AE91" s="117" t="s">
        <v>112</v>
      </c>
      <c r="AF91" s="114" t="s">
        <v>144</v>
      </c>
      <c r="AG91" s="116"/>
      <c r="AH91" s="116"/>
      <c r="AI91" s="116"/>
      <c r="AJ91" s="116"/>
    </row>
    <row r="92" ht="50.0" customHeight="true">
      <c r="A92" s="114" t="s">
        <v>664</v>
      </c>
      <c r="B92" s="114" t="s">
        <v>665</v>
      </c>
      <c r="C92" s="114" t="s">
        <v>666</v>
      </c>
      <c r="D92" s="114"/>
      <c r="E92" s="115" t="s">
        <v>667</v>
      </c>
      <c r="F92" s="115" t="s">
        <v>668</v>
      </c>
      <c r="G92" s="114" t="s">
        <v>669</v>
      </c>
      <c r="H92" s="116" t="n">
        <v>4.0</v>
      </c>
      <c r="I92" s="116" t="n">
        <v>250.0</v>
      </c>
      <c r="J92" s="116" t="s">
        <v>103</v>
      </c>
      <c r="K92" s="116" t="n">
        <v>230.0</v>
      </c>
      <c r="L92" s="116" t="n">
        <v>2.0</v>
      </c>
      <c r="M92" s="116"/>
      <c r="N92" s="116"/>
      <c r="O92" s="116"/>
      <c r="P92" s="116"/>
      <c r="Q92" s="116"/>
      <c r="R92" s="116"/>
      <c r="S92" s="116"/>
      <c r="T92" s="116"/>
      <c r="U92" s="116" t="s">
        <v>104</v>
      </c>
      <c r="V92" s="118" t="s">
        <v>670</v>
      </c>
      <c r="W92" s="116" t="s">
        <v>130</v>
      </c>
      <c r="X92" s="116" t="s">
        <v>143</v>
      </c>
      <c r="Y92" s="116" t="s">
        <v>108</v>
      </c>
      <c r="Z92" s="114">
        <f>IF(INDIRECT("Y92")="Clássico","12.5%",IF(INDIRECT("Y92")="Premium","17.5%","-"))</f>
      </c>
      <c r="AA92" s="116" t="s">
        <v>109</v>
      </c>
      <c r="AB92" s="116" t="s">
        <v>110</v>
      </c>
      <c r="AC92" s="116" t="n">
        <v>30.0</v>
      </c>
      <c r="AD92" s="116" t="s">
        <v>111</v>
      </c>
      <c r="AE92" s="117" t="s">
        <v>112</v>
      </c>
      <c r="AF92" s="114" t="s">
        <v>280</v>
      </c>
      <c r="AG92" s="116" t="n">
        <v>42.0</v>
      </c>
      <c r="AH92" s="116" t="n">
        <v>35.0</v>
      </c>
      <c r="AI92" s="116" t="n">
        <v>19.0</v>
      </c>
      <c r="AJ92" s="116" t="n">
        <v>1.49</v>
      </c>
    </row>
    <row r="93" ht="50.0" customHeight="true">
      <c r="A93" s="114" t="s">
        <v>671</v>
      </c>
      <c r="B93" s="114" t="s">
        <v>672</v>
      </c>
      <c r="C93" s="114" t="s">
        <v>673</v>
      </c>
      <c r="D93" s="114"/>
      <c r="E93" s="115" t="s">
        <v>674</v>
      </c>
      <c r="F93" s="115" t="s">
        <v>675</v>
      </c>
      <c r="G93" s="114" t="s">
        <v>675</v>
      </c>
      <c r="H93" s="116" t="n">
        <v>10.0</v>
      </c>
      <c r="I93" s="116" t="n">
        <v>999.0</v>
      </c>
      <c r="J93" s="116" t="s">
        <v>103</v>
      </c>
      <c r="K93" s="116" t="n">
        <v>580.0</v>
      </c>
      <c r="L93" s="116" t="n">
        <v>5.0</v>
      </c>
      <c r="M93" s="116" t="n">
        <v>560.0</v>
      </c>
      <c r="N93" s="116" t="n">
        <v>10.0</v>
      </c>
      <c r="O93" s="116"/>
      <c r="P93" s="116"/>
      <c r="Q93" s="116"/>
      <c r="R93" s="116"/>
      <c r="S93" s="116"/>
      <c r="T93" s="116"/>
      <c r="U93" s="116" t="s">
        <v>104</v>
      </c>
      <c r="V93" s="118" t="s">
        <v>676</v>
      </c>
      <c r="W93" s="116" t="s">
        <v>130</v>
      </c>
      <c r="X93" s="116" t="s">
        <v>143</v>
      </c>
      <c r="Y93" s="116" t="s">
        <v>152</v>
      </c>
      <c r="Z93" s="114">
        <f>IF(INDIRECT("Y93")="Clássico","13%",IF(INDIRECT("Y93")="Premium","18%","-"))</f>
      </c>
      <c r="AA93" s="116" t="s">
        <v>109</v>
      </c>
      <c r="AB93" s="116" t="s">
        <v>110</v>
      </c>
      <c r="AC93" s="116" t="n">
        <v>30.0</v>
      </c>
      <c r="AD93" s="116" t="s">
        <v>111</v>
      </c>
      <c r="AE93" s="117" t="s">
        <v>112</v>
      </c>
      <c r="AF93" s="114" t="s">
        <v>624</v>
      </c>
      <c r="AG93" s="116" t="n">
        <v>28.0</v>
      </c>
      <c r="AH93" s="116" t="n">
        <v>19.0</v>
      </c>
      <c r="AI93" s="116" t="n">
        <v>8.0</v>
      </c>
      <c r="AJ93" s="116" t="n">
        <v>0.8</v>
      </c>
    </row>
    <row r="94" ht="50.0" customHeight="true">
      <c r="A94" s="114" t="s">
        <v>301</v>
      </c>
      <c r="B94" s="114" t="s">
        <v>677</v>
      </c>
      <c r="C94" s="114" t="s">
        <v>303</v>
      </c>
      <c r="D94" s="114"/>
      <c r="E94" s="115" t="s">
        <v>304</v>
      </c>
      <c r="F94" s="115" t="s">
        <v>678</v>
      </c>
      <c r="G94" s="114" t="s">
        <v>192</v>
      </c>
      <c r="H94" s="116" t="n">
        <v>2.0</v>
      </c>
      <c r="I94" s="116" t="n">
        <v>52.0</v>
      </c>
      <c r="J94" s="116" t="s">
        <v>103</v>
      </c>
      <c r="K94" s="116" t="n">
        <v>43.0</v>
      </c>
      <c r="L94" s="116" t="n">
        <v>2.0</v>
      </c>
      <c r="M94" s="116"/>
      <c r="N94" s="116"/>
      <c r="O94" s="116"/>
      <c r="P94" s="116"/>
      <c r="Q94" s="116"/>
      <c r="R94" s="116"/>
      <c r="S94" s="116"/>
      <c r="T94" s="116"/>
      <c r="U94" s="116" t="s">
        <v>104</v>
      </c>
      <c r="V94" s="118" t="s">
        <v>679</v>
      </c>
      <c r="W94" s="116" t="s">
        <v>106</v>
      </c>
      <c r="X94" s="116" t="s">
        <v>143</v>
      </c>
      <c r="Y94" s="116" t="s">
        <v>152</v>
      </c>
      <c r="Z94" s="114">
        <f>IF(INDIRECT("Y94")="Clássico","13%",IF(INDIRECT("Y94")="Premium","18%","-"))</f>
      </c>
      <c r="AA94" s="116" t="s">
        <v>109</v>
      </c>
      <c r="AB94" s="116" t="s">
        <v>110</v>
      </c>
      <c r="AC94" s="116" t="n">
        <v>30.0</v>
      </c>
      <c r="AD94" s="116" t="s">
        <v>111</v>
      </c>
      <c r="AE94" s="117" t="s">
        <v>112</v>
      </c>
      <c r="AF94" s="114" t="s">
        <v>307</v>
      </c>
      <c r="AG94" s="116" t="n">
        <v>16.0</v>
      </c>
      <c r="AH94" s="116" t="n">
        <v>5.0</v>
      </c>
      <c r="AI94" s="116" t="n">
        <v>2.0</v>
      </c>
      <c r="AJ94" s="116" t="n">
        <v>0.04</v>
      </c>
    </row>
    <row r="95" ht="50.0" customHeight="true">
      <c r="A95" s="114" t="s">
        <v>680</v>
      </c>
      <c r="B95" s="114" t="s">
        <v>681</v>
      </c>
      <c r="C95" s="114" t="s">
        <v>682</v>
      </c>
      <c r="D95" s="114"/>
      <c r="E95" s="115" t="s">
        <v>683</v>
      </c>
      <c r="F95" s="114" t="s">
        <v>684</v>
      </c>
      <c r="G95" s="114" t="s">
        <v>102</v>
      </c>
      <c r="H95" s="116" t="n">
        <v>2.0</v>
      </c>
      <c r="I95" s="116" t="n">
        <v>56.05</v>
      </c>
      <c r="J95" s="116" t="s">
        <v>103</v>
      </c>
      <c r="K95" s="116" t="n">
        <v>55.0</v>
      </c>
      <c r="L95" s="116" t="n">
        <v>2.0</v>
      </c>
      <c r="M95" s="116"/>
      <c r="N95" s="116"/>
      <c r="O95" s="116"/>
      <c r="P95" s="116"/>
      <c r="Q95" s="116"/>
      <c r="R95" s="116"/>
      <c r="S95" s="116"/>
      <c r="T95" s="116"/>
      <c r="U95" s="114" t="s">
        <v>104</v>
      </c>
      <c r="V95" s="114" t="s">
        <v>685</v>
      </c>
      <c r="W95" s="116" t="s">
        <v>106</v>
      </c>
      <c r="X95" s="116" t="s">
        <v>107</v>
      </c>
      <c r="Y95" s="116" t="s">
        <v>108</v>
      </c>
      <c r="Z95" s="114">
        <f>IF(INDIRECT("Y95")="Clássico","13%",IF(INDIRECT("Y95")="Premium","18%","-"))</f>
      </c>
      <c r="AA95" s="116" t="s">
        <v>109</v>
      </c>
      <c r="AB95" s="116" t="s">
        <v>686</v>
      </c>
      <c r="AC95" s="116" t="n">
        <v>0.0</v>
      </c>
      <c r="AD95" s="116" t="s">
        <v>22</v>
      </c>
      <c r="AE95" s="117" t="s">
        <v>112</v>
      </c>
      <c r="AF95" s="114" t="s">
        <v>687</v>
      </c>
      <c r="AG95" s="116" t="n">
        <v>31.0</v>
      </c>
      <c r="AH95" s="116" t="n">
        <v>15.0</v>
      </c>
      <c r="AI95" s="116" t="n">
        <v>7.0</v>
      </c>
      <c r="AJ95" s="116" t="n">
        <v>0.1</v>
      </c>
    </row>
    <row r="96" ht="50.0" customHeight="true">
      <c r="A96" s="114" t="s">
        <v>680</v>
      </c>
      <c r="B96" s="114" t="s">
        <v>688</v>
      </c>
      <c r="C96" s="114" t="s">
        <v>682</v>
      </c>
      <c r="D96" s="114"/>
      <c r="E96" s="115" t="s">
        <v>683</v>
      </c>
      <c r="F96" s="115" t="s">
        <v>684</v>
      </c>
      <c r="G96" s="114" t="s">
        <v>684</v>
      </c>
      <c r="H96" s="116" t="n">
        <v>2.0</v>
      </c>
      <c r="I96" s="116" t="n">
        <v>56.05</v>
      </c>
      <c r="J96" s="116" t="s">
        <v>103</v>
      </c>
      <c r="K96" s="116" t="n">
        <v>55.0</v>
      </c>
      <c r="L96" s="116" t="n">
        <v>2.0</v>
      </c>
      <c r="M96" s="116"/>
      <c r="N96" s="116"/>
      <c r="O96" s="116"/>
      <c r="P96" s="116"/>
      <c r="Q96" s="116"/>
      <c r="R96" s="116"/>
      <c r="S96" s="116"/>
      <c r="T96" s="116"/>
      <c r="U96" s="116" t="s">
        <v>104</v>
      </c>
      <c r="V96" s="118" t="s">
        <v>689</v>
      </c>
      <c r="W96" s="116" t="s">
        <v>106</v>
      </c>
      <c r="X96" s="116" t="s">
        <v>107</v>
      </c>
      <c r="Y96" s="116" t="s">
        <v>108</v>
      </c>
      <c r="Z96" s="114">
        <f>IF(INDIRECT("Y96")="Clássico","13%",IF(INDIRECT("Y96")="Premium","18%","-"))</f>
      </c>
      <c r="AA96" s="116" t="s">
        <v>109</v>
      </c>
      <c r="AB96" s="116" t="s">
        <v>686</v>
      </c>
      <c r="AC96" s="116" t="n">
        <v>0.0</v>
      </c>
      <c r="AD96" s="116" t="s">
        <v>22</v>
      </c>
      <c r="AE96" s="117" t="s">
        <v>112</v>
      </c>
      <c r="AF96" s="114" t="s">
        <v>687</v>
      </c>
      <c r="AG96" s="116" t="n">
        <v>31.0</v>
      </c>
      <c r="AH96" s="116" t="n">
        <v>15.0</v>
      </c>
      <c r="AI96" s="116" t="n">
        <v>7.0</v>
      </c>
      <c r="AJ96" s="116" t="n">
        <v>0.1</v>
      </c>
    </row>
    <row r="97" ht="50.0" customHeight="true">
      <c r="A97" s="114" t="s">
        <v>690</v>
      </c>
      <c r="B97" s="114" t="s">
        <v>691</v>
      </c>
      <c r="C97" s="114" t="s">
        <v>692</v>
      </c>
      <c r="D97" s="114"/>
      <c r="E97" s="115" t="s">
        <v>693</v>
      </c>
      <c r="F97" s="115" t="s">
        <v>694</v>
      </c>
      <c r="G97" s="114" t="s">
        <v>694</v>
      </c>
      <c r="H97" s="116" t="n">
        <v>5.0</v>
      </c>
      <c r="I97" s="116" t="n">
        <v>670.0</v>
      </c>
      <c r="J97" s="116" t="s">
        <v>103</v>
      </c>
      <c r="K97" s="116" t="n">
        <v>400.0</v>
      </c>
      <c r="L97" s="116" t="n">
        <v>2.0</v>
      </c>
      <c r="M97" s="116"/>
      <c r="N97" s="116"/>
      <c r="O97" s="116"/>
      <c r="P97" s="116"/>
      <c r="Q97" s="116"/>
      <c r="R97" s="116"/>
      <c r="S97" s="116"/>
      <c r="T97" s="116"/>
      <c r="U97" s="116" t="s">
        <v>104</v>
      </c>
      <c r="V97" s="118" t="s">
        <v>695</v>
      </c>
      <c r="W97" s="116" t="s">
        <v>130</v>
      </c>
      <c r="X97" s="116" t="s">
        <v>107</v>
      </c>
      <c r="Y97" s="116" t="s">
        <v>152</v>
      </c>
      <c r="Z97" s="114">
        <f>IF(INDIRECT("Y97")="Clássico","13%",IF(INDIRECT("Y97")="Premium","18%","-"))</f>
      </c>
      <c r="AA97" s="116" t="s">
        <v>109</v>
      </c>
      <c r="AB97" s="116" t="s">
        <v>110</v>
      </c>
      <c r="AC97" s="116" t="n">
        <v>30.0</v>
      </c>
      <c r="AD97" s="116" t="s">
        <v>111</v>
      </c>
      <c r="AE97" s="117" t="s">
        <v>112</v>
      </c>
      <c r="AF97" s="114" t="s">
        <v>624</v>
      </c>
      <c r="AG97" s="116" t="n">
        <v>29.0</v>
      </c>
      <c r="AH97" s="116" t="n">
        <v>20.0</v>
      </c>
      <c r="AI97" s="116" t="n">
        <v>9.0</v>
      </c>
      <c r="AJ97" s="116" t="n">
        <v>0.97</v>
      </c>
    </row>
    <row r="98" ht="50.0" customHeight="true">
      <c r="A98" s="114" t="s">
        <v>696</v>
      </c>
      <c r="B98" s="114" t="s">
        <v>697</v>
      </c>
      <c r="C98" s="114" t="s">
        <v>698</v>
      </c>
      <c r="D98" s="114"/>
      <c r="E98" s="115" t="s">
        <v>699</v>
      </c>
      <c r="F98" s="115" t="s">
        <v>700</v>
      </c>
      <c r="G98" s="114" t="s">
        <v>701</v>
      </c>
      <c r="H98" s="116" t="n">
        <v>488.0</v>
      </c>
      <c r="I98" s="116" t="n">
        <v>173.63</v>
      </c>
      <c r="J98" s="116" t="s">
        <v>103</v>
      </c>
      <c r="K98" s="116"/>
      <c r="L98" s="116"/>
      <c r="M98" s="116"/>
      <c r="N98" s="116"/>
      <c r="O98" s="116"/>
      <c r="P98" s="116"/>
      <c r="Q98" s="116"/>
      <c r="R98" s="116"/>
      <c r="S98" s="116"/>
      <c r="T98" s="116"/>
      <c r="U98" s="116" t="s">
        <v>104</v>
      </c>
      <c r="V98" s="118" t="s">
        <v>702</v>
      </c>
      <c r="W98" s="116" t="s">
        <v>130</v>
      </c>
      <c r="X98" s="116" t="s">
        <v>107</v>
      </c>
      <c r="Y98" s="116" t="s">
        <v>152</v>
      </c>
      <c r="Z98" s="114">
        <f>IF(INDIRECT("Y98")="Clássico","14%",IF(INDIRECT("Y98")="Premium","19%","-"))</f>
      </c>
      <c r="AA98" s="116" t="s">
        <v>109</v>
      </c>
      <c r="AB98" s="116" t="s">
        <v>110</v>
      </c>
      <c r="AC98" s="116" t="n">
        <v>30.0</v>
      </c>
      <c r="AD98" s="116" t="s">
        <v>111</v>
      </c>
      <c r="AE98" s="117" t="s">
        <v>112</v>
      </c>
      <c r="AF98" s="114" t="s">
        <v>113</v>
      </c>
      <c r="AG98" s="116" t="n">
        <v>21.0</v>
      </c>
      <c r="AH98" s="116" t="n">
        <v>18.0</v>
      </c>
      <c r="AI98" s="116" t="n">
        <v>5.0</v>
      </c>
      <c r="AJ98" s="116" t="n">
        <v>0.27</v>
      </c>
    </row>
    <row r="99" ht="50.0" customHeight="true">
      <c r="A99" s="114" t="s">
        <v>523</v>
      </c>
      <c r="B99" s="114" t="s">
        <v>703</v>
      </c>
      <c r="C99" s="114" t="s">
        <v>704</v>
      </c>
      <c r="D99" s="114"/>
      <c r="E99" s="115" t="s">
        <v>705</v>
      </c>
      <c r="F99" s="115" t="s">
        <v>527</v>
      </c>
      <c r="G99" s="114" t="s">
        <v>706</v>
      </c>
      <c r="H99" s="116" t="n">
        <v>500.0</v>
      </c>
      <c r="I99" s="116" t="n">
        <v>287.04</v>
      </c>
      <c r="J99" s="116" t="s">
        <v>103</v>
      </c>
      <c r="K99" s="116"/>
      <c r="L99" s="116"/>
      <c r="M99" s="116"/>
      <c r="N99" s="116"/>
      <c r="O99" s="116"/>
      <c r="P99" s="116"/>
      <c r="Q99" s="116"/>
      <c r="R99" s="116"/>
      <c r="S99" s="116"/>
      <c r="T99" s="116"/>
      <c r="U99" s="116" t="s">
        <v>104</v>
      </c>
      <c r="V99" s="118" t="s">
        <v>22</v>
      </c>
      <c r="W99" s="116" t="s">
        <v>130</v>
      </c>
      <c r="X99" s="116" t="s">
        <v>107</v>
      </c>
      <c r="Y99" s="116" t="s">
        <v>152</v>
      </c>
      <c r="Z99" s="114">
        <f>IF(INDIRECT("Y99")="Clássico","14%",IF(INDIRECT("Y99")="Premium","19%","-"))</f>
      </c>
      <c r="AA99" s="116" t="s">
        <v>109</v>
      </c>
      <c r="AB99" s="116" t="s">
        <v>110</v>
      </c>
      <c r="AC99" s="116" t="n">
        <v>30.0</v>
      </c>
      <c r="AD99" s="116" t="s">
        <v>111</v>
      </c>
      <c r="AE99" s="117" t="s">
        <v>112</v>
      </c>
      <c r="AF99" s="114" t="s">
        <v>113</v>
      </c>
      <c r="AG99" s="116" t="n">
        <v>35.0</v>
      </c>
      <c r="AH99" s="116" t="n">
        <v>29.0</v>
      </c>
      <c r="AI99" s="116" t="n">
        <v>24.0</v>
      </c>
      <c r="AJ99" s="116" t="n">
        <v>3.27</v>
      </c>
    </row>
    <row r="100" ht="50.0" customHeight="true">
      <c r="A100" s="114" t="s">
        <v>707</v>
      </c>
      <c r="B100" s="114" t="s">
        <v>708</v>
      </c>
      <c r="C100" s="114" t="s">
        <v>709</v>
      </c>
      <c r="D100" s="114"/>
      <c r="E100" s="115" t="s">
        <v>566</v>
      </c>
      <c r="F100" s="115" t="s">
        <v>710</v>
      </c>
      <c r="G100" s="114" t="s">
        <v>710</v>
      </c>
      <c r="H100" s="116" t="n">
        <v>150.0</v>
      </c>
      <c r="I100" s="116" t="n">
        <v>14.99</v>
      </c>
      <c r="J100" s="116" t="s">
        <v>103</v>
      </c>
      <c r="K100" s="116" t="n">
        <v>13.0</v>
      </c>
      <c r="L100" s="116" t="n">
        <v>4.0</v>
      </c>
      <c r="M100" s="116" t="n">
        <v>12.0</v>
      </c>
      <c r="N100" s="116" t="n">
        <v>6.0</v>
      </c>
      <c r="O100" s="116"/>
      <c r="P100" s="116"/>
      <c r="Q100" s="116"/>
      <c r="R100" s="116"/>
      <c r="S100" s="116"/>
      <c r="T100" s="116"/>
      <c r="U100" s="116" t="s">
        <v>104</v>
      </c>
      <c r="V100" s="118" t="s">
        <v>711</v>
      </c>
      <c r="W100" s="116" t="s">
        <v>106</v>
      </c>
      <c r="X100" s="116" t="s">
        <v>107</v>
      </c>
      <c r="Y100" s="116" t="s">
        <v>108</v>
      </c>
      <c r="Z100" s="114">
        <f>IF(INDIRECT("Y100")="Clássico","13%",IF(INDIRECT("Y100")="Premium","18%","-"))</f>
      </c>
      <c r="AA100" s="116" t="s">
        <v>109</v>
      </c>
      <c r="AB100" s="116" t="s">
        <v>110</v>
      </c>
      <c r="AC100" s="116" t="n">
        <v>30.0</v>
      </c>
      <c r="AD100" s="116" t="s">
        <v>111</v>
      </c>
      <c r="AE100" s="117" t="s">
        <v>112</v>
      </c>
      <c r="AF100" s="114" t="s">
        <v>712</v>
      </c>
      <c r="AG100" s="116" t="n">
        <v>18.0</v>
      </c>
      <c r="AH100" s="116" t="n">
        <v>14.0</v>
      </c>
      <c r="AI100" s="116" t="n">
        <v>3.0</v>
      </c>
      <c r="AJ100" s="116" t="n">
        <v>0.3</v>
      </c>
    </row>
    <row r="101" ht="50.0" customHeight="true">
      <c r="A101" s="114" t="s">
        <v>713</v>
      </c>
      <c r="B101" s="114" t="s">
        <v>714</v>
      </c>
      <c r="C101" s="114" t="s">
        <v>715</v>
      </c>
      <c r="D101" s="114"/>
      <c r="E101" s="115" t="s">
        <v>716</v>
      </c>
      <c r="F101" s="115" t="s">
        <v>717</v>
      </c>
      <c r="G101" s="114" t="s">
        <v>717</v>
      </c>
      <c r="H101" s="116" t="n">
        <v>9.0</v>
      </c>
      <c r="I101" s="116" t="n">
        <v>19.9</v>
      </c>
      <c r="J101" s="116" t="s">
        <v>103</v>
      </c>
      <c r="K101" s="116" t="n">
        <v>19.0</v>
      </c>
      <c r="L101" s="116" t="n">
        <v>2.0</v>
      </c>
      <c r="M101" s="116"/>
      <c r="N101" s="116"/>
      <c r="O101" s="116"/>
      <c r="P101" s="116"/>
      <c r="Q101" s="116"/>
      <c r="R101" s="116"/>
      <c r="S101" s="116"/>
      <c r="T101" s="116"/>
      <c r="U101" s="116" t="s">
        <v>104</v>
      </c>
      <c r="V101" s="118" t="s">
        <v>433</v>
      </c>
      <c r="W101" s="116" t="s">
        <v>106</v>
      </c>
      <c r="X101" s="116" t="s">
        <v>143</v>
      </c>
      <c r="Y101" s="116" t="s">
        <v>108</v>
      </c>
      <c r="Z101" s="114">
        <f>IF(INDIRECT("Y101")="Clássico","12%",IF(INDIRECT("Y101")="Premium","17%","-"))</f>
      </c>
      <c r="AA101" s="116" t="s">
        <v>109</v>
      </c>
      <c r="AB101" s="116" t="s">
        <v>110</v>
      </c>
      <c r="AC101" s="116" t="n">
        <v>3.0</v>
      </c>
      <c r="AD101" s="116" t="s">
        <v>121</v>
      </c>
      <c r="AE101" s="117" t="s">
        <v>112</v>
      </c>
      <c r="AF101" s="114" t="s">
        <v>718</v>
      </c>
      <c r="AG101" s="116"/>
      <c r="AH101" s="116"/>
      <c r="AI101" s="116"/>
      <c r="AJ101" s="116"/>
    </row>
    <row r="102" ht="50.0" customHeight="true">
      <c r="A102" s="114" t="s">
        <v>719</v>
      </c>
      <c r="B102" s="114" t="s">
        <v>720</v>
      </c>
      <c r="C102" s="114" t="s">
        <v>721</v>
      </c>
      <c r="D102" s="114"/>
      <c r="E102" s="115" t="s">
        <v>722</v>
      </c>
      <c r="F102" s="115" t="s">
        <v>723</v>
      </c>
      <c r="G102" s="114" t="s">
        <v>723</v>
      </c>
      <c r="H102" s="116" t="n">
        <v>7.0</v>
      </c>
      <c r="I102" s="116" t="n">
        <v>29.9</v>
      </c>
      <c r="J102" s="116" t="s">
        <v>103</v>
      </c>
      <c r="K102" s="116" t="n">
        <v>25.0</v>
      </c>
      <c r="L102" s="116" t="n">
        <v>2.0</v>
      </c>
      <c r="M102" s="116"/>
      <c r="N102" s="116"/>
      <c r="O102" s="116"/>
      <c r="P102" s="116"/>
      <c r="Q102" s="116"/>
      <c r="R102" s="116"/>
      <c r="S102" s="116"/>
      <c r="T102" s="116"/>
      <c r="U102" s="116" t="s">
        <v>104</v>
      </c>
      <c r="V102" s="118" t="s">
        <v>433</v>
      </c>
      <c r="W102" s="116" t="s">
        <v>106</v>
      </c>
      <c r="X102" s="116" t="s">
        <v>107</v>
      </c>
      <c r="Y102" s="116" t="s">
        <v>108</v>
      </c>
      <c r="Z102" s="114">
        <f>IF(INDIRECT("Y102")="Clássico","12%",IF(INDIRECT("Y102")="Premium","17%","-"))</f>
      </c>
      <c r="AA102" s="116" t="s">
        <v>109</v>
      </c>
      <c r="AB102" s="116" t="s">
        <v>110</v>
      </c>
      <c r="AC102" s="116" t="n">
        <v>3.0</v>
      </c>
      <c r="AD102" s="116" t="s">
        <v>121</v>
      </c>
      <c r="AE102" s="117" t="s">
        <v>112</v>
      </c>
      <c r="AF102" s="114" t="s">
        <v>122</v>
      </c>
      <c r="AG102" s="116"/>
      <c r="AH102" s="116"/>
      <c r="AI102" s="116"/>
      <c r="AJ102" s="116"/>
    </row>
    <row r="103" ht="50.0" customHeight="true">
      <c r="A103" s="114" t="s">
        <v>724</v>
      </c>
      <c r="B103" s="114" t="s">
        <v>725</v>
      </c>
      <c r="C103" s="114" t="s">
        <v>726</v>
      </c>
      <c r="D103" s="114"/>
      <c r="E103" s="115" t="s">
        <v>727</v>
      </c>
      <c r="F103" s="115" t="s">
        <v>728</v>
      </c>
      <c r="G103" s="114" t="s">
        <v>728</v>
      </c>
      <c r="H103" s="116" t="n">
        <v>1.0</v>
      </c>
      <c r="I103" s="116" t="n">
        <v>3000.0</v>
      </c>
      <c r="J103" s="116" t="s">
        <v>103</v>
      </c>
      <c r="K103" s="116"/>
      <c r="L103" s="116"/>
      <c r="M103" s="116"/>
      <c r="N103" s="116"/>
      <c r="O103" s="116"/>
      <c r="P103" s="116"/>
      <c r="Q103" s="116"/>
      <c r="R103" s="116"/>
      <c r="S103" s="116"/>
      <c r="T103" s="116"/>
      <c r="U103" s="116" t="s">
        <v>104</v>
      </c>
      <c r="V103" s="118" t="s">
        <v>729</v>
      </c>
      <c r="W103" s="116" t="s">
        <v>130</v>
      </c>
      <c r="X103" s="116" t="s">
        <v>107</v>
      </c>
      <c r="Y103" s="116" t="s">
        <v>108</v>
      </c>
      <c r="Z103" s="114">
        <f>IF(INDIRECT("Y103")="Clássico","12%",IF(INDIRECT("Y103")="Premium","17%","-"))</f>
      </c>
      <c r="AA103" s="116" t="s">
        <v>109</v>
      </c>
      <c r="AB103" s="116" t="s">
        <v>110</v>
      </c>
      <c r="AC103" s="116" t="n">
        <v>1.0</v>
      </c>
      <c r="AD103" s="116" t="s">
        <v>121</v>
      </c>
      <c r="AE103" s="117" t="s">
        <v>112</v>
      </c>
      <c r="AF103" s="114" t="s">
        <v>718</v>
      </c>
      <c r="AG103" s="116" t="n">
        <v>27.0</v>
      </c>
      <c r="AH103" s="116" t="n">
        <v>17.0</v>
      </c>
      <c r="AI103" s="116" t="n">
        <v>13.0</v>
      </c>
      <c r="AJ103" s="116" t="n">
        <v>0.95</v>
      </c>
    </row>
    <row r="104" ht="50.0" customHeight="true">
      <c r="A104" s="114" t="s">
        <v>730</v>
      </c>
      <c r="B104" s="114" t="s">
        <v>731</v>
      </c>
      <c r="C104" s="114" t="s">
        <v>732</v>
      </c>
      <c r="D104" s="114"/>
      <c r="E104" s="115" t="s">
        <v>733</v>
      </c>
      <c r="F104" s="115" t="s">
        <v>734</v>
      </c>
      <c r="G104" s="114" t="s">
        <v>734</v>
      </c>
      <c r="H104" s="116" t="n">
        <v>5.0</v>
      </c>
      <c r="I104" s="116" t="n">
        <v>3800.0</v>
      </c>
      <c r="J104" s="116" t="s">
        <v>103</v>
      </c>
      <c r="K104" s="116" t="n">
        <v>2800.0</v>
      </c>
      <c r="L104" s="116" t="n">
        <v>3.0</v>
      </c>
      <c r="M104" s="116"/>
      <c r="N104" s="116"/>
      <c r="O104" s="116"/>
      <c r="P104" s="116"/>
      <c r="Q104" s="116"/>
      <c r="R104" s="116"/>
      <c r="S104" s="116"/>
      <c r="T104" s="116"/>
      <c r="U104" s="116" t="s">
        <v>104</v>
      </c>
      <c r="V104" s="118" t="s">
        <v>735</v>
      </c>
      <c r="W104" s="116" t="s">
        <v>130</v>
      </c>
      <c r="X104" s="116" t="s">
        <v>107</v>
      </c>
      <c r="Y104" s="116" t="s">
        <v>152</v>
      </c>
      <c r="Z104" s="114">
        <f>IF(INDIRECT("Y104")="Clássico","12%",IF(INDIRECT("Y104")="Premium","17%","-"))</f>
      </c>
      <c r="AA104" s="116" t="s">
        <v>109</v>
      </c>
      <c r="AB104" s="116" t="s">
        <v>110</v>
      </c>
      <c r="AC104" s="116" t="n">
        <v>30.0</v>
      </c>
      <c r="AD104" s="116" t="s">
        <v>111</v>
      </c>
      <c r="AE104" s="117" t="s">
        <v>112</v>
      </c>
      <c r="AF104" s="114" t="s">
        <v>736</v>
      </c>
      <c r="AG104" s="116" t="n">
        <v>30.0</v>
      </c>
      <c r="AH104" s="116" t="n">
        <v>20.0</v>
      </c>
      <c r="AI104" s="116" t="n">
        <v>12.0</v>
      </c>
      <c r="AJ104" s="116" t="n">
        <v>2.28</v>
      </c>
    </row>
    <row r="105" ht="50.0" customHeight="true">
      <c r="A105" s="114" t="s">
        <v>737</v>
      </c>
      <c r="B105" s="114" t="s">
        <v>738</v>
      </c>
      <c r="C105" s="114" t="s">
        <v>739</v>
      </c>
      <c r="D105" s="114"/>
      <c r="E105" s="115" t="s">
        <v>740</v>
      </c>
      <c r="F105" s="115" t="s">
        <v>741</v>
      </c>
      <c r="G105" s="114" t="s">
        <v>741</v>
      </c>
      <c r="H105" s="116" t="n">
        <v>4.0</v>
      </c>
      <c r="I105" s="116" t="n">
        <v>2000.0</v>
      </c>
      <c r="J105" s="116" t="s">
        <v>103</v>
      </c>
      <c r="K105" s="116" t="n">
        <v>1200.0</v>
      </c>
      <c r="L105" s="116" t="n">
        <v>2.0</v>
      </c>
      <c r="M105" s="116"/>
      <c r="N105" s="116"/>
      <c r="O105" s="116"/>
      <c r="P105" s="116"/>
      <c r="Q105" s="116"/>
      <c r="R105" s="116"/>
      <c r="S105" s="116"/>
      <c r="T105" s="116"/>
      <c r="U105" s="116" t="s">
        <v>104</v>
      </c>
      <c r="V105" s="118" t="s">
        <v>742</v>
      </c>
      <c r="W105" s="116" t="s">
        <v>130</v>
      </c>
      <c r="X105" s="116" t="s">
        <v>107</v>
      </c>
      <c r="Y105" s="116" t="s">
        <v>152</v>
      </c>
      <c r="Z105" s="114">
        <f>IF(INDIRECT("Y105")="Clássico","11.5%",IF(INDIRECT("Y105")="Premium","16.5%","-"))</f>
      </c>
      <c r="AA105" s="116" t="s">
        <v>109</v>
      </c>
      <c r="AB105" s="116" t="s">
        <v>110</v>
      </c>
      <c r="AC105" s="116" t="n">
        <v>30.0</v>
      </c>
      <c r="AD105" s="116" t="s">
        <v>111</v>
      </c>
      <c r="AE105" s="117" t="s">
        <v>112</v>
      </c>
      <c r="AF105" s="114" t="s">
        <v>743</v>
      </c>
      <c r="AG105" s="116" t="n">
        <v>20.0</v>
      </c>
      <c r="AH105" s="116" t="n">
        <v>15.0</v>
      </c>
      <c r="AI105" s="116" t="n">
        <v>8.0</v>
      </c>
      <c r="AJ105" s="116" t="n">
        <v>0.21</v>
      </c>
    </row>
    <row r="106" ht="50.0" customHeight="true">
      <c r="A106" s="114" t="s">
        <v>744</v>
      </c>
      <c r="B106" s="114" t="s">
        <v>745</v>
      </c>
      <c r="C106" s="114" t="s">
        <v>746</v>
      </c>
      <c r="D106" s="114"/>
      <c r="E106" s="115" t="s">
        <v>747</v>
      </c>
      <c r="F106" s="115" t="s">
        <v>748</v>
      </c>
      <c r="G106" s="114" t="s">
        <v>748</v>
      </c>
      <c r="H106" s="116" t="n">
        <v>2.0</v>
      </c>
      <c r="I106" s="116" t="n">
        <v>2300.0</v>
      </c>
      <c r="J106" s="116" t="s">
        <v>103</v>
      </c>
      <c r="K106" s="116" t="n">
        <v>1400.0</v>
      </c>
      <c r="L106" s="116" t="n">
        <v>2.0</v>
      </c>
      <c r="M106" s="116"/>
      <c r="N106" s="116"/>
      <c r="O106" s="116"/>
      <c r="P106" s="116"/>
      <c r="Q106" s="116"/>
      <c r="R106" s="116"/>
      <c r="S106" s="116"/>
      <c r="T106" s="116"/>
      <c r="U106" s="116" t="s">
        <v>104</v>
      </c>
      <c r="V106" s="118" t="s">
        <v>749</v>
      </c>
      <c r="W106" s="116" t="s">
        <v>130</v>
      </c>
      <c r="X106" s="116" t="s">
        <v>107</v>
      </c>
      <c r="Y106" s="116" t="s">
        <v>152</v>
      </c>
      <c r="Z106" s="114">
        <f>IF(INDIRECT("Y106")="Clássico","11.5%",IF(INDIRECT("Y106")="Premium","16.5%","-"))</f>
      </c>
      <c r="AA106" s="116" t="s">
        <v>109</v>
      </c>
      <c r="AB106" s="116" t="s">
        <v>110</v>
      </c>
      <c r="AC106" s="116" t="n">
        <v>30.0</v>
      </c>
      <c r="AD106" s="116" t="s">
        <v>111</v>
      </c>
      <c r="AE106" s="117" t="s">
        <v>112</v>
      </c>
      <c r="AF106" s="114" t="s">
        <v>743</v>
      </c>
      <c r="AG106" s="116" t="n">
        <v>23.0</v>
      </c>
      <c r="AH106" s="116" t="n">
        <v>18.0</v>
      </c>
      <c r="AI106" s="116" t="n">
        <v>12.0</v>
      </c>
      <c r="AJ106" s="116" t="n">
        <v>0.53</v>
      </c>
    </row>
    <row r="107" ht="50.0" customHeight="true">
      <c r="A107" s="114" t="s">
        <v>750</v>
      </c>
      <c r="B107" s="114" t="s">
        <v>751</v>
      </c>
      <c r="C107" s="114" t="s">
        <v>752</v>
      </c>
      <c r="D107" s="114"/>
      <c r="E107" s="115" t="s">
        <v>753</v>
      </c>
      <c r="F107" s="115" t="s">
        <v>754</v>
      </c>
      <c r="G107" s="114" t="s">
        <v>754</v>
      </c>
      <c r="H107" s="116" t="n">
        <v>1.0</v>
      </c>
      <c r="I107" s="116" t="n">
        <v>520.0</v>
      </c>
      <c r="J107" s="116" t="s">
        <v>103</v>
      </c>
      <c r="K107" s="116"/>
      <c r="L107" s="116"/>
      <c r="M107" s="116"/>
      <c r="N107" s="116"/>
      <c r="O107" s="116"/>
      <c r="P107" s="116"/>
      <c r="Q107" s="116"/>
      <c r="R107" s="116"/>
      <c r="S107" s="116"/>
      <c r="T107" s="116"/>
      <c r="U107" s="116" t="s">
        <v>104</v>
      </c>
      <c r="V107" s="118" t="s">
        <v>755</v>
      </c>
      <c r="W107" s="116" t="s">
        <v>130</v>
      </c>
      <c r="X107" s="116" t="s">
        <v>107</v>
      </c>
      <c r="Y107" s="116" t="s">
        <v>152</v>
      </c>
      <c r="Z107" s="114">
        <f>IF(INDIRECT("Y107")="Clássico","11.5%",IF(INDIRECT("Y107")="Premium","16.5%","-"))</f>
      </c>
      <c r="AA107" s="116" t="s">
        <v>109</v>
      </c>
      <c r="AB107" s="116" t="s">
        <v>110</v>
      </c>
      <c r="AC107" s="116" t="n">
        <v>30.0</v>
      </c>
      <c r="AD107" s="116" t="s">
        <v>111</v>
      </c>
      <c r="AE107" s="117" t="s">
        <v>112</v>
      </c>
      <c r="AF107" s="114" t="s">
        <v>756</v>
      </c>
      <c r="AG107" s="116" t="n">
        <v>43.0</v>
      </c>
      <c r="AH107" s="116" t="n">
        <v>24.0</v>
      </c>
      <c r="AI107" s="116" t="n">
        <v>16.0</v>
      </c>
      <c r="AJ107" s="116" t="n">
        <v>0.09</v>
      </c>
    </row>
    <row r="108" ht="50.0" customHeight="true">
      <c r="A108" s="114" t="s">
        <v>757</v>
      </c>
      <c r="B108" s="114" t="s">
        <v>758</v>
      </c>
      <c r="C108" s="114" t="s">
        <v>759</v>
      </c>
      <c r="D108" s="114"/>
      <c r="E108" s="115"/>
      <c r="F108" s="115" t="s">
        <v>760</v>
      </c>
      <c r="G108" s="114" t="s">
        <v>761</v>
      </c>
      <c r="H108" s="116" t="n">
        <v>1.0</v>
      </c>
      <c r="I108" s="116" t="n">
        <v>790.0</v>
      </c>
      <c r="J108" s="116" t="s">
        <v>103</v>
      </c>
      <c r="K108" s="116"/>
      <c r="L108" s="116"/>
      <c r="M108" s="116"/>
      <c r="N108" s="116"/>
      <c r="O108" s="116"/>
      <c r="P108" s="116"/>
      <c r="Q108" s="116"/>
      <c r="R108" s="116"/>
      <c r="S108" s="116"/>
      <c r="T108" s="116"/>
      <c r="U108" s="116" t="s">
        <v>104</v>
      </c>
      <c r="V108" s="118" t="s">
        <v>762</v>
      </c>
      <c r="W108" s="116" t="s">
        <v>130</v>
      </c>
      <c r="X108" s="116" t="s">
        <v>107</v>
      </c>
      <c r="Y108" s="116" t="s">
        <v>152</v>
      </c>
      <c r="Z108" s="114">
        <f>IF(INDIRECT("Y108")="Clássico","11.5%",IF(INDIRECT("Y108")="Premium","16.5%","-"))</f>
      </c>
      <c r="AA108" s="116" t="s">
        <v>109</v>
      </c>
      <c r="AB108" s="116" t="s">
        <v>110</v>
      </c>
      <c r="AC108" s="116" t="n">
        <v>30.0</v>
      </c>
      <c r="AD108" s="116" t="s">
        <v>111</v>
      </c>
      <c r="AE108" s="117" t="s">
        <v>112</v>
      </c>
      <c r="AF108" s="114" t="s">
        <v>763</v>
      </c>
      <c r="AG108" s="116" t="n">
        <v>26.0</v>
      </c>
      <c r="AH108" s="116" t="n">
        <v>16.0</v>
      </c>
      <c r="AI108" s="116" t="n">
        <v>11.0</v>
      </c>
      <c r="AJ108" s="116" t="n">
        <v>1.38</v>
      </c>
    </row>
    <row r="109" ht="50.0" customHeight="true">
      <c r="A109" s="114" t="s">
        <v>764</v>
      </c>
      <c r="B109" s="114" t="s">
        <v>765</v>
      </c>
      <c r="C109" s="114" t="s">
        <v>766</v>
      </c>
      <c r="D109" s="114"/>
      <c r="E109" s="115" t="s">
        <v>767</v>
      </c>
      <c r="F109" s="115" t="s">
        <v>768</v>
      </c>
      <c r="G109" s="114" t="s">
        <v>769</v>
      </c>
      <c r="H109" s="116" t="n">
        <v>1.0</v>
      </c>
      <c r="I109" s="116" t="n">
        <v>12800.0</v>
      </c>
      <c r="J109" s="116" t="s">
        <v>103</v>
      </c>
      <c r="K109" s="116"/>
      <c r="L109" s="116"/>
      <c r="M109" s="116"/>
      <c r="N109" s="116"/>
      <c r="O109" s="116"/>
      <c r="P109" s="116"/>
      <c r="Q109" s="116"/>
      <c r="R109" s="116"/>
      <c r="S109" s="116"/>
      <c r="T109" s="116"/>
      <c r="U109" s="116" t="s">
        <v>104</v>
      </c>
      <c r="V109" s="118" t="s">
        <v>770</v>
      </c>
      <c r="W109" s="116" t="s">
        <v>771</v>
      </c>
      <c r="X109" s="116" t="s">
        <v>107</v>
      </c>
      <c r="Y109" s="116" t="s">
        <v>152</v>
      </c>
      <c r="Z109" s="114">
        <f>IF(INDIRECT("Y109")="Clássico","11.5%",IF(INDIRECT("Y109")="Premium","16.5%","-"))</f>
      </c>
      <c r="AA109" s="116" t="s">
        <v>109</v>
      </c>
      <c r="AB109" s="116" t="s">
        <v>110</v>
      </c>
      <c r="AC109" s="116" t="n">
        <v>30.0</v>
      </c>
      <c r="AD109" s="116" t="s">
        <v>111</v>
      </c>
      <c r="AE109" s="117" t="s">
        <v>112</v>
      </c>
      <c r="AF109" s="114" t="s">
        <v>772</v>
      </c>
      <c r="AG109" s="114" t="s">
        <v>773</v>
      </c>
      <c r="AH109" s="114" t="s">
        <v>774</v>
      </c>
      <c r="AI109" s="114" t="s">
        <v>775</v>
      </c>
      <c r="AJ109" s="114" t="s">
        <v>776</v>
      </c>
    </row>
    <row r="110" ht="50.0" customHeight="true">
      <c r="A110" s="114" t="s">
        <v>777</v>
      </c>
      <c r="B110" s="114" t="s">
        <v>778</v>
      </c>
      <c r="C110" s="114" t="s">
        <v>779</v>
      </c>
      <c r="D110" s="114"/>
      <c r="E110" s="115"/>
      <c r="F110" s="115" t="s">
        <v>780</v>
      </c>
      <c r="G110" s="114" t="s">
        <v>761</v>
      </c>
      <c r="H110" s="116" t="n">
        <v>1.0</v>
      </c>
      <c r="I110" s="116" t="n">
        <v>670.0</v>
      </c>
      <c r="J110" s="116" t="s">
        <v>103</v>
      </c>
      <c r="K110" s="116"/>
      <c r="L110" s="116"/>
      <c r="M110" s="116"/>
      <c r="N110" s="116"/>
      <c r="O110" s="116"/>
      <c r="P110" s="116"/>
      <c r="Q110" s="116"/>
      <c r="R110" s="116"/>
      <c r="S110" s="116"/>
      <c r="T110" s="116"/>
      <c r="U110" s="116" t="s">
        <v>104</v>
      </c>
      <c r="V110" s="118" t="s">
        <v>781</v>
      </c>
      <c r="W110" s="116" t="s">
        <v>130</v>
      </c>
      <c r="X110" s="116" t="s">
        <v>107</v>
      </c>
      <c r="Y110" s="116" t="s">
        <v>152</v>
      </c>
      <c r="Z110" s="114">
        <f>IF(INDIRECT("Y110")="Clássico","11.5%",IF(INDIRECT("Y110")="Premium","16.5%","-"))</f>
      </c>
      <c r="AA110" s="116" t="s">
        <v>109</v>
      </c>
      <c r="AB110" s="116" t="s">
        <v>110</v>
      </c>
      <c r="AC110" s="116" t="n">
        <v>30.0</v>
      </c>
      <c r="AD110" s="116" t="s">
        <v>111</v>
      </c>
      <c r="AE110" s="117" t="s">
        <v>112</v>
      </c>
      <c r="AF110" s="114" t="s">
        <v>763</v>
      </c>
      <c r="AG110" s="116" t="n">
        <v>19.0</v>
      </c>
      <c r="AH110" s="116" t="n">
        <v>15.0</v>
      </c>
      <c r="AI110" s="116" t="n">
        <v>10.0</v>
      </c>
      <c r="AJ110" s="116" t="n">
        <v>0.21</v>
      </c>
    </row>
    <row r="111" ht="50.0" customHeight="true">
      <c r="A111" s="114" t="s">
        <v>782</v>
      </c>
      <c r="B111" s="114" t="s">
        <v>783</v>
      </c>
      <c r="C111" s="114" t="s">
        <v>784</v>
      </c>
      <c r="D111" s="114"/>
      <c r="E111" s="115" t="s">
        <v>785</v>
      </c>
      <c r="F111" s="115" t="s">
        <v>786</v>
      </c>
      <c r="G111" s="114" t="s">
        <v>786</v>
      </c>
      <c r="H111" s="116" t="n">
        <v>10.0</v>
      </c>
      <c r="I111" s="116" t="n">
        <v>120.0</v>
      </c>
      <c r="J111" s="116" t="s">
        <v>103</v>
      </c>
      <c r="K111" s="116" t="n">
        <v>82.0</v>
      </c>
      <c r="L111" s="116" t="n">
        <v>2.0</v>
      </c>
      <c r="M111" s="116"/>
      <c r="N111" s="116"/>
      <c r="O111" s="116"/>
      <c r="P111" s="116"/>
      <c r="Q111" s="116"/>
      <c r="R111" s="116"/>
      <c r="S111" s="116"/>
      <c r="T111" s="116"/>
      <c r="U111" s="116" t="s">
        <v>104</v>
      </c>
      <c r="V111" s="118" t="s">
        <v>787</v>
      </c>
      <c r="W111" s="116" t="s">
        <v>130</v>
      </c>
      <c r="X111" s="116" t="s">
        <v>107</v>
      </c>
      <c r="Y111" s="116" t="s">
        <v>152</v>
      </c>
      <c r="Z111" s="114">
        <f>IF(INDIRECT("Y111")="Clássico","12%",IF(INDIRECT("Y111")="Premium","17%","-"))</f>
      </c>
      <c r="AA111" s="116" t="s">
        <v>109</v>
      </c>
      <c r="AB111" s="116" t="s">
        <v>110</v>
      </c>
      <c r="AC111" s="116" t="n">
        <v>30.0</v>
      </c>
      <c r="AD111" s="116" t="s">
        <v>111</v>
      </c>
      <c r="AE111" s="117" t="s">
        <v>112</v>
      </c>
      <c r="AF111" s="114" t="s">
        <v>788</v>
      </c>
      <c r="AG111" s="116" t="n">
        <v>14.0</v>
      </c>
      <c r="AH111" s="116" t="n">
        <v>11.0</v>
      </c>
      <c r="AI111" s="116" t="n">
        <v>7.0</v>
      </c>
      <c r="AJ111" s="116" t="n">
        <v>0.26</v>
      </c>
    </row>
    <row r="112" ht="50.0" customHeight="true">
      <c r="A112" s="114" t="s">
        <v>789</v>
      </c>
      <c r="B112" s="114" t="s">
        <v>790</v>
      </c>
      <c r="C112" s="114" t="s">
        <v>791</v>
      </c>
      <c r="D112" s="114"/>
      <c r="E112" s="115" t="s">
        <v>792</v>
      </c>
      <c r="F112" s="115" t="s">
        <v>793</v>
      </c>
      <c r="G112" s="114" t="s">
        <v>793</v>
      </c>
      <c r="H112" s="116" t="n">
        <v>10.0</v>
      </c>
      <c r="I112" s="116" t="n">
        <v>140.0</v>
      </c>
      <c r="J112" s="116" t="s">
        <v>103</v>
      </c>
      <c r="K112" s="116" t="n">
        <v>110.0</v>
      </c>
      <c r="L112" s="116" t="n">
        <v>2.0</v>
      </c>
      <c r="M112" s="116" t="n">
        <v>100.0</v>
      </c>
      <c r="N112" s="116" t="n">
        <v>4.0</v>
      </c>
      <c r="O112" s="116"/>
      <c r="P112" s="116"/>
      <c r="Q112" s="116"/>
      <c r="R112" s="116"/>
      <c r="S112" s="116"/>
      <c r="T112" s="116"/>
      <c r="U112" s="116" t="s">
        <v>104</v>
      </c>
      <c r="V112" s="118" t="s">
        <v>794</v>
      </c>
      <c r="W112" s="116" t="s">
        <v>130</v>
      </c>
      <c r="X112" s="116" t="s">
        <v>107</v>
      </c>
      <c r="Y112" s="116" t="s">
        <v>108</v>
      </c>
      <c r="Z112" s="114">
        <f>IF(INDIRECT("Y112")="Clássico","12%",IF(INDIRECT("Y112")="Premium","17%","-"))</f>
      </c>
      <c r="AA112" s="116" t="s">
        <v>109</v>
      </c>
      <c r="AB112" s="116" t="s">
        <v>110</v>
      </c>
      <c r="AC112" s="116" t="n">
        <v>30.0</v>
      </c>
      <c r="AD112" s="116" t="s">
        <v>111</v>
      </c>
      <c r="AE112" s="117" t="s">
        <v>112</v>
      </c>
      <c r="AF112" s="114" t="s">
        <v>788</v>
      </c>
      <c r="AG112" s="116" t="n">
        <v>14.0</v>
      </c>
      <c r="AH112" s="116" t="n">
        <v>11.0</v>
      </c>
      <c r="AI112" s="116" t="n">
        <v>7.0</v>
      </c>
      <c r="AJ112" s="116" t="n">
        <v>0.26</v>
      </c>
    </row>
    <row r="113" ht="50.0" customHeight="true">
      <c r="A113" s="114" t="s">
        <v>795</v>
      </c>
      <c r="B113" s="114" t="s">
        <v>796</v>
      </c>
      <c r="C113" s="114" t="s">
        <v>797</v>
      </c>
      <c r="D113" s="114"/>
      <c r="E113" s="115" t="s">
        <v>798</v>
      </c>
      <c r="F113" s="115" t="s">
        <v>799</v>
      </c>
      <c r="G113" s="114" t="s">
        <v>800</v>
      </c>
      <c r="H113" s="116" t="n">
        <v>2.0</v>
      </c>
      <c r="I113" s="116" t="n">
        <v>99.9</v>
      </c>
      <c r="J113" s="116" t="s">
        <v>103</v>
      </c>
      <c r="K113" s="116" t="n">
        <v>78.0</v>
      </c>
      <c r="L113" s="116" t="n">
        <v>2.0</v>
      </c>
      <c r="M113" s="116"/>
      <c r="N113" s="116"/>
      <c r="O113" s="116"/>
      <c r="P113" s="116"/>
      <c r="Q113" s="116"/>
      <c r="R113" s="116"/>
      <c r="S113" s="116"/>
      <c r="T113" s="116"/>
      <c r="U113" s="116" t="s">
        <v>104</v>
      </c>
      <c r="V113" s="118" t="s">
        <v>801</v>
      </c>
      <c r="W113" s="116" t="s">
        <v>130</v>
      </c>
      <c r="X113" s="116" t="s">
        <v>107</v>
      </c>
      <c r="Y113" s="116" t="s">
        <v>152</v>
      </c>
      <c r="Z113" s="114">
        <f>IF(INDIRECT("Y113")="Clássico","11.5%",IF(INDIRECT("Y113")="Premium","16.5%","-"))</f>
      </c>
      <c r="AA113" s="116" t="s">
        <v>109</v>
      </c>
      <c r="AB113" s="116" t="s">
        <v>110</v>
      </c>
      <c r="AC113" s="116" t="n">
        <v>30.0</v>
      </c>
      <c r="AD113" s="116" t="s">
        <v>111</v>
      </c>
      <c r="AE113" s="117" t="s">
        <v>112</v>
      </c>
      <c r="AF113" s="114" t="s">
        <v>802</v>
      </c>
      <c r="AG113" s="116" t="n">
        <v>31.0</v>
      </c>
      <c r="AH113" s="116" t="n">
        <v>23.0</v>
      </c>
      <c r="AI113" s="116" t="n">
        <v>8.0</v>
      </c>
      <c r="AJ113" s="116" t="n">
        <v>0.87</v>
      </c>
    </row>
    <row r="114" ht="50.0" customHeight="true">
      <c r="A114" s="114" t="s">
        <v>803</v>
      </c>
      <c r="B114" s="114" t="s">
        <v>804</v>
      </c>
      <c r="C114" s="114" t="s">
        <v>805</v>
      </c>
      <c r="D114" s="114"/>
      <c r="E114" s="115" t="s">
        <v>806</v>
      </c>
      <c r="F114" s="115" t="s">
        <v>807</v>
      </c>
      <c r="G114" s="114" t="s">
        <v>807</v>
      </c>
      <c r="H114" s="116" t="n">
        <v>4.0</v>
      </c>
      <c r="I114" s="116" t="n">
        <v>567.82</v>
      </c>
      <c r="J114" s="116" t="s">
        <v>103</v>
      </c>
      <c r="K114" s="116" t="n">
        <v>350.0</v>
      </c>
      <c r="L114" s="116" t="n">
        <v>3.0</v>
      </c>
      <c r="M114" s="116"/>
      <c r="N114" s="116"/>
      <c r="O114" s="116"/>
      <c r="P114" s="116"/>
      <c r="Q114" s="116"/>
      <c r="R114" s="116"/>
      <c r="S114" s="116"/>
      <c r="T114" s="116"/>
      <c r="U114" s="116" t="s">
        <v>104</v>
      </c>
      <c r="V114" s="118" t="s">
        <v>808</v>
      </c>
      <c r="W114" s="116" t="s">
        <v>130</v>
      </c>
      <c r="X114" s="116" t="s">
        <v>107</v>
      </c>
      <c r="Y114" s="116" t="s">
        <v>152</v>
      </c>
      <c r="Z114" s="114">
        <f>IF(INDIRECT("Y114")="Clássico","12%",IF(INDIRECT("Y114")="Premium","17%","-"))</f>
      </c>
      <c r="AA114" s="116" t="s">
        <v>109</v>
      </c>
      <c r="AB114" s="116" t="s">
        <v>110</v>
      </c>
      <c r="AC114" s="116" t="n">
        <v>30.0</v>
      </c>
      <c r="AD114" s="116" t="s">
        <v>111</v>
      </c>
      <c r="AE114" s="117" t="s">
        <v>112</v>
      </c>
      <c r="AF114" s="114" t="s">
        <v>809</v>
      </c>
      <c r="AG114" s="116" t="n">
        <v>23.0</v>
      </c>
      <c r="AH114" s="116" t="n">
        <v>17.0</v>
      </c>
      <c r="AI114" s="116" t="n">
        <v>11.0</v>
      </c>
      <c r="AJ114" s="116" t="n">
        <v>0.59</v>
      </c>
    </row>
    <row r="115" ht="50.0" customHeight="true">
      <c r="A115" s="114" t="s">
        <v>810</v>
      </c>
      <c r="B115" s="114" t="s">
        <v>811</v>
      </c>
      <c r="C115" s="114" t="s">
        <v>812</v>
      </c>
      <c r="D115" s="114"/>
      <c r="E115" s="115" t="s">
        <v>813</v>
      </c>
      <c r="F115" s="115" t="s">
        <v>814</v>
      </c>
      <c r="G115" s="114" t="s">
        <v>814</v>
      </c>
      <c r="H115" s="116" t="n">
        <v>10.0</v>
      </c>
      <c r="I115" s="116" t="n">
        <v>576.0</v>
      </c>
      <c r="J115" s="116" t="s">
        <v>103</v>
      </c>
      <c r="K115" s="116" t="n">
        <v>550.0</v>
      </c>
      <c r="L115" s="116" t="n">
        <v>2.0</v>
      </c>
      <c r="M115" s="116"/>
      <c r="N115" s="116"/>
      <c r="O115" s="116"/>
      <c r="P115" s="116"/>
      <c r="Q115" s="116"/>
      <c r="R115" s="116"/>
      <c r="S115" s="116"/>
      <c r="T115" s="116"/>
      <c r="U115" s="116" t="s">
        <v>104</v>
      </c>
      <c r="V115" s="118" t="s">
        <v>815</v>
      </c>
      <c r="W115" s="116" t="s">
        <v>130</v>
      </c>
      <c r="X115" s="116" t="s">
        <v>107</v>
      </c>
      <c r="Y115" s="116" t="s">
        <v>152</v>
      </c>
      <c r="Z115" s="114">
        <f>IF(INDIRECT("Y115")="Clássico","14%",IF(INDIRECT("Y115")="Premium","19%","-"))</f>
      </c>
      <c r="AA115" s="116" t="s">
        <v>109</v>
      </c>
      <c r="AB115" s="116" t="s">
        <v>110</v>
      </c>
      <c r="AC115" s="116" t="n">
        <v>30.0</v>
      </c>
      <c r="AD115" s="116" t="s">
        <v>111</v>
      </c>
      <c r="AE115" s="117" t="s">
        <v>112</v>
      </c>
      <c r="AF115" s="114" t="s">
        <v>816</v>
      </c>
      <c r="AG115" s="116" t="n">
        <v>20.0</v>
      </c>
      <c r="AH115" s="116" t="n">
        <v>13.0</v>
      </c>
      <c r="AI115" s="116" t="n">
        <v>11.0</v>
      </c>
      <c r="AJ115" s="116" t="n">
        <v>0.6</v>
      </c>
    </row>
    <row r="116" ht="50.0" customHeight="true">
      <c r="A116" s="114" t="s">
        <v>817</v>
      </c>
      <c r="B116" s="114" t="s">
        <v>818</v>
      </c>
      <c r="C116" s="114" t="s">
        <v>819</v>
      </c>
      <c r="D116" s="114"/>
      <c r="E116" s="115" t="s">
        <v>820</v>
      </c>
      <c r="F116" s="115" t="s">
        <v>821</v>
      </c>
      <c r="G116" s="114" t="s">
        <v>315</v>
      </c>
      <c r="H116" s="116" t="n">
        <v>1.0</v>
      </c>
      <c r="I116" s="116" t="n">
        <v>250.0</v>
      </c>
      <c r="J116" s="116" t="s">
        <v>103</v>
      </c>
      <c r="K116" s="116"/>
      <c r="L116" s="116"/>
      <c r="M116" s="116"/>
      <c r="N116" s="116"/>
      <c r="O116" s="116"/>
      <c r="P116" s="116"/>
      <c r="Q116" s="116"/>
      <c r="R116" s="116"/>
      <c r="S116" s="116"/>
      <c r="T116" s="116"/>
      <c r="U116" s="116" t="s">
        <v>104</v>
      </c>
      <c r="V116" s="118" t="s">
        <v>822</v>
      </c>
      <c r="W116" s="116" t="s">
        <v>130</v>
      </c>
      <c r="X116" s="116" t="s">
        <v>107</v>
      </c>
      <c r="Y116" s="116" t="s">
        <v>152</v>
      </c>
      <c r="Z116" s="114">
        <f>IF(INDIRECT("Y116")="Clássico","12%",IF(INDIRECT("Y116")="Premium","17%","-"))</f>
      </c>
      <c r="AA116" s="116" t="s">
        <v>109</v>
      </c>
      <c r="AB116" s="116" t="s">
        <v>110</v>
      </c>
      <c r="AC116" s="116" t="n">
        <v>15.0</v>
      </c>
      <c r="AD116" s="116" t="s">
        <v>111</v>
      </c>
      <c r="AE116" s="117" t="s">
        <v>112</v>
      </c>
      <c r="AF116" s="114" t="s">
        <v>458</v>
      </c>
      <c r="AG116" s="116" t="n">
        <v>19.0</v>
      </c>
      <c r="AH116" s="116" t="n">
        <v>13.0</v>
      </c>
      <c r="AI116" s="116" t="n">
        <v>4.0</v>
      </c>
      <c r="AJ116" s="116" t="n">
        <v>0.37</v>
      </c>
    </row>
    <row r="117" ht="50.0" customHeight="true">
      <c r="A117" s="114" t="s">
        <v>823</v>
      </c>
      <c r="B117" s="114" t="s">
        <v>824</v>
      </c>
      <c r="C117" s="114" t="s">
        <v>825</v>
      </c>
      <c r="D117" s="114"/>
      <c r="E117" s="115" t="s">
        <v>740</v>
      </c>
      <c r="F117" s="115" t="s">
        <v>826</v>
      </c>
      <c r="G117" s="114" t="s">
        <v>826</v>
      </c>
      <c r="H117" s="116" t="n">
        <v>5.0</v>
      </c>
      <c r="I117" s="116" t="n">
        <v>799.0</v>
      </c>
      <c r="J117" s="116" t="s">
        <v>103</v>
      </c>
      <c r="K117" s="116" t="n">
        <v>500.0</v>
      </c>
      <c r="L117" s="116" t="n">
        <v>2.0</v>
      </c>
      <c r="M117" s="116"/>
      <c r="N117" s="116"/>
      <c r="O117" s="116"/>
      <c r="P117" s="116"/>
      <c r="Q117" s="116"/>
      <c r="R117" s="116"/>
      <c r="S117" s="116"/>
      <c r="T117" s="116"/>
      <c r="U117" s="116" t="s">
        <v>104</v>
      </c>
      <c r="V117" s="118" t="s">
        <v>827</v>
      </c>
      <c r="W117" s="116" t="s">
        <v>130</v>
      </c>
      <c r="X117" s="116" t="s">
        <v>107</v>
      </c>
      <c r="Y117" s="116" t="s">
        <v>152</v>
      </c>
      <c r="Z117" s="114">
        <f>IF(INDIRECT("Y117")="Clássico","11.5%",IF(INDIRECT("Y117")="Premium","16.5%","-"))</f>
      </c>
      <c r="AA117" s="116" t="s">
        <v>109</v>
      </c>
      <c r="AB117" s="116" t="s">
        <v>110</v>
      </c>
      <c r="AC117" s="116" t="n">
        <v>30.0</v>
      </c>
      <c r="AD117" s="116" t="s">
        <v>111</v>
      </c>
      <c r="AE117" s="117" t="s">
        <v>112</v>
      </c>
      <c r="AF117" s="114" t="s">
        <v>756</v>
      </c>
      <c r="AG117" s="116" t="n">
        <v>20.0</v>
      </c>
      <c r="AH117" s="116" t="n">
        <v>12.0</v>
      </c>
      <c r="AI117" s="116" t="n">
        <v>7.0</v>
      </c>
      <c r="AJ117" s="116" t="n">
        <v>0.24</v>
      </c>
    </row>
    <row r="118" ht="50.0" customHeight="true">
      <c r="A118" s="114" t="s">
        <v>828</v>
      </c>
      <c r="B118" s="114" t="s">
        <v>829</v>
      </c>
      <c r="C118" s="114" t="s">
        <v>830</v>
      </c>
      <c r="D118" s="114"/>
      <c r="E118" s="115" t="s">
        <v>831</v>
      </c>
      <c r="F118" s="115" t="s">
        <v>832</v>
      </c>
      <c r="G118" s="114" t="s">
        <v>419</v>
      </c>
      <c r="H118" s="116" t="n">
        <v>1.0</v>
      </c>
      <c r="I118" s="116" t="n">
        <v>899.0</v>
      </c>
      <c r="J118" s="116" t="s">
        <v>103</v>
      </c>
      <c r="K118" s="116"/>
      <c r="L118" s="116"/>
      <c r="M118" s="116"/>
      <c r="N118" s="116"/>
      <c r="O118" s="116"/>
      <c r="P118" s="116"/>
      <c r="Q118" s="116"/>
      <c r="R118" s="116"/>
      <c r="S118" s="116"/>
      <c r="T118" s="116"/>
      <c r="U118" s="116" t="s">
        <v>104</v>
      </c>
      <c r="V118" s="118" t="s">
        <v>833</v>
      </c>
      <c r="W118" s="116" t="s">
        <v>130</v>
      </c>
      <c r="X118" s="116" t="s">
        <v>107</v>
      </c>
      <c r="Y118" s="116" t="s">
        <v>152</v>
      </c>
      <c r="Z118" s="114">
        <f>IF(INDIRECT("Y118")="Clássico","12%",IF(INDIRECT("Y118")="Premium","17%","-"))</f>
      </c>
      <c r="AA118" s="116" t="s">
        <v>109</v>
      </c>
      <c r="AB118" s="116" t="s">
        <v>110</v>
      </c>
      <c r="AC118" s="116" t="n">
        <v>30.0</v>
      </c>
      <c r="AD118" s="116" t="s">
        <v>111</v>
      </c>
      <c r="AE118" s="117" t="s">
        <v>112</v>
      </c>
      <c r="AF118" s="114" t="s">
        <v>834</v>
      </c>
      <c r="AG118" s="116" t="n">
        <v>119.0</v>
      </c>
      <c r="AH118" s="116" t="n">
        <v>34.0</v>
      </c>
      <c r="AI118" s="116" t="n">
        <v>17.0</v>
      </c>
      <c r="AJ118" s="116" t="n">
        <v>11.65</v>
      </c>
    </row>
    <row r="119" ht="50.0" customHeight="true">
      <c r="A119" s="114" t="s">
        <v>835</v>
      </c>
      <c r="B119" s="114" t="s">
        <v>836</v>
      </c>
      <c r="C119" s="114" t="s">
        <v>837</v>
      </c>
      <c r="D119" s="114"/>
      <c r="E119" s="115" t="s">
        <v>838</v>
      </c>
      <c r="F119" s="115" t="s">
        <v>839</v>
      </c>
      <c r="G119" s="114" t="s">
        <v>419</v>
      </c>
      <c r="H119" s="116" t="n">
        <v>1500.0</v>
      </c>
      <c r="I119" s="116" t="n">
        <v>175.0</v>
      </c>
      <c r="J119" s="116" t="s">
        <v>103</v>
      </c>
      <c r="K119" s="116" t="n">
        <v>155.0</v>
      </c>
      <c r="L119" s="116" t="n">
        <v>2.0</v>
      </c>
      <c r="M119" s="116"/>
      <c r="N119" s="116"/>
      <c r="O119" s="116"/>
      <c r="P119" s="116"/>
      <c r="Q119" s="116"/>
      <c r="R119" s="116"/>
      <c r="S119" s="116"/>
      <c r="T119" s="116"/>
      <c r="U119" s="116" t="s">
        <v>104</v>
      </c>
      <c r="V119" s="118" t="s">
        <v>840</v>
      </c>
      <c r="W119" s="116" t="s">
        <v>130</v>
      </c>
      <c r="X119" s="116" t="s">
        <v>107</v>
      </c>
      <c r="Y119" s="116" t="s">
        <v>108</v>
      </c>
      <c r="Z119" s="114">
        <f>IF(INDIRECT("Y119")="Clássico","13%",IF(INDIRECT("Y119")="Premium","18%","-"))</f>
      </c>
      <c r="AA119" s="116" t="s">
        <v>109</v>
      </c>
      <c r="AB119" s="116" t="s">
        <v>110</v>
      </c>
      <c r="AC119" s="116" t="n">
        <v>30.0</v>
      </c>
      <c r="AD119" s="116" t="s">
        <v>111</v>
      </c>
      <c r="AE119" s="117" t="s">
        <v>112</v>
      </c>
      <c r="AF119" s="114" t="s">
        <v>841</v>
      </c>
      <c r="AG119" s="116" t="n">
        <v>26.0</v>
      </c>
      <c r="AH119" s="116" t="n">
        <v>14.0</v>
      </c>
      <c r="AI119" s="116" t="n">
        <v>4.0</v>
      </c>
      <c r="AJ119" s="116" t="n">
        <v>0.89</v>
      </c>
    </row>
    <row r="120" ht="50.0" customHeight="true">
      <c r="A120" s="114" t="s">
        <v>842</v>
      </c>
      <c r="B120" s="114" t="s">
        <v>843</v>
      </c>
      <c r="C120" s="114" t="s">
        <v>844</v>
      </c>
      <c r="D120" s="114"/>
      <c r="E120" s="115" t="s">
        <v>845</v>
      </c>
      <c r="F120" s="115" t="s">
        <v>846</v>
      </c>
      <c r="G120" s="114" t="s">
        <v>846</v>
      </c>
      <c r="H120" s="116" t="n">
        <v>2.0</v>
      </c>
      <c r="I120" s="116" t="n">
        <v>12000.0</v>
      </c>
      <c r="J120" s="116" t="s">
        <v>103</v>
      </c>
      <c r="K120" s="116" t="n">
        <v>10500.0</v>
      </c>
      <c r="L120" s="116" t="n">
        <v>2.0</v>
      </c>
      <c r="M120" s="116"/>
      <c r="N120" s="116"/>
      <c r="O120" s="116"/>
      <c r="P120" s="116"/>
      <c r="Q120" s="116"/>
      <c r="R120" s="116"/>
      <c r="S120" s="116"/>
      <c r="T120" s="116"/>
      <c r="U120" s="116" t="s">
        <v>104</v>
      </c>
      <c r="V120" s="118" t="s">
        <v>847</v>
      </c>
      <c r="W120" s="116" t="s">
        <v>130</v>
      </c>
      <c r="X120" s="116" t="s">
        <v>143</v>
      </c>
      <c r="Y120" s="116" t="s">
        <v>152</v>
      </c>
      <c r="Z120" s="114">
        <f>IF(INDIRECT("Y120")="Clássico","13%",IF(INDIRECT("Y120")="Premium","18%","-"))</f>
      </c>
      <c r="AA120" s="116" t="s">
        <v>109</v>
      </c>
      <c r="AB120" s="116" t="s">
        <v>110</v>
      </c>
      <c r="AC120" s="116" t="n">
        <v>30.0</v>
      </c>
      <c r="AD120" s="116" t="s">
        <v>111</v>
      </c>
      <c r="AE120" s="117" t="s">
        <v>112</v>
      </c>
      <c r="AF120" s="114" t="s">
        <v>848</v>
      </c>
      <c r="AG120" s="116" t="n">
        <v>5.0</v>
      </c>
      <c r="AH120" s="116" t="n">
        <v>16.0</v>
      </c>
      <c r="AI120" s="116" t="n">
        <v>12.0</v>
      </c>
      <c r="AJ120" s="116" t="n">
        <v>0.5</v>
      </c>
    </row>
    <row r="121" ht="50.0" customHeight="true">
      <c r="A121" s="114" t="s">
        <v>849</v>
      </c>
      <c r="B121" s="114" t="s">
        <v>850</v>
      </c>
      <c r="C121" s="114" t="s">
        <v>851</v>
      </c>
      <c r="D121" s="114"/>
      <c r="E121" s="115" t="s">
        <v>852</v>
      </c>
      <c r="F121" s="115" t="s">
        <v>853</v>
      </c>
      <c r="G121" s="114" t="s">
        <v>853</v>
      </c>
      <c r="H121" s="116" t="n">
        <v>15.0</v>
      </c>
      <c r="I121" s="116" t="n">
        <v>60.0</v>
      </c>
      <c r="J121" s="116" t="s">
        <v>103</v>
      </c>
      <c r="K121" s="116" t="n">
        <v>45.0</v>
      </c>
      <c r="L121" s="116" t="n">
        <v>2.0</v>
      </c>
      <c r="M121" s="116"/>
      <c r="N121" s="116"/>
      <c r="O121" s="116"/>
      <c r="P121" s="116"/>
      <c r="Q121" s="116"/>
      <c r="R121" s="116"/>
      <c r="S121" s="116"/>
      <c r="T121" s="116"/>
      <c r="U121" s="116" t="s">
        <v>104</v>
      </c>
      <c r="V121" s="118" t="s">
        <v>854</v>
      </c>
      <c r="W121" s="116" t="s">
        <v>130</v>
      </c>
      <c r="X121" s="116" t="s">
        <v>143</v>
      </c>
      <c r="Y121" s="116" t="s">
        <v>108</v>
      </c>
      <c r="Z121" s="114">
        <f>IF(INDIRECT("Y121")="Clássico","12%",IF(INDIRECT("Y121")="Premium","17%","-"))</f>
      </c>
      <c r="AA121" s="116" t="s">
        <v>109</v>
      </c>
      <c r="AB121" s="116" t="s">
        <v>110</v>
      </c>
      <c r="AC121" s="116" t="n">
        <v>30.0</v>
      </c>
      <c r="AD121" s="116" t="s">
        <v>111</v>
      </c>
      <c r="AE121" s="117" t="s">
        <v>112</v>
      </c>
      <c r="AF121" s="114" t="s">
        <v>855</v>
      </c>
      <c r="AG121" s="116" t="n">
        <v>1.0</v>
      </c>
      <c r="AH121" s="116" t="n">
        <v>10.0</v>
      </c>
      <c r="AI121" s="116" t="n">
        <v>12.0</v>
      </c>
      <c r="AJ121" s="116" t="n">
        <v>0.1</v>
      </c>
    </row>
    <row r="122" ht="50.0" customHeight="true">
      <c r="A122" s="114" t="s">
        <v>856</v>
      </c>
      <c r="B122" s="114" t="s">
        <v>857</v>
      </c>
      <c r="C122" s="114" t="s">
        <v>858</v>
      </c>
      <c r="D122" s="114"/>
      <c r="E122" s="115" t="s">
        <v>859</v>
      </c>
      <c r="F122" s="115" t="s">
        <v>860</v>
      </c>
      <c r="G122" s="114" t="s">
        <v>860</v>
      </c>
      <c r="H122" s="116" t="n">
        <v>1.0</v>
      </c>
      <c r="I122" s="116" t="n">
        <v>2000.0</v>
      </c>
      <c r="J122" s="116" t="s">
        <v>103</v>
      </c>
      <c r="K122" s="116"/>
      <c r="L122" s="116"/>
      <c r="M122" s="116"/>
      <c r="N122" s="116"/>
      <c r="O122" s="116"/>
      <c r="P122" s="116"/>
      <c r="Q122" s="116"/>
      <c r="R122" s="116"/>
      <c r="S122" s="116"/>
      <c r="T122" s="116"/>
      <c r="U122" s="116" t="s">
        <v>104</v>
      </c>
      <c r="V122" s="118" t="s">
        <v>861</v>
      </c>
      <c r="W122" s="116" t="s">
        <v>862</v>
      </c>
      <c r="X122" s="116" t="s">
        <v>143</v>
      </c>
      <c r="Y122" s="116" t="s">
        <v>152</v>
      </c>
      <c r="Z122" s="114">
        <f>IF(INDIRECT("Y122")="Clássico","12%",IF(INDIRECT("Y122")="Premium","17%","-"))</f>
      </c>
      <c r="AA122" s="116" t="s">
        <v>109</v>
      </c>
      <c r="AB122" s="116" t="s">
        <v>110</v>
      </c>
      <c r="AC122" s="116" t="n">
        <v>30.0</v>
      </c>
      <c r="AD122" s="116" t="s">
        <v>111</v>
      </c>
      <c r="AE122" s="117" t="s">
        <v>112</v>
      </c>
      <c r="AF122" s="114" t="s">
        <v>863</v>
      </c>
      <c r="AG122" s="114" t="s">
        <v>864</v>
      </c>
      <c r="AH122" s="114" t="s">
        <v>865</v>
      </c>
      <c r="AI122" s="114" t="s">
        <v>289</v>
      </c>
      <c r="AJ122" s="114" t="s">
        <v>866</v>
      </c>
    </row>
    <row r="123" ht="50.0" customHeight="true">
      <c r="A123" s="114" t="s">
        <v>867</v>
      </c>
      <c r="B123" s="114" t="s">
        <v>868</v>
      </c>
      <c r="C123" s="114" t="s">
        <v>869</v>
      </c>
      <c r="D123" s="114"/>
      <c r="E123" s="115" t="s">
        <v>870</v>
      </c>
      <c r="F123" s="115" t="s">
        <v>871</v>
      </c>
      <c r="G123" s="114" t="s">
        <v>411</v>
      </c>
      <c r="H123" s="116" t="n">
        <v>2.0</v>
      </c>
      <c r="I123" s="116" t="n">
        <v>120.0</v>
      </c>
      <c r="J123" s="116" t="s">
        <v>103</v>
      </c>
      <c r="K123" s="116" t="n">
        <v>115.0</v>
      </c>
      <c r="L123" s="116" t="n">
        <v>2.0</v>
      </c>
      <c r="M123" s="116"/>
      <c r="N123" s="116"/>
      <c r="O123" s="116"/>
      <c r="P123" s="116"/>
      <c r="Q123" s="116"/>
      <c r="R123" s="116"/>
      <c r="S123" s="116"/>
      <c r="T123" s="116"/>
      <c r="U123" s="116" t="s">
        <v>104</v>
      </c>
      <c r="V123" s="118" t="s">
        <v>872</v>
      </c>
      <c r="W123" s="116" t="s">
        <v>130</v>
      </c>
      <c r="X123" s="116" t="s">
        <v>143</v>
      </c>
      <c r="Y123" s="116" t="s">
        <v>108</v>
      </c>
      <c r="Z123" s="114">
        <f>IF(INDIRECT("Y123")="Clássico","11.5%",IF(INDIRECT("Y123")="Premium","16.5%","-"))</f>
      </c>
      <c r="AA123" s="116" t="s">
        <v>109</v>
      </c>
      <c r="AB123" s="116" t="s">
        <v>110</v>
      </c>
      <c r="AC123" s="116" t="n">
        <v>30.0</v>
      </c>
      <c r="AD123" s="116" t="s">
        <v>111</v>
      </c>
      <c r="AE123" s="117" t="s">
        <v>112</v>
      </c>
      <c r="AF123" s="114" t="s">
        <v>413</v>
      </c>
      <c r="AG123" s="116" t="n">
        <v>15.0</v>
      </c>
      <c r="AH123" s="116" t="n">
        <v>16.0</v>
      </c>
      <c r="AI123" s="116" t="n">
        <v>16.0</v>
      </c>
      <c r="AJ123" s="116" t="n">
        <v>1.0</v>
      </c>
    </row>
    <row r="124" ht="50.0" customHeight="true">
      <c r="A124" s="114" t="s">
        <v>873</v>
      </c>
      <c r="B124" s="114" t="s">
        <v>874</v>
      </c>
      <c r="C124" s="114" t="s">
        <v>875</v>
      </c>
      <c r="D124" s="114"/>
      <c r="E124" s="115" t="s">
        <v>876</v>
      </c>
      <c r="F124" s="115" t="s">
        <v>877</v>
      </c>
      <c r="G124" s="114" t="s">
        <v>411</v>
      </c>
      <c r="H124" s="116" t="n">
        <v>2.0</v>
      </c>
      <c r="I124" s="116" t="n">
        <v>125.0</v>
      </c>
      <c r="J124" s="116" t="s">
        <v>103</v>
      </c>
      <c r="K124" s="116" t="n">
        <v>122.0</v>
      </c>
      <c r="L124" s="116" t="n">
        <v>2.0</v>
      </c>
      <c r="M124" s="116"/>
      <c r="N124" s="116"/>
      <c r="O124" s="116"/>
      <c r="P124" s="116"/>
      <c r="Q124" s="116"/>
      <c r="R124" s="116"/>
      <c r="S124" s="116"/>
      <c r="T124" s="116"/>
      <c r="U124" s="116" t="s">
        <v>104</v>
      </c>
      <c r="V124" s="118" t="s">
        <v>878</v>
      </c>
      <c r="W124" s="116" t="s">
        <v>130</v>
      </c>
      <c r="X124" s="116" t="s">
        <v>143</v>
      </c>
      <c r="Y124" s="116" t="s">
        <v>108</v>
      </c>
      <c r="Z124" s="114">
        <f>IF(INDIRECT("Y124")="Clássico","11.5%",IF(INDIRECT("Y124")="Premium","16.5%","-"))</f>
      </c>
      <c r="AA124" s="116" t="s">
        <v>109</v>
      </c>
      <c r="AB124" s="116" t="s">
        <v>110</v>
      </c>
      <c r="AC124" s="116" t="n">
        <v>30.0</v>
      </c>
      <c r="AD124" s="116" t="s">
        <v>111</v>
      </c>
      <c r="AE124" s="117" t="s">
        <v>112</v>
      </c>
      <c r="AF124" s="114" t="s">
        <v>413</v>
      </c>
      <c r="AG124" s="116" t="n">
        <v>15.0</v>
      </c>
      <c r="AH124" s="116" t="n">
        <v>16.0</v>
      </c>
      <c r="AI124" s="116" t="n">
        <v>16.0</v>
      </c>
      <c r="AJ124" s="116" t="n">
        <v>1.0</v>
      </c>
    </row>
    <row r="125" ht="50.0" customHeight="true">
      <c r="A125" s="114" t="s">
        <v>879</v>
      </c>
      <c r="B125" s="114" t="s">
        <v>880</v>
      </c>
      <c r="C125" s="114" t="s">
        <v>881</v>
      </c>
      <c r="D125" s="114"/>
      <c r="E125" s="115" t="s">
        <v>882</v>
      </c>
      <c r="F125" s="115" t="s">
        <v>883</v>
      </c>
      <c r="G125" s="114" t="s">
        <v>192</v>
      </c>
      <c r="H125" s="116" t="n">
        <v>3.0</v>
      </c>
      <c r="I125" s="116" t="n">
        <v>60.0</v>
      </c>
      <c r="J125" s="116" t="s">
        <v>103</v>
      </c>
      <c r="K125" s="116" t="n">
        <v>50.0</v>
      </c>
      <c r="L125" s="116" t="n">
        <v>3.0</v>
      </c>
      <c r="M125" s="116"/>
      <c r="N125" s="116"/>
      <c r="O125" s="116"/>
      <c r="P125" s="116"/>
      <c r="Q125" s="116"/>
      <c r="R125" s="116"/>
      <c r="S125" s="116"/>
      <c r="T125" s="116"/>
      <c r="U125" s="116" t="s">
        <v>104</v>
      </c>
      <c r="V125" s="118" t="s">
        <v>884</v>
      </c>
      <c r="W125" s="116" t="s">
        <v>130</v>
      </c>
      <c r="X125" s="116" t="s">
        <v>143</v>
      </c>
      <c r="Y125" s="116" t="s">
        <v>108</v>
      </c>
      <c r="Z125" s="114">
        <f>IF(INDIRECT("Y125")="Clássico","11.5%",IF(INDIRECT("Y125")="Premium","16.5%","-"))</f>
      </c>
      <c r="AA125" s="116" t="s">
        <v>109</v>
      </c>
      <c r="AB125" s="116" t="s">
        <v>110</v>
      </c>
      <c r="AC125" s="116" t="n">
        <v>30.0</v>
      </c>
      <c r="AD125" s="116" t="s">
        <v>111</v>
      </c>
      <c r="AE125" s="117" t="s">
        <v>112</v>
      </c>
      <c r="AF125" s="114" t="s">
        <v>885</v>
      </c>
      <c r="AG125" s="116" t="n">
        <v>6.0</v>
      </c>
      <c r="AH125" s="116" t="n">
        <v>10.0</v>
      </c>
      <c r="AI125" s="116" t="n">
        <v>10.0</v>
      </c>
      <c r="AJ125" s="116" t="n">
        <v>0.1</v>
      </c>
    </row>
    <row r="126" ht="50.0" customHeight="true">
      <c r="A126" s="114" t="s">
        <v>886</v>
      </c>
      <c r="B126" s="114" t="s">
        <v>887</v>
      </c>
      <c r="C126" s="114" t="s">
        <v>888</v>
      </c>
      <c r="D126" s="114"/>
      <c r="E126" s="115" t="s">
        <v>635</v>
      </c>
      <c r="F126" s="115" t="s">
        <v>889</v>
      </c>
      <c r="G126" s="114" t="s">
        <v>315</v>
      </c>
      <c r="H126" s="116" t="n">
        <v>100.0</v>
      </c>
      <c r="I126" s="116" t="n">
        <v>599.9</v>
      </c>
      <c r="J126" s="116" t="s">
        <v>103</v>
      </c>
      <c r="K126" s="116" t="n">
        <v>570.0</v>
      </c>
      <c r="L126" s="116" t="n">
        <v>3.0</v>
      </c>
      <c r="M126" s="116"/>
      <c r="N126" s="116"/>
      <c r="O126" s="116"/>
      <c r="P126" s="116"/>
      <c r="Q126" s="116"/>
      <c r="R126" s="116"/>
      <c r="S126" s="116"/>
      <c r="T126" s="116"/>
      <c r="U126" s="116" t="s">
        <v>104</v>
      </c>
      <c r="V126" s="118" t="s">
        <v>890</v>
      </c>
      <c r="W126" s="116" t="s">
        <v>130</v>
      </c>
      <c r="X126" s="116" t="s">
        <v>143</v>
      </c>
      <c r="Y126" s="116" t="s">
        <v>108</v>
      </c>
      <c r="Z126" s="114">
        <f>IF(INDIRECT("Y126")="Clássico","11.5%",IF(INDIRECT("Y126")="Premium","16.5%","-"))</f>
      </c>
      <c r="AA126" s="116" t="s">
        <v>109</v>
      </c>
      <c r="AB126" s="116" t="s">
        <v>110</v>
      </c>
      <c r="AC126" s="116" t="n">
        <v>30.0</v>
      </c>
      <c r="AD126" s="116" t="s">
        <v>111</v>
      </c>
      <c r="AE126" s="117" t="s">
        <v>112</v>
      </c>
      <c r="AF126" s="114" t="s">
        <v>317</v>
      </c>
      <c r="AG126" s="116" t="n">
        <v>10.0</v>
      </c>
      <c r="AH126" s="116" t="n">
        <v>40.0</v>
      </c>
      <c r="AI126" s="116" t="n">
        <v>40.0</v>
      </c>
      <c r="AJ126" s="116" t="n">
        <v>2.4</v>
      </c>
    </row>
    <row r="127" ht="50.0" customHeight="true">
      <c r="A127" s="114" t="s">
        <v>891</v>
      </c>
      <c r="B127" s="114" t="s">
        <v>892</v>
      </c>
      <c r="C127" s="114" t="s">
        <v>893</v>
      </c>
      <c r="D127" s="114"/>
      <c r="E127" s="115" t="s">
        <v>635</v>
      </c>
      <c r="F127" s="115" t="s">
        <v>894</v>
      </c>
      <c r="G127" s="114" t="s">
        <v>315</v>
      </c>
      <c r="H127" s="116" t="n">
        <v>100.0</v>
      </c>
      <c r="I127" s="116" t="n">
        <v>32.9</v>
      </c>
      <c r="J127" s="116" t="s">
        <v>103</v>
      </c>
      <c r="K127" s="116" t="n">
        <v>31.1</v>
      </c>
      <c r="L127" s="116" t="n">
        <v>2.0</v>
      </c>
      <c r="M127" s="116"/>
      <c r="N127" s="116"/>
      <c r="O127" s="116"/>
      <c r="P127" s="116"/>
      <c r="Q127" s="116"/>
      <c r="R127" s="116"/>
      <c r="S127" s="116"/>
      <c r="T127" s="116"/>
      <c r="U127" s="116" t="s">
        <v>104</v>
      </c>
      <c r="V127" s="118" t="s">
        <v>895</v>
      </c>
      <c r="W127" s="116" t="s">
        <v>106</v>
      </c>
      <c r="X127" s="116" t="s">
        <v>143</v>
      </c>
      <c r="Y127" s="116" t="s">
        <v>108</v>
      </c>
      <c r="Z127" s="114">
        <f>IF(INDIRECT("Y127")="Clássico","11.5%",IF(INDIRECT("Y127")="Premium","16.5%","-"))</f>
      </c>
      <c r="AA127" s="116" t="s">
        <v>109</v>
      </c>
      <c r="AB127" s="116" t="s">
        <v>110</v>
      </c>
      <c r="AC127" s="116" t="n">
        <v>30.0</v>
      </c>
      <c r="AD127" s="116" t="s">
        <v>111</v>
      </c>
      <c r="AE127" s="117" t="s">
        <v>112</v>
      </c>
      <c r="AF127" s="114" t="s">
        <v>317</v>
      </c>
      <c r="AG127" s="116" t="n">
        <v>16.0</v>
      </c>
      <c r="AH127" s="116" t="n">
        <v>10.0</v>
      </c>
      <c r="AI127" s="116" t="n">
        <v>10.0</v>
      </c>
      <c r="AJ127" s="116" t="n">
        <v>0.2</v>
      </c>
    </row>
    <row r="128" ht="50.0" customHeight="true">
      <c r="A128" s="114" t="s">
        <v>896</v>
      </c>
      <c r="B128" s="114" t="s">
        <v>897</v>
      </c>
      <c r="C128" s="114" t="s">
        <v>898</v>
      </c>
      <c r="D128" s="114"/>
      <c r="E128" s="115" t="s">
        <v>566</v>
      </c>
      <c r="F128" s="115" t="s">
        <v>899</v>
      </c>
      <c r="G128" s="114" t="s">
        <v>419</v>
      </c>
      <c r="H128" s="116" t="n">
        <v>1.0</v>
      </c>
      <c r="I128" s="116" t="n">
        <v>899.0</v>
      </c>
      <c r="J128" s="116" t="s">
        <v>103</v>
      </c>
      <c r="K128" s="116"/>
      <c r="L128" s="116"/>
      <c r="M128" s="116"/>
      <c r="N128" s="116"/>
      <c r="O128" s="116"/>
      <c r="P128" s="116"/>
      <c r="Q128" s="116"/>
      <c r="R128" s="116"/>
      <c r="S128" s="116"/>
      <c r="T128" s="116"/>
      <c r="U128" s="116" t="s">
        <v>104</v>
      </c>
      <c r="V128" s="118" t="s">
        <v>900</v>
      </c>
      <c r="W128" s="116" t="s">
        <v>130</v>
      </c>
      <c r="X128" s="116" t="s">
        <v>143</v>
      </c>
      <c r="Y128" s="116" t="s">
        <v>108</v>
      </c>
      <c r="Z128" s="114">
        <f>IF(INDIRECT("Y128")="Clássico","13%",IF(INDIRECT("Y128")="Premium","18%","-"))</f>
      </c>
      <c r="AA128" s="116" t="s">
        <v>109</v>
      </c>
      <c r="AB128" s="116" t="s">
        <v>110</v>
      </c>
      <c r="AC128" s="116" t="n">
        <v>30.0</v>
      </c>
      <c r="AD128" s="116" t="s">
        <v>111</v>
      </c>
      <c r="AE128" s="117" t="s">
        <v>112</v>
      </c>
      <c r="AF128" s="114" t="s">
        <v>901</v>
      </c>
      <c r="AG128" s="116" t="n">
        <v>10.0</v>
      </c>
      <c r="AH128" s="116" t="n">
        <v>15.0</v>
      </c>
      <c r="AI128" s="116" t="n">
        <v>16.0</v>
      </c>
      <c r="AJ128" s="116" t="n">
        <v>0.2</v>
      </c>
    </row>
    <row r="129" ht="50.0" customHeight="true">
      <c r="A129" s="114" t="s">
        <v>902</v>
      </c>
      <c r="B129" s="114" t="s">
        <v>903</v>
      </c>
      <c r="C129" s="114" t="s">
        <v>904</v>
      </c>
      <c r="D129" s="114"/>
      <c r="E129" s="115" t="s">
        <v>905</v>
      </c>
      <c r="F129" s="115" t="s">
        <v>906</v>
      </c>
      <c r="G129" s="114" t="s">
        <v>649</v>
      </c>
      <c r="H129" s="116" t="n">
        <v>1.0</v>
      </c>
      <c r="I129" s="116" t="n">
        <v>8900.0</v>
      </c>
      <c r="J129" s="116" t="s">
        <v>103</v>
      </c>
      <c r="K129" s="116"/>
      <c r="L129" s="116"/>
      <c r="M129" s="116"/>
      <c r="N129" s="116"/>
      <c r="O129" s="116"/>
      <c r="P129" s="116"/>
      <c r="Q129" s="116"/>
      <c r="R129" s="116"/>
      <c r="S129" s="116"/>
      <c r="T129" s="116"/>
      <c r="U129" s="116" t="s">
        <v>104</v>
      </c>
      <c r="V129" s="118" t="s">
        <v>907</v>
      </c>
      <c r="W129" s="116" t="s">
        <v>130</v>
      </c>
      <c r="X129" s="116" t="s">
        <v>143</v>
      </c>
      <c r="Y129" s="116" t="s">
        <v>108</v>
      </c>
      <c r="Z129" s="114">
        <f>IF(INDIRECT("Y129")="Clássico","11%",IF(INDIRECT("Y129")="Premium","16%","-"))</f>
      </c>
      <c r="AA129" s="116" t="s">
        <v>109</v>
      </c>
      <c r="AB129" s="116" t="s">
        <v>110</v>
      </c>
      <c r="AC129" s="116" t="n">
        <v>30.0</v>
      </c>
      <c r="AD129" s="116" t="s">
        <v>111</v>
      </c>
      <c r="AE129" s="117" t="s">
        <v>112</v>
      </c>
      <c r="AF129" s="114" t="s">
        <v>908</v>
      </c>
      <c r="AG129" s="116" t="n">
        <v>8.0</v>
      </c>
      <c r="AH129" s="116" t="n">
        <v>68.0</v>
      </c>
      <c r="AI129" s="116" t="n">
        <v>40.0</v>
      </c>
      <c r="AJ129" s="116" t="n">
        <v>2.8</v>
      </c>
    </row>
    <row r="130" ht="50.0" customHeight="true">
      <c r="A130" s="114" t="s">
        <v>909</v>
      </c>
      <c r="B130" s="114" t="s">
        <v>910</v>
      </c>
      <c r="C130" s="114" t="s">
        <v>911</v>
      </c>
      <c r="D130" s="114"/>
      <c r="E130" s="115" t="s">
        <v>912</v>
      </c>
      <c r="F130" s="115" t="s">
        <v>913</v>
      </c>
      <c r="G130" s="114" t="s">
        <v>913</v>
      </c>
      <c r="H130" s="116" t="n">
        <v>1.0</v>
      </c>
      <c r="I130" s="116" t="n">
        <v>12500.0</v>
      </c>
      <c r="J130" s="116" t="s">
        <v>103</v>
      </c>
      <c r="K130" s="116"/>
      <c r="L130" s="116"/>
      <c r="M130" s="116"/>
      <c r="N130" s="116"/>
      <c r="O130" s="116"/>
      <c r="P130" s="116"/>
      <c r="Q130" s="116"/>
      <c r="R130" s="116"/>
      <c r="S130" s="116"/>
      <c r="T130" s="116"/>
      <c r="U130" s="116" t="s">
        <v>104</v>
      </c>
      <c r="V130" s="118" t="s">
        <v>914</v>
      </c>
      <c r="W130" s="116" t="s">
        <v>130</v>
      </c>
      <c r="X130" s="116" t="s">
        <v>143</v>
      </c>
      <c r="Y130" s="116" t="s">
        <v>152</v>
      </c>
      <c r="Z130" s="114">
        <f>IF(INDIRECT("Y130")="Clássico","12%",IF(INDIRECT("Y130")="Premium","17%","-"))</f>
      </c>
      <c r="AA130" s="116" t="s">
        <v>109</v>
      </c>
      <c r="AB130" s="116" t="s">
        <v>110</v>
      </c>
      <c r="AC130" s="116" t="n">
        <v>30.0</v>
      </c>
      <c r="AD130" s="116" t="s">
        <v>111</v>
      </c>
      <c r="AE130" s="117" t="s">
        <v>112</v>
      </c>
      <c r="AF130" s="114" t="s">
        <v>736</v>
      </c>
      <c r="AG130" s="116" t="n">
        <v>22.0</v>
      </c>
      <c r="AH130" s="116" t="n">
        <v>45.0</v>
      </c>
      <c r="AI130" s="116" t="n">
        <v>35.0</v>
      </c>
      <c r="AJ130" s="116" t="n">
        <v>7.5</v>
      </c>
    </row>
    <row r="131" ht="50.0" customHeight="true">
      <c r="A131" s="114" t="s">
        <v>915</v>
      </c>
      <c r="B131" s="114" t="s">
        <v>916</v>
      </c>
      <c r="C131" s="114" t="s">
        <v>917</v>
      </c>
      <c r="D131" s="114"/>
      <c r="E131" s="115" t="s">
        <v>918</v>
      </c>
      <c r="F131" s="115" t="s">
        <v>919</v>
      </c>
      <c r="G131" s="114" t="s">
        <v>919</v>
      </c>
      <c r="H131" s="116" t="n">
        <v>1.0</v>
      </c>
      <c r="I131" s="116" t="n">
        <v>19900.0</v>
      </c>
      <c r="J131" s="116" t="s">
        <v>103</v>
      </c>
      <c r="K131" s="116"/>
      <c r="L131" s="116"/>
      <c r="M131" s="116"/>
      <c r="N131" s="116"/>
      <c r="O131" s="116"/>
      <c r="P131" s="116"/>
      <c r="Q131" s="116"/>
      <c r="R131" s="116"/>
      <c r="S131" s="116"/>
      <c r="T131" s="116"/>
      <c r="U131" s="116" t="s">
        <v>104</v>
      </c>
      <c r="V131" s="118" t="s">
        <v>920</v>
      </c>
      <c r="W131" s="116" t="s">
        <v>862</v>
      </c>
      <c r="X131" s="116" t="s">
        <v>143</v>
      </c>
      <c r="Y131" s="116" t="s">
        <v>152</v>
      </c>
      <c r="Z131" s="114">
        <f>IF(INDIRECT("Y131")="Clássico","12%",IF(INDIRECT("Y131")="Premium","17%","-"))</f>
      </c>
      <c r="AA131" s="116" t="s">
        <v>109</v>
      </c>
      <c r="AB131" s="116" t="s">
        <v>110</v>
      </c>
      <c r="AC131" s="116" t="n">
        <v>30.0</v>
      </c>
      <c r="AD131" s="116" t="s">
        <v>111</v>
      </c>
      <c r="AE131" s="117" t="s">
        <v>112</v>
      </c>
      <c r="AF131" s="114" t="s">
        <v>921</v>
      </c>
      <c r="AG131" s="114" t="s">
        <v>922</v>
      </c>
      <c r="AH131" s="114" t="s">
        <v>923</v>
      </c>
      <c r="AI131" s="114" t="s">
        <v>924</v>
      </c>
      <c r="AJ131" s="114" t="s">
        <v>925</v>
      </c>
    </row>
    <row r="132" ht="50.0" customHeight="true">
      <c r="A132" s="114" t="s">
        <v>926</v>
      </c>
      <c r="B132" s="114" t="s">
        <v>927</v>
      </c>
      <c r="C132" s="114" t="s">
        <v>928</v>
      </c>
      <c r="D132" s="114"/>
      <c r="E132" s="115" t="s">
        <v>929</v>
      </c>
      <c r="F132" s="115" t="s">
        <v>930</v>
      </c>
      <c r="G132" s="114" t="s">
        <v>260</v>
      </c>
      <c r="H132" s="116" t="n">
        <v>20.0</v>
      </c>
      <c r="I132" s="116" t="n">
        <v>79.9</v>
      </c>
      <c r="J132" s="116" t="s">
        <v>103</v>
      </c>
      <c r="K132" s="116" t="n">
        <v>62.0</v>
      </c>
      <c r="L132" s="116" t="n">
        <v>2.0</v>
      </c>
      <c r="M132" s="116"/>
      <c r="N132" s="116"/>
      <c r="O132" s="116"/>
      <c r="P132" s="116"/>
      <c r="Q132" s="116"/>
      <c r="R132" s="116"/>
      <c r="S132" s="116"/>
      <c r="T132" s="116"/>
      <c r="U132" s="116" t="s">
        <v>104</v>
      </c>
      <c r="V132" s="118" t="s">
        <v>931</v>
      </c>
      <c r="W132" s="116" t="s">
        <v>106</v>
      </c>
      <c r="X132" s="116" t="s">
        <v>143</v>
      </c>
      <c r="Y132" s="116" t="s">
        <v>108</v>
      </c>
      <c r="Z132" s="114">
        <f>IF(INDIRECT("Y132")="Clássico","12%",IF(INDIRECT("Y132")="Premium","17%","-"))</f>
      </c>
      <c r="AA132" s="116" t="s">
        <v>109</v>
      </c>
      <c r="AB132" s="116" t="s">
        <v>110</v>
      </c>
      <c r="AC132" s="116" t="n">
        <v>30.0</v>
      </c>
      <c r="AD132" s="116" t="s">
        <v>111</v>
      </c>
      <c r="AE132" s="117" t="s">
        <v>112</v>
      </c>
      <c r="AF132" s="114" t="s">
        <v>932</v>
      </c>
      <c r="AG132" s="116" t="n">
        <v>20.0</v>
      </c>
      <c r="AH132" s="116" t="n">
        <v>20.0</v>
      </c>
      <c r="AI132" s="116" t="n">
        <v>4.0</v>
      </c>
      <c r="AJ132" s="116" t="n">
        <v>0.33</v>
      </c>
    </row>
    <row r="133" ht="50.0" customHeight="true">
      <c r="A133" s="114" t="s">
        <v>933</v>
      </c>
      <c r="B133" s="114" t="s">
        <v>934</v>
      </c>
      <c r="C133" s="114" t="s">
        <v>935</v>
      </c>
      <c r="D133" s="114"/>
      <c r="E133" s="115" t="s">
        <v>936</v>
      </c>
      <c r="F133" s="115" t="s">
        <v>937</v>
      </c>
      <c r="G133" s="114" t="s">
        <v>938</v>
      </c>
      <c r="H133" s="116" t="n">
        <v>1.0</v>
      </c>
      <c r="I133" s="116" t="n">
        <v>1800.0</v>
      </c>
      <c r="J133" s="116" t="s">
        <v>103</v>
      </c>
      <c r="K133" s="116" t="n">
        <v>1500.0</v>
      </c>
      <c r="L133" s="116" t="n">
        <v>2.0</v>
      </c>
      <c r="M133" s="116"/>
      <c r="N133" s="116"/>
      <c r="O133" s="116"/>
      <c r="P133" s="116"/>
      <c r="Q133" s="116"/>
      <c r="R133" s="116"/>
      <c r="S133" s="116"/>
      <c r="T133" s="116"/>
      <c r="U133" s="116" t="s">
        <v>104</v>
      </c>
      <c r="V133" s="118" t="s">
        <v>939</v>
      </c>
      <c r="W133" s="116" t="s">
        <v>130</v>
      </c>
      <c r="X133" s="116" t="s">
        <v>143</v>
      </c>
      <c r="Y133" s="116" t="s">
        <v>152</v>
      </c>
      <c r="Z133" s="114">
        <f>IF(INDIRECT("Y133")="Clássico","11.5%",IF(INDIRECT("Y133")="Premium","16.5%","-"))</f>
      </c>
      <c r="AA133" s="116" t="s">
        <v>109</v>
      </c>
      <c r="AB133" s="116" t="s">
        <v>110</v>
      </c>
      <c r="AC133" s="116" t="n">
        <v>30.0</v>
      </c>
      <c r="AD133" s="116" t="s">
        <v>111</v>
      </c>
      <c r="AE133" s="117" t="s">
        <v>112</v>
      </c>
      <c r="AF133" s="114" t="s">
        <v>940</v>
      </c>
      <c r="AG133" s="116" t="n">
        <v>40.0</v>
      </c>
      <c r="AH133" s="116" t="n">
        <v>15.0</v>
      </c>
      <c r="AI133" s="116" t="n">
        <v>10.0</v>
      </c>
      <c r="AJ133" s="116" t="n">
        <v>2.0</v>
      </c>
    </row>
    <row r="134" ht="50.0" customHeight="true">
      <c r="A134" s="114" t="s">
        <v>933</v>
      </c>
      <c r="B134" s="114" t="s">
        <v>941</v>
      </c>
      <c r="C134" s="114" t="s">
        <v>942</v>
      </c>
      <c r="D134" s="114"/>
      <c r="E134" s="115" t="s">
        <v>936</v>
      </c>
      <c r="F134" s="115" t="s">
        <v>937</v>
      </c>
      <c r="G134" s="114" t="s">
        <v>943</v>
      </c>
      <c r="H134" s="116" t="n">
        <v>1.0</v>
      </c>
      <c r="I134" s="116" t="n">
        <v>1800.0</v>
      </c>
      <c r="J134" s="116" t="s">
        <v>103</v>
      </c>
      <c r="K134" s="116"/>
      <c r="L134" s="116"/>
      <c r="M134" s="116"/>
      <c r="N134" s="116"/>
      <c r="O134" s="116"/>
      <c r="P134" s="116"/>
      <c r="Q134" s="116"/>
      <c r="R134" s="116"/>
      <c r="S134" s="116"/>
      <c r="T134" s="116"/>
      <c r="U134" s="116" t="s">
        <v>104</v>
      </c>
      <c r="V134" s="118" t="s">
        <v>939</v>
      </c>
      <c r="W134" s="116" t="s">
        <v>130</v>
      </c>
      <c r="X134" s="116" t="s">
        <v>143</v>
      </c>
      <c r="Y134" s="116" t="s">
        <v>152</v>
      </c>
      <c r="Z134" s="114">
        <f>IF(INDIRECT("Y134")="Clássico","11.5%",IF(INDIRECT("Y134")="Premium","16.5%","-"))</f>
      </c>
      <c r="AA134" s="116" t="s">
        <v>109</v>
      </c>
      <c r="AB134" s="116" t="s">
        <v>110</v>
      </c>
      <c r="AC134" s="116" t="n">
        <v>30.0</v>
      </c>
      <c r="AD134" s="116" t="s">
        <v>111</v>
      </c>
      <c r="AE134" s="117" t="s">
        <v>112</v>
      </c>
      <c r="AF134" s="114" t="s">
        <v>940</v>
      </c>
      <c r="AG134" s="116" t="n">
        <v>25.0</v>
      </c>
      <c r="AH134" s="116" t="n">
        <v>31.0</v>
      </c>
      <c r="AI134" s="116" t="n">
        <v>18.0</v>
      </c>
      <c r="AJ134" s="116" t="n">
        <v>3.41</v>
      </c>
    </row>
    <row r="135" ht="50.0" customHeight="true">
      <c r="A135" s="114" t="s">
        <v>944</v>
      </c>
      <c r="B135" s="114" t="s">
        <v>945</v>
      </c>
      <c r="C135" s="114" t="s">
        <v>946</v>
      </c>
      <c r="D135" s="114"/>
      <c r="E135" s="115" t="s">
        <v>947</v>
      </c>
      <c r="F135" s="115" t="s">
        <v>948</v>
      </c>
      <c r="G135" s="114" t="s">
        <v>948</v>
      </c>
      <c r="H135" s="116" t="n">
        <v>1.0</v>
      </c>
      <c r="I135" s="116" t="n">
        <v>8000.0</v>
      </c>
      <c r="J135" s="116" t="s">
        <v>103</v>
      </c>
      <c r="K135" s="116"/>
      <c r="L135" s="116"/>
      <c r="M135" s="116"/>
      <c r="N135" s="116"/>
      <c r="O135" s="116"/>
      <c r="P135" s="116"/>
      <c r="Q135" s="116"/>
      <c r="R135" s="116"/>
      <c r="S135" s="116"/>
      <c r="T135" s="116"/>
      <c r="U135" s="116" t="s">
        <v>104</v>
      </c>
      <c r="V135" s="118" t="s">
        <v>949</v>
      </c>
      <c r="W135" s="116" t="s">
        <v>130</v>
      </c>
      <c r="X135" s="116" t="s">
        <v>143</v>
      </c>
      <c r="Y135" s="116" t="s">
        <v>152</v>
      </c>
      <c r="Z135" s="114">
        <f>IF(INDIRECT("Y135")="Clássico","12%",IF(INDIRECT("Y135")="Premium","17%","-"))</f>
      </c>
      <c r="AA135" s="116" t="s">
        <v>109</v>
      </c>
      <c r="AB135" s="116" t="s">
        <v>110</v>
      </c>
      <c r="AC135" s="116" t="n">
        <v>30.0</v>
      </c>
      <c r="AD135" s="116" t="s">
        <v>111</v>
      </c>
      <c r="AE135" s="117" t="s">
        <v>112</v>
      </c>
      <c r="AF135" s="114" t="s">
        <v>122</v>
      </c>
      <c r="AG135" s="116" t="n">
        <v>120.0</v>
      </c>
      <c r="AH135" s="116" t="n">
        <v>30.0</v>
      </c>
      <c r="AI135" s="116" t="n">
        <v>30.0</v>
      </c>
      <c r="AJ135" s="116" t="n">
        <v>15.0</v>
      </c>
    </row>
    <row r="136" ht="50.0" customHeight="true">
      <c r="A136" s="114" t="s">
        <v>950</v>
      </c>
      <c r="B136" s="114" t="s">
        <v>951</v>
      </c>
      <c r="C136" s="114" t="s">
        <v>952</v>
      </c>
      <c r="D136" s="114"/>
      <c r="E136" s="115" t="s">
        <v>953</v>
      </c>
      <c r="F136" s="115" t="s">
        <v>954</v>
      </c>
      <c r="G136" s="114" t="s">
        <v>954</v>
      </c>
      <c r="H136" s="116" t="n">
        <v>2.0</v>
      </c>
      <c r="I136" s="116" t="n">
        <v>4500.0</v>
      </c>
      <c r="J136" s="116" t="s">
        <v>103</v>
      </c>
      <c r="K136" s="116" t="n">
        <v>4200.0</v>
      </c>
      <c r="L136" s="116" t="n">
        <v>2.0</v>
      </c>
      <c r="M136" s="116"/>
      <c r="N136" s="116"/>
      <c r="O136" s="116"/>
      <c r="P136" s="116"/>
      <c r="Q136" s="116"/>
      <c r="R136" s="116"/>
      <c r="S136" s="116"/>
      <c r="T136" s="116"/>
      <c r="U136" s="116" t="s">
        <v>104</v>
      </c>
      <c r="V136" s="118" t="s">
        <v>955</v>
      </c>
      <c r="W136" s="116" t="s">
        <v>771</v>
      </c>
      <c r="X136" s="116" t="s">
        <v>143</v>
      </c>
      <c r="Y136" s="116" t="s">
        <v>152</v>
      </c>
      <c r="Z136" s="114">
        <f>IF(INDIRECT("Y136")="Clássico","12%",IF(INDIRECT("Y136")="Premium","17%","-"))</f>
      </c>
      <c r="AA136" s="116" t="s">
        <v>109</v>
      </c>
      <c r="AB136" s="116" t="s">
        <v>110</v>
      </c>
      <c r="AC136" s="116" t="n">
        <v>30.0</v>
      </c>
      <c r="AD136" s="116" t="s">
        <v>111</v>
      </c>
      <c r="AE136" s="117" t="s">
        <v>112</v>
      </c>
      <c r="AF136" s="114" t="s">
        <v>956</v>
      </c>
      <c r="AG136" s="114" t="s">
        <v>957</v>
      </c>
      <c r="AH136" s="114" t="s">
        <v>958</v>
      </c>
      <c r="AI136" s="114" t="s">
        <v>864</v>
      </c>
      <c r="AJ136" s="114" t="s">
        <v>924</v>
      </c>
    </row>
    <row r="137" ht="50.0" customHeight="true">
      <c r="A137" s="114" t="s">
        <v>959</v>
      </c>
      <c r="B137" s="114" t="s">
        <v>960</v>
      </c>
      <c r="C137" s="114" t="s">
        <v>961</v>
      </c>
      <c r="D137" s="114"/>
      <c r="E137" s="115" t="s">
        <v>962</v>
      </c>
      <c r="F137" s="115" t="s">
        <v>963</v>
      </c>
      <c r="G137" s="114" t="s">
        <v>963</v>
      </c>
      <c r="H137" s="116" t="n">
        <v>1.0</v>
      </c>
      <c r="I137" s="116" t="n">
        <v>6000.0</v>
      </c>
      <c r="J137" s="116" t="s">
        <v>103</v>
      </c>
      <c r="K137" s="116"/>
      <c r="L137" s="116"/>
      <c r="M137" s="116"/>
      <c r="N137" s="116"/>
      <c r="O137" s="116"/>
      <c r="P137" s="116"/>
      <c r="Q137" s="116"/>
      <c r="R137" s="116"/>
      <c r="S137" s="116"/>
      <c r="T137" s="116"/>
      <c r="U137" s="116" t="s">
        <v>104</v>
      </c>
      <c r="V137" s="118" t="s">
        <v>964</v>
      </c>
      <c r="W137" s="116" t="s">
        <v>771</v>
      </c>
      <c r="X137" s="116" t="s">
        <v>143</v>
      </c>
      <c r="Y137" s="116" t="s">
        <v>152</v>
      </c>
      <c r="Z137" s="114">
        <f>IF(INDIRECT("Y137")="Clássico","12%",IF(INDIRECT("Y137")="Premium","17%","-"))</f>
      </c>
      <c r="AA137" s="116" t="s">
        <v>109</v>
      </c>
      <c r="AB137" s="116" t="s">
        <v>110</v>
      </c>
      <c r="AC137" s="116" t="n">
        <v>30.0</v>
      </c>
      <c r="AD137" s="116" t="s">
        <v>111</v>
      </c>
      <c r="AE137" s="117" t="s">
        <v>112</v>
      </c>
      <c r="AF137" s="114" t="s">
        <v>956</v>
      </c>
      <c r="AG137" s="114" t="s">
        <v>957</v>
      </c>
      <c r="AH137" s="114" t="s">
        <v>958</v>
      </c>
      <c r="AI137" s="114" t="s">
        <v>864</v>
      </c>
      <c r="AJ137" s="114" t="s">
        <v>864</v>
      </c>
    </row>
    <row r="138" ht="50.0" customHeight="true">
      <c r="A138" s="114" t="s">
        <v>965</v>
      </c>
      <c r="B138" s="114" t="s">
        <v>966</v>
      </c>
      <c r="C138" s="114" t="s">
        <v>967</v>
      </c>
      <c r="D138" s="114"/>
      <c r="E138" s="115" t="s">
        <v>962</v>
      </c>
      <c r="F138" s="115" t="s">
        <v>968</v>
      </c>
      <c r="G138" s="114" t="s">
        <v>968</v>
      </c>
      <c r="H138" s="116" t="n">
        <v>1.0</v>
      </c>
      <c r="I138" s="116" t="n">
        <v>5500.0</v>
      </c>
      <c r="J138" s="116" t="s">
        <v>103</v>
      </c>
      <c r="K138" s="116"/>
      <c r="L138" s="116"/>
      <c r="M138" s="116"/>
      <c r="N138" s="116"/>
      <c r="O138" s="116"/>
      <c r="P138" s="116"/>
      <c r="Q138" s="116"/>
      <c r="R138" s="116"/>
      <c r="S138" s="116"/>
      <c r="T138" s="116"/>
      <c r="U138" s="116" t="s">
        <v>104</v>
      </c>
      <c r="V138" s="118" t="s">
        <v>969</v>
      </c>
      <c r="W138" s="116" t="s">
        <v>771</v>
      </c>
      <c r="X138" s="116" t="s">
        <v>143</v>
      </c>
      <c r="Y138" s="116" t="s">
        <v>152</v>
      </c>
      <c r="Z138" s="114">
        <f>IF(INDIRECT("Y138")="Clássico","12%",IF(INDIRECT("Y138")="Premium","17%","-"))</f>
      </c>
      <c r="AA138" s="116" t="s">
        <v>109</v>
      </c>
      <c r="AB138" s="116" t="s">
        <v>110</v>
      </c>
      <c r="AC138" s="116" t="n">
        <v>30.0</v>
      </c>
      <c r="AD138" s="116" t="s">
        <v>111</v>
      </c>
      <c r="AE138" s="117" t="s">
        <v>112</v>
      </c>
      <c r="AF138" s="114" t="s">
        <v>956</v>
      </c>
      <c r="AG138" s="114" t="s">
        <v>957</v>
      </c>
      <c r="AH138" s="114" t="s">
        <v>958</v>
      </c>
      <c r="AI138" s="114" t="s">
        <v>864</v>
      </c>
      <c r="AJ138" s="114" t="s">
        <v>970</v>
      </c>
    </row>
    <row r="139" ht="50.0" customHeight="true">
      <c r="A139" s="114" t="s">
        <v>971</v>
      </c>
      <c r="B139" s="114" t="s">
        <v>972</v>
      </c>
      <c r="C139" s="114" t="s">
        <v>973</v>
      </c>
      <c r="D139" s="114"/>
      <c r="E139" s="115" t="s">
        <v>974</v>
      </c>
      <c r="F139" s="115" t="s">
        <v>975</v>
      </c>
      <c r="G139" s="114" t="s">
        <v>419</v>
      </c>
      <c r="H139" s="116" t="n">
        <v>2.0</v>
      </c>
      <c r="I139" s="116" t="n">
        <v>1900.0</v>
      </c>
      <c r="J139" s="116" t="s">
        <v>103</v>
      </c>
      <c r="K139" s="116" t="n">
        <v>1500.0</v>
      </c>
      <c r="L139" s="116" t="n">
        <v>2.0</v>
      </c>
      <c r="M139" s="116"/>
      <c r="N139" s="116"/>
      <c r="O139" s="116"/>
      <c r="P139" s="116"/>
      <c r="Q139" s="116"/>
      <c r="R139" s="116"/>
      <c r="S139" s="116"/>
      <c r="T139" s="116"/>
      <c r="U139" s="116" t="s">
        <v>104</v>
      </c>
      <c r="V139" s="118" t="s">
        <v>976</v>
      </c>
      <c r="W139" s="116" t="s">
        <v>130</v>
      </c>
      <c r="X139" s="116" t="s">
        <v>143</v>
      </c>
      <c r="Y139" s="116" t="s">
        <v>152</v>
      </c>
      <c r="Z139" s="114">
        <f>IF(INDIRECT("Y139")="Clássico","13%",IF(INDIRECT("Y139")="Premium","18%","-"))</f>
      </c>
      <c r="AA139" s="116" t="s">
        <v>109</v>
      </c>
      <c r="AB139" s="116" t="s">
        <v>110</v>
      </c>
      <c r="AC139" s="116" t="n">
        <v>30.0</v>
      </c>
      <c r="AD139" s="116" t="s">
        <v>111</v>
      </c>
      <c r="AE139" s="117" t="s">
        <v>112</v>
      </c>
      <c r="AF139" s="114" t="s">
        <v>977</v>
      </c>
      <c r="AG139" s="116" t="n">
        <v>45.0</v>
      </c>
      <c r="AH139" s="116" t="n">
        <v>20.0</v>
      </c>
      <c r="AI139" s="116" t="n">
        <v>20.0</v>
      </c>
      <c r="AJ139" s="116" t="n">
        <v>25.0</v>
      </c>
    </row>
    <row r="140" ht="50.0" customHeight="true">
      <c r="A140" s="114" t="s">
        <v>978</v>
      </c>
      <c r="B140" s="114" t="s">
        <v>979</v>
      </c>
      <c r="C140" s="114" t="s">
        <v>980</v>
      </c>
      <c r="D140" s="114"/>
      <c r="E140" s="115" t="s">
        <v>348</v>
      </c>
      <c r="F140" s="115" t="s">
        <v>981</v>
      </c>
      <c r="G140" s="114" t="s">
        <v>260</v>
      </c>
      <c r="H140" s="116" t="n">
        <v>1.0</v>
      </c>
      <c r="I140" s="116" t="n">
        <v>230.0</v>
      </c>
      <c r="J140" s="116" t="s">
        <v>103</v>
      </c>
      <c r="K140" s="116"/>
      <c r="L140" s="116"/>
      <c r="M140" s="116"/>
      <c r="N140" s="116"/>
      <c r="O140" s="116"/>
      <c r="P140" s="116"/>
      <c r="Q140" s="116"/>
      <c r="R140" s="116"/>
      <c r="S140" s="116"/>
      <c r="T140" s="116"/>
      <c r="U140" s="116" t="s">
        <v>104</v>
      </c>
      <c r="V140" s="118" t="s">
        <v>982</v>
      </c>
      <c r="W140" s="116" t="s">
        <v>130</v>
      </c>
      <c r="X140" s="116" t="s">
        <v>143</v>
      </c>
      <c r="Y140" s="116" t="s">
        <v>108</v>
      </c>
      <c r="Z140" s="114">
        <f>IF(INDIRECT("Y140")="Clássico","11%",IF(INDIRECT("Y140")="Premium","16%","-"))</f>
      </c>
      <c r="AA140" s="116" t="s">
        <v>109</v>
      </c>
      <c r="AB140" s="116" t="s">
        <v>110</v>
      </c>
      <c r="AC140" s="116" t="n">
        <v>30.0</v>
      </c>
      <c r="AD140" s="116" t="s">
        <v>111</v>
      </c>
      <c r="AE140" s="117" t="s">
        <v>112</v>
      </c>
      <c r="AF140" s="114" t="s">
        <v>983</v>
      </c>
      <c r="AG140" s="116" t="n">
        <v>20.0</v>
      </c>
      <c r="AH140" s="116" t="n">
        <v>20.0</v>
      </c>
      <c r="AI140" s="116" t="n">
        <v>5.0</v>
      </c>
      <c r="AJ140" s="116" t="n">
        <v>0.7</v>
      </c>
    </row>
    <row r="141" ht="50.0" customHeight="true">
      <c r="A141" s="114" t="s">
        <v>984</v>
      </c>
      <c r="B141" s="114" t="s">
        <v>985</v>
      </c>
      <c r="C141" s="114" t="s">
        <v>986</v>
      </c>
      <c r="D141" s="114"/>
      <c r="E141" s="115" t="s">
        <v>987</v>
      </c>
      <c r="F141" s="115" t="s">
        <v>988</v>
      </c>
      <c r="G141" s="114" t="s">
        <v>988</v>
      </c>
      <c r="H141" s="116" t="n">
        <v>5.0</v>
      </c>
      <c r="I141" s="116" t="n">
        <v>250.0</v>
      </c>
      <c r="J141" s="116" t="s">
        <v>103</v>
      </c>
      <c r="K141" s="116" t="n">
        <v>230.0</v>
      </c>
      <c r="L141" s="116" t="n">
        <v>2.0</v>
      </c>
      <c r="M141" s="116"/>
      <c r="N141" s="116"/>
      <c r="O141" s="116"/>
      <c r="P141" s="116"/>
      <c r="Q141" s="116"/>
      <c r="R141" s="116"/>
      <c r="S141" s="116"/>
      <c r="T141" s="116"/>
      <c r="U141" s="116" t="s">
        <v>104</v>
      </c>
      <c r="V141" s="118" t="s">
        <v>989</v>
      </c>
      <c r="W141" s="116" t="s">
        <v>130</v>
      </c>
      <c r="X141" s="116" t="s">
        <v>143</v>
      </c>
      <c r="Y141" s="116" t="s">
        <v>152</v>
      </c>
      <c r="Z141" s="114">
        <f>IF(INDIRECT("Y141")="Clássico","12%",IF(INDIRECT("Y141")="Premium","17%","-"))</f>
      </c>
      <c r="AA141" s="116" t="s">
        <v>109</v>
      </c>
      <c r="AB141" s="116" t="s">
        <v>110</v>
      </c>
      <c r="AC141" s="116" t="n">
        <v>30.0</v>
      </c>
      <c r="AD141" s="116" t="s">
        <v>111</v>
      </c>
      <c r="AE141" s="117" t="s">
        <v>112</v>
      </c>
      <c r="AF141" s="114" t="s">
        <v>990</v>
      </c>
      <c r="AG141" s="116" t="n">
        <v>10.0</v>
      </c>
      <c r="AH141" s="116" t="n">
        <v>3.0</v>
      </c>
      <c r="AI141" s="116" t="n">
        <v>3.0</v>
      </c>
      <c r="AJ141" s="116" t="n">
        <v>0.5</v>
      </c>
    </row>
    <row r="142" ht="50.0" customHeight="true">
      <c r="A142" s="114" t="s">
        <v>991</v>
      </c>
      <c r="B142" s="114" t="s">
        <v>992</v>
      </c>
      <c r="C142" s="114" t="s">
        <v>993</v>
      </c>
      <c r="D142" s="114"/>
      <c r="E142" s="115" t="s">
        <v>994</v>
      </c>
      <c r="F142" s="115" t="s">
        <v>995</v>
      </c>
      <c r="G142" s="114" t="s">
        <v>995</v>
      </c>
      <c r="H142" s="116" t="n">
        <v>15.0</v>
      </c>
      <c r="I142" s="116" t="n">
        <v>190.0</v>
      </c>
      <c r="J142" s="116" t="s">
        <v>103</v>
      </c>
      <c r="K142" s="116" t="n">
        <v>170.0</v>
      </c>
      <c r="L142" s="116" t="n">
        <v>2.0</v>
      </c>
      <c r="M142" s="116"/>
      <c r="N142" s="116"/>
      <c r="O142" s="116"/>
      <c r="P142" s="116"/>
      <c r="Q142" s="116"/>
      <c r="R142" s="116"/>
      <c r="S142" s="116"/>
      <c r="T142" s="116"/>
      <c r="U142" s="116" t="s">
        <v>104</v>
      </c>
      <c r="V142" s="118" t="s">
        <v>996</v>
      </c>
      <c r="W142" s="116" t="s">
        <v>130</v>
      </c>
      <c r="X142" s="116" t="s">
        <v>143</v>
      </c>
      <c r="Y142" s="116" t="s">
        <v>152</v>
      </c>
      <c r="Z142" s="114">
        <f>IF(INDIRECT("Y142")="Clássico","12%",IF(INDIRECT("Y142")="Premium","17%","-"))</f>
      </c>
      <c r="AA142" s="116" t="s">
        <v>109</v>
      </c>
      <c r="AB142" s="116" t="s">
        <v>110</v>
      </c>
      <c r="AC142" s="116" t="n">
        <v>30.0</v>
      </c>
      <c r="AD142" s="116" t="s">
        <v>111</v>
      </c>
      <c r="AE142" s="117" t="s">
        <v>112</v>
      </c>
      <c r="AF142" s="114" t="s">
        <v>997</v>
      </c>
      <c r="AG142" s="116" t="n">
        <v>17.0</v>
      </c>
      <c r="AH142" s="116" t="n">
        <v>6.0</v>
      </c>
      <c r="AI142" s="116" t="n">
        <v>6.0</v>
      </c>
      <c r="AJ142" s="116" t="n">
        <v>0.8</v>
      </c>
    </row>
    <row r="143" ht="50.0" customHeight="true">
      <c r="A143" s="114" t="s">
        <v>998</v>
      </c>
      <c r="B143" s="114" t="s">
        <v>999</v>
      </c>
      <c r="C143" s="114" t="s">
        <v>1000</v>
      </c>
      <c r="D143" s="114"/>
      <c r="E143" s="115" t="s">
        <v>1001</v>
      </c>
      <c r="F143" s="115" t="s">
        <v>1002</v>
      </c>
      <c r="G143" s="114" t="s">
        <v>1002</v>
      </c>
      <c r="H143" s="116" t="n">
        <v>20.0</v>
      </c>
      <c r="I143" s="116" t="n">
        <v>220.0</v>
      </c>
      <c r="J143" s="116" t="s">
        <v>103</v>
      </c>
      <c r="K143" s="116" t="n">
        <v>180.0</v>
      </c>
      <c r="L143" s="116" t="n">
        <v>4.0</v>
      </c>
      <c r="M143" s="116"/>
      <c r="N143" s="116"/>
      <c r="O143" s="116"/>
      <c r="P143" s="116"/>
      <c r="Q143" s="116"/>
      <c r="R143" s="116"/>
      <c r="S143" s="116"/>
      <c r="T143" s="116"/>
      <c r="U143" s="116" t="s">
        <v>104</v>
      </c>
      <c r="V143" s="118" t="s">
        <v>1003</v>
      </c>
      <c r="W143" s="116" t="s">
        <v>130</v>
      </c>
      <c r="X143" s="116" t="s">
        <v>143</v>
      </c>
      <c r="Y143" s="116" t="s">
        <v>152</v>
      </c>
      <c r="Z143" s="114">
        <f>IF(INDIRECT("Y143")="Clássico","12%",IF(INDIRECT("Y143")="Premium","17%","-"))</f>
      </c>
      <c r="AA143" s="116" t="s">
        <v>109</v>
      </c>
      <c r="AB143" s="116" t="s">
        <v>110</v>
      </c>
      <c r="AC143" s="116" t="n">
        <v>30.0</v>
      </c>
      <c r="AD143" s="116" t="s">
        <v>111</v>
      </c>
      <c r="AE143" s="117" t="s">
        <v>112</v>
      </c>
      <c r="AF143" s="114" t="s">
        <v>1004</v>
      </c>
      <c r="AG143" s="116" t="n">
        <v>10.0</v>
      </c>
      <c r="AH143" s="116" t="n">
        <v>10.0</v>
      </c>
      <c r="AI143" s="116" t="n">
        <v>8.0</v>
      </c>
      <c r="AJ143" s="116" t="n">
        <v>0.5</v>
      </c>
    </row>
    <row r="144" ht="50.0" customHeight="true">
      <c r="A144" s="114" t="s">
        <v>1005</v>
      </c>
      <c r="B144" s="114" t="s">
        <v>1006</v>
      </c>
      <c r="C144" s="114" t="s">
        <v>1007</v>
      </c>
      <c r="D144" s="114"/>
      <c r="E144" s="115" t="s">
        <v>1008</v>
      </c>
      <c r="F144" s="115" t="s">
        <v>1009</v>
      </c>
      <c r="G144" s="114" t="s">
        <v>1009</v>
      </c>
      <c r="H144" s="116" t="n">
        <v>30.0</v>
      </c>
      <c r="I144" s="116" t="n">
        <v>40.0</v>
      </c>
      <c r="J144" s="116" t="s">
        <v>103</v>
      </c>
      <c r="K144" s="116" t="n">
        <v>29.9</v>
      </c>
      <c r="L144" s="116" t="n">
        <v>5.0</v>
      </c>
      <c r="M144" s="116"/>
      <c r="N144" s="116"/>
      <c r="O144" s="116"/>
      <c r="P144" s="116"/>
      <c r="Q144" s="116"/>
      <c r="R144" s="116"/>
      <c r="S144" s="116"/>
      <c r="T144" s="116"/>
      <c r="U144" s="116" t="s">
        <v>104</v>
      </c>
      <c r="V144" s="118" t="s">
        <v>1010</v>
      </c>
      <c r="W144" s="116" t="s">
        <v>130</v>
      </c>
      <c r="X144" s="116" t="s">
        <v>143</v>
      </c>
      <c r="Y144" s="116" t="s">
        <v>108</v>
      </c>
      <c r="Z144" s="114">
        <f>IF(INDIRECT("Y144")="Clássico","12%",IF(INDIRECT("Y144")="Premium","17%","-"))</f>
      </c>
      <c r="AA144" s="116" t="s">
        <v>109</v>
      </c>
      <c r="AB144" s="116" t="s">
        <v>110</v>
      </c>
      <c r="AC144" s="116" t="n">
        <v>30.0</v>
      </c>
      <c r="AD144" s="116" t="s">
        <v>111</v>
      </c>
      <c r="AE144" s="117" t="s">
        <v>112</v>
      </c>
      <c r="AF144" s="114" t="s">
        <v>1011</v>
      </c>
      <c r="AG144" s="116" t="n">
        <v>30.0</v>
      </c>
      <c r="AH144" s="116" t="n">
        <v>20.0</v>
      </c>
      <c r="AI144" s="116" t="n">
        <v>2.0</v>
      </c>
      <c r="AJ144" s="116" t="n">
        <v>0.1</v>
      </c>
    </row>
    <row r="145" ht="50.0" customHeight="true">
      <c r="A145" s="114" t="s">
        <v>1012</v>
      </c>
      <c r="B145" s="114" t="s">
        <v>1013</v>
      </c>
      <c r="C145" s="114" t="s">
        <v>1014</v>
      </c>
      <c r="D145" s="114"/>
      <c r="E145" s="115" t="s">
        <v>1015</v>
      </c>
      <c r="F145" s="115" t="s">
        <v>1016</v>
      </c>
      <c r="G145" s="114" t="s">
        <v>1016</v>
      </c>
      <c r="H145" s="116" t="n">
        <v>8.0</v>
      </c>
      <c r="I145" s="116" t="n">
        <v>140.0</v>
      </c>
      <c r="J145" s="116" t="s">
        <v>103</v>
      </c>
      <c r="K145" s="116" t="n">
        <v>100.0</v>
      </c>
      <c r="L145" s="116" t="n">
        <v>4.0</v>
      </c>
      <c r="M145" s="116"/>
      <c r="N145" s="116"/>
      <c r="O145" s="116"/>
      <c r="P145" s="116"/>
      <c r="Q145" s="116"/>
      <c r="R145" s="116"/>
      <c r="S145" s="116"/>
      <c r="T145" s="116"/>
      <c r="U145" s="116" t="s">
        <v>104</v>
      </c>
      <c r="V145" s="118" t="s">
        <v>1017</v>
      </c>
      <c r="W145" s="116" t="s">
        <v>130</v>
      </c>
      <c r="X145" s="116" t="s">
        <v>143</v>
      </c>
      <c r="Y145" s="116" t="s">
        <v>152</v>
      </c>
      <c r="Z145" s="114">
        <f>IF(INDIRECT("Y145")="Clássico","12%",IF(INDIRECT("Y145")="Premium","17%","-"))</f>
      </c>
      <c r="AA145" s="116" t="s">
        <v>109</v>
      </c>
      <c r="AB145" s="116" t="s">
        <v>110</v>
      </c>
      <c r="AC145" s="116" t="n">
        <v>30.0</v>
      </c>
      <c r="AD145" s="116" t="s">
        <v>111</v>
      </c>
      <c r="AE145" s="117" t="s">
        <v>112</v>
      </c>
      <c r="AF145" s="114" t="s">
        <v>997</v>
      </c>
      <c r="AG145" s="116" t="n">
        <v>10.0</v>
      </c>
      <c r="AH145" s="116" t="n">
        <v>10.0</v>
      </c>
      <c r="AI145" s="116" t="n">
        <v>8.0</v>
      </c>
      <c r="AJ145" s="116" t="n">
        <v>0.1</v>
      </c>
    </row>
    <row r="146" ht="50.0" customHeight="true">
      <c r="A146" s="114" t="s">
        <v>1018</v>
      </c>
      <c r="B146" s="114" t="s">
        <v>1019</v>
      </c>
      <c r="C146" s="114" t="s">
        <v>1020</v>
      </c>
      <c r="D146" s="114"/>
      <c r="E146" s="115" t="s">
        <v>1021</v>
      </c>
      <c r="F146" s="115" t="s">
        <v>1022</v>
      </c>
      <c r="G146" s="114" t="s">
        <v>373</v>
      </c>
      <c r="H146" s="116" t="n">
        <v>3.0</v>
      </c>
      <c r="I146" s="116" t="n">
        <v>65.0</v>
      </c>
      <c r="J146" s="116" t="s">
        <v>103</v>
      </c>
      <c r="K146" s="116" t="n">
        <v>59.9</v>
      </c>
      <c r="L146" s="116" t="n">
        <v>2.0</v>
      </c>
      <c r="M146" s="116"/>
      <c r="N146" s="116"/>
      <c r="O146" s="116"/>
      <c r="P146" s="116"/>
      <c r="Q146" s="116"/>
      <c r="R146" s="116"/>
      <c r="S146" s="116"/>
      <c r="T146" s="116"/>
      <c r="U146" s="116" t="s">
        <v>104</v>
      </c>
      <c r="V146" s="118" t="s">
        <v>1023</v>
      </c>
      <c r="W146" s="116" t="s">
        <v>130</v>
      </c>
      <c r="X146" s="116" t="s">
        <v>143</v>
      </c>
      <c r="Y146" s="116" t="s">
        <v>152</v>
      </c>
      <c r="Z146" s="114">
        <f>IF(INDIRECT("Y146")="Clássico","12%",IF(INDIRECT("Y146")="Premium","17%","-"))</f>
      </c>
      <c r="AA146" s="116" t="s">
        <v>109</v>
      </c>
      <c r="AB146" s="116" t="s">
        <v>110</v>
      </c>
      <c r="AC146" s="116" t="n">
        <v>30.0</v>
      </c>
      <c r="AD146" s="116" t="s">
        <v>111</v>
      </c>
      <c r="AE146" s="117" t="s">
        <v>112</v>
      </c>
      <c r="AF146" s="114" t="s">
        <v>375</v>
      </c>
      <c r="AG146" s="116" t="n">
        <v>20.0</v>
      </c>
      <c r="AH146" s="116" t="n">
        <v>20.0</v>
      </c>
      <c r="AI146" s="116" t="n">
        <v>5.0</v>
      </c>
      <c r="AJ146" s="116" t="n">
        <v>0.3</v>
      </c>
    </row>
    <row r="147" ht="50.0" customHeight="true">
      <c r="A147" s="114" t="s">
        <v>1024</v>
      </c>
      <c r="B147" s="114" t="s">
        <v>1025</v>
      </c>
      <c r="C147" s="114" t="s">
        <v>1026</v>
      </c>
      <c r="D147" s="114"/>
      <c r="E147" s="115" t="s">
        <v>1027</v>
      </c>
      <c r="F147" s="115" t="s">
        <v>1028</v>
      </c>
      <c r="G147" s="114" t="s">
        <v>1028</v>
      </c>
      <c r="H147" s="116" t="n">
        <v>4.0</v>
      </c>
      <c r="I147" s="116" t="n">
        <v>330.0</v>
      </c>
      <c r="J147" s="116" t="s">
        <v>103</v>
      </c>
      <c r="K147" s="116" t="n">
        <v>299.0</v>
      </c>
      <c r="L147" s="116" t="n">
        <v>2.0</v>
      </c>
      <c r="M147" s="116"/>
      <c r="N147" s="116"/>
      <c r="O147" s="116"/>
      <c r="P147" s="116"/>
      <c r="Q147" s="116"/>
      <c r="R147" s="116"/>
      <c r="S147" s="116"/>
      <c r="T147" s="116"/>
      <c r="U147" s="116" t="s">
        <v>104</v>
      </c>
      <c r="V147" s="118" t="s">
        <v>1029</v>
      </c>
      <c r="W147" s="116" t="s">
        <v>130</v>
      </c>
      <c r="X147" s="116" t="s">
        <v>143</v>
      </c>
      <c r="Y147" s="116" t="s">
        <v>152</v>
      </c>
      <c r="Z147" s="114">
        <f>IF(INDIRECT("Y147")="Clássico","11.5%",IF(INDIRECT("Y147")="Premium","16.5%","-"))</f>
      </c>
      <c r="AA147" s="116" t="s">
        <v>109</v>
      </c>
      <c r="AB147" s="116" t="s">
        <v>110</v>
      </c>
      <c r="AC147" s="116" t="n">
        <v>30.0</v>
      </c>
      <c r="AD147" s="116" t="s">
        <v>111</v>
      </c>
      <c r="AE147" s="117" t="s">
        <v>112</v>
      </c>
      <c r="AF147" s="114" t="s">
        <v>1030</v>
      </c>
      <c r="AG147" s="116" t="n">
        <v>10.0</v>
      </c>
      <c r="AH147" s="116" t="n">
        <v>10.0</v>
      </c>
      <c r="AI147" s="116" t="n">
        <v>2.0</v>
      </c>
      <c r="AJ147" s="116" t="n">
        <v>0.1</v>
      </c>
    </row>
    <row r="148" ht="50.0" customHeight="true">
      <c r="A148" s="114" t="s">
        <v>1031</v>
      </c>
      <c r="B148" s="114" t="s">
        <v>1032</v>
      </c>
      <c r="C148" s="114" t="s">
        <v>1033</v>
      </c>
      <c r="D148" s="114"/>
      <c r="E148" s="115" t="s">
        <v>1034</v>
      </c>
      <c r="F148" s="115" t="s">
        <v>1035</v>
      </c>
      <c r="G148" s="114" t="s">
        <v>1035</v>
      </c>
      <c r="H148" s="116" t="n">
        <v>4.0</v>
      </c>
      <c r="I148" s="116" t="n">
        <v>320.0</v>
      </c>
      <c r="J148" s="116" t="s">
        <v>103</v>
      </c>
      <c r="K148" s="116" t="n">
        <v>299.0</v>
      </c>
      <c r="L148" s="116" t="n">
        <v>2.0</v>
      </c>
      <c r="M148" s="116"/>
      <c r="N148" s="116"/>
      <c r="O148" s="116"/>
      <c r="P148" s="116"/>
      <c r="Q148" s="116"/>
      <c r="R148" s="116"/>
      <c r="S148" s="116"/>
      <c r="T148" s="116"/>
      <c r="U148" s="116" t="s">
        <v>104</v>
      </c>
      <c r="V148" s="118" t="s">
        <v>1036</v>
      </c>
      <c r="W148" s="116" t="s">
        <v>130</v>
      </c>
      <c r="X148" s="116" t="s">
        <v>143</v>
      </c>
      <c r="Y148" s="116" t="s">
        <v>152</v>
      </c>
      <c r="Z148" s="114">
        <f>IF(INDIRECT("Y148")="Clássico","11.5%",IF(INDIRECT("Y148")="Premium","16.5%","-"))</f>
      </c>
      <c r="AA148" s="116" t="s">
        <v>109</v>
      </c>
      <c r="AB148" s="116" t="s">
        <v>110</v>
      </c>
      <c r="AC148" s="116" t="n">
        <v>30.0</v>
      </c>
      <c r="AD148" s="116" t="s">
        <v>111</v>
      </c>
      <c r="AE148" s="117" t="s">
        <v>112</v>
      </c>
      <c r="AF148" s="114" t="s">
        <v>1030</v>
      </c>
      <c r="AG148" s="116" t="n">
        <v>10.0</v>
      </c>
      <c r="AH148" s="116" t="n">
        <v>10.0</v>
      </c>
      <c r="AI148" s="116" t="n">
        <v>2.0</v>
      </c>
      <c r="AJ148" s="116" t="n">
        <v>0.1</v>
      </c>
    </row>
    <row r="149" ht="50.0" customHeight="true">
      <c r="A149" s="114" t="s">
        <v>1037</v>
      </c>
      <c r="B149" s="114" t="s">
        <v>1038</v>
      </c>
      <c r="C149" s="114" t="s">
        <v>1039</v>
      </c>
      <c r="D149" s="114"/>
      <c r="E149" s="115" t="s">
        <v>1040</v>
      </c>
      <c r="F149" s="115" t="s">
        <v>1041</v>
      </c>
      <c r="G149" s="114" t="s">
        <v>1041</v>
      </c>
      <c r="H149" s="116" t="n">
        <v>1.0</v>
      </c>
      <c r="I149" s="116" t="n">
        <v>26500.0</v>
      </c>
      <c r="J149" s="116" t="s">
        <v>103</v>
      </c>
      <c r="K149" s="116"/>
      <c r="L149" s="116"/>
      <c r="M149" s="116"/>
      <c r="N149" s="116"/>
      <c r="O149" s="116"/>
      <c r="P149" s="116"/>
      <c r="Q149" s="116"/>
      <c r="R149" s="116"/>
      <c r="S149" s="116"/>
      <c r="T149" s="116"/>
      <c r="U149" s="116" t="s">
        <v>104</v>
      </c>
      <c r="V149" s="118" t="s">
        <v>1042</v>
      </c>
      <c r="W149" s="116" t="s">
        <v>130</v>
      </c>
      <c r="X149" s="116" t="s">
        <v>143</v>
      </c>
      <c r="Y149" s="116" t="s">
        <v>152</v>
      </c>
      <c r="Z149" s="114">
        <f>IF(INDIRECT("Y149")="Clássico","11%",IF(INDIRECT("Y149")="Premium","16%","-"))</f>
      </c>
      <c r="AA149" s="116" t="s">
        <v>109</v>
      </c>
      <c r="AB149" s="116" t="s">
        <v>120</v>
      </c>
      <c r="AC149" s="116" t="n">
        <v>90.0</v>
      </c>
      <c r="AD149" s="116" t="s">
        <v>111</v>
      </c>
      <c r="AE149" s="117" t="s">
        <v>112</v>
      </c>
      <c r="AF149" s="114" t="s">
        <v>1043</v>
      </c>
      <c r="AG149" s="116"/>
      <c r="AH149" s="116"/>
      <c r="AI149" s="116"/>
      <c r="AJ149" s="116"/>
    </row>
    <row r="150" ht="50.0" customHeight="true">
      <c r="A150" s="114" t="s">
        <v>1044</v>
      </c>
      <c r="B150" s="114" t="s">
        <v>1045</v>
      </c>
      <c r="C150" s="114" t="s">
        <v>1046</v>
      </c>
      <c r="D150" s="114"/>
      <c r="E150" s="115" t="s">
        <v>509</v>
      </c>
      <c r="F150" s="115" t="s">
        <v>1047</v>
      </c>
      <c r="G150" s="114" t="s">
        <v>176</v>
      </c>
      <c r="H150" s="116" t="n">
        <v>4.0</v>
      </c>
      <c r="I150" s="116" t="n">
        <v>187.3</v>
      </c>
      <c r="J150" s="116" t="s">
        <v>103</v>
      </c>
      <c r="K150" s="116"/>
      <c r="L150" s="116"/>
      <c r="M150" s="116"/>
      <c r="N150" s="116"/>
      <c r="O150" s="116"/>
      <c r="P150" s="116"/>
      <c r="Q150" s="116"/>
      <c r="R150" s="116"/>
      <c r="S150" s="116"/>
      <c r="T150" s="116"/>
      <c r="U150" s="116" t="s">
        <v>104</v>
      </c>
      <c r="V150" s="118" t="s">
        <v>1048</v>
      </c>
      <c r="W150" s="116" t="s">
        <v>130</v>
      </c>
      <c r="X150" s="116" t="s">
        <v>143</v>
      </c>
      <c r="Y150" s="116" t="s">
        <v>152</v>
      </c>
      <c r="Z150" s="114">
        <f>IF(INDIRECT("Y150")="Clássico","11.5%",IF(INDIRECT("Y150")="Premium","16.5%","-"))</f>
      </c>
      <c r="AA150" s="116" t="s">
        <v>109</v>
      </c>
      <c r="AB150" s="116" t="s">
        <v>110</v>
      </c>
      <c r="AC150" s="116" t="n">
        <v>30.0</v>
      </c>
      <c r="AD150" s="116" t="s">
        <v>111</v>
      </c>
      <c r="AE150" s="117" t="s">
        <v>112</v>
      </c>
      <c r="AF150" s="114" t="s">
        <v>178</v>
      </c>
      <c r="AG150" s="116" t="n">
        <v>34.0</v>
      </c>
      <c r="AH150" s="116" t="n">
        <v>27.0</v>
      </c>
      <c r="AI150" s="116" t="n">
        <v>11.0</v>
      </c>
      <c r="AJ150" s="116" t="n">
        <v>1.61</v>
      </c>
    </row>
    <row r="151" ht="50.0" customHeight="true">
      <c r="A151" s="114" t="s">
        <v>1049</v>
      </c>
      <c r="B151" s="114" t="s">
        <v>1050</v>
      </c>
      <c r="C151" s="114" t="s">
        <v>1051</v>
      </c>
      <c r="D151" s="114"/>
      <c r="E151" s="115" t="s">
        <v>1052</v>
      </c>
      <c r="F151" s="115" t="s">
        <v>1053</v>
      </c>
      <c r="G151" s="114" t="s">
        <v>1054</v>
      </c>
      <c r="H151" s="116" t="n">
        <v>5.0</v>
      </c>
      <c r="I151" s="116" t="n">
        <v>24.9</v>
      </c>
      <c r="J151" s="116" t="s">
        <v>103</v>
      </c>
      <c r="K151" s="116"/>
      <c r="L151" s="116"/>
      <c r="M151" s="116"/>
      <c r="N151" s="116"/>
      <c r="O151" s="116"/>
      <c r="P151" s="116"/>
      <c r="Q151" s="116"/>
      <c r="R151" s="116"/>
      <c r="S151" s="116"/>
      <c r="T151" s="116"/>
      <c r="U151" s="116" t="s">
        <v>104</v>
      </c>
      <c r="V151" s="118" t="s">
        <v>1055</v>
      </c>
      <c r="W151" s="116" t="s">
        <v>106</v>
      </c>
      <c r="X151" s="116" t="s">
        <v>143</v>
      </c>
      <c r="Y151" s="116" t="s">
        <v>152</v>
      </c>
      <c r="Z151" s="114">
        <f>IF(INDIRECT("Y151")="Clássico","12%",IF(INDIRECT("Y151")="Premium","17%","-"))</f>
      </c>
      <c r="AA151" s="116" t="s">
        <v>109</v>
      </c>
      <c r="AB151" s="116" t="s">
        <v>110</v>
      </c>
      <c r="AC151" s="116" t="n">
        <v>30.0</v>
      </c>
      <c r="AD151" s="116" t="s">
        <v>111</v>
      </c>
      <c r="AE151" s="117" t="s">
        <v>112</v>
      </c>
      <c r="AF151" s="114" t="s">
        <v>611</v>
      </c>
      <c r="AG151" s="116" t="n">
        <v>17.0</v>
      </c>
      <c r="AH151" s="116" t="n">
        <v>11.0</v>
      </c>
      <c r="AI151" s="116" t="n">
        <v>8.0</v>
      </c>
      <c r="AJ151" s="116" t="n">
        <v>0.14</v>
      </c>
    </row>
    <row r="152" ht="50.0" customHeight="true">
      <c r="A152" s="114" t="s">
        <v>1056</v>
      </c>
      <c r="B152" s="114" t="s">
        <v>1057</v>
      </c>
      <c r="C152" s="114" t="s">
        <v>1058</v>
      </c>
      <c r="D152" s="114"/>
      <c r="E152" s="115" t="s">
        <v>1059</v>
      </c>
      <c r="F152" s="115" t="s">
        <v>1060</v>
      </c>
      <c r="G152" s="114" t="s">
        <v>192</v>
      </c>
      <c r="H152" s="116" t="n">
        <v>6.0</v>
      </c>
      <c r="I152" s="116" t="n">
        <v>20.0</v>
      </c>
      <c r="J152" s="116" t="s">
        <v>103</v>
      </c>
      <c r="K152" s="116"/>
      <c r="L152" s="116"/>
      <c r="M152" s="116"/>
      <c r="N152" s="116"/>
      <c r="O152" s="116"/>
      <c r="P152" s="116"/>
      <c r="Q152" s="116"/>
      <c r="R152" s="116"/>
      <c r="S152" s="116"/>
      <c r="T152" s="116"/>
      <c r="U152" s="116" t="s">
        <v>104</v>
      </c>
      <c r="V152" s="118" t="s">
        <v>1061</v>
      </c>
      <c r="W152" s="116" t="s">
        <v>106</v>
      </c>
      <c r="X152" s="116" t="s">
        <v>143</v>
      </c>
      <c r="Y152" s="116" t="s">
        <v>108</v>
      </c>
      <c r="Z152" s="114">
        <f>IF(INDIRECT("Y152")="Clássico","12%",IF(INDIRECT("Y152")="Premium","17%","-"))</f>
      </c>
      <c r="AA152" s="116" t="s">
        <v>109</v>
      </c>
      <c r="AB152" s="116" t="s">
        <v>110</v>
      </c>
      <c r="AC152" s="116" t="n">
        <v>30.0</v>
      </c>
      <c r="AD152" s="116" t="s">
        <v>111</v>
      </c>
      <c r="AE152" s="117" t="s">
        <v>112</v>
      </c>
      <c r="AF152" s="114" t="s">
        <v>1062</v>
      </c>
      <c r="AG152" s="116" t="n">
        <v>81.0</v>
      </c>
      <c r="AH152" s="116" t="n">
        <v>32.0</v>
      </c>
      <c r="AI152" s="116" t="n">
        <v>10.0</v>
      </c>
      <c r="AJ152" s="116" t="n">
        <v>0.86</v>
      </c>
    </row>
    <row r="153" ht="50.0" customHeight="true">
      <c r="A153" s="114" t="s">
        <v>475</v>
      </c>
      <c r="B153" s="114" t="s">
        <v>1063</v>
      </c>
      <c r="C153" s="114" t="s">
        <v>477</v>
      </c>
      <c r="D153" s="114"/>
      <c r="E153" s="115" t="s">
        <v>1064</v>
      </c>
      <c r="F153" s="115" t="s">
        <v>1065</v>
      </c>
      <c r="G153" s="114" t="s">
        <v>1066</v>
      </c>
      <c r="H153" s="116" t="n">
        <v>998.0</v>
      </c>
      <c r="I153" s="116" t="n">
        <v>16.99</v>
      </c>
      <c r="J153" s="116" t="s">
        <v>103</v>
      </c>
      <c r="K153" s="116" t="n">
        <v>14.0</v>
      </c>
      <c r="L153" s="116" t="n">
        <v>3.0</v>
      </c>
      <c r="M153" s="116"/>
      <c r="N153" s="116"/>
      <c r="O153" s="116"/>
      <c r="P153" s="116"/>
      <c r="Q153" s="116"/>
      <c r="R153" s="116"/>
      <c r="S153" s="116"/>
      <c r="T153" s="116"/>
      <c r="U153" s="116" t="s">
        <v>104</v>
      </c>
      <c r="V153" s="118" t="s">
        <v>1067</v>
      </c>
      <c r="W153" s="116" t="s">
        <v>106</v>
      </c>
      <c r="X153" s="116" t="s">
        <v>143</v>
      </c>
      <c r="Y153" s="116" t="s">
        <v>108</v>
      </c>
      <c r="Z153" s="114">
        <f>IF(INDIRECT("Y153")="Clássico","14%",IF(INDIRECT("Y153")="Premium","19%","-"))</f>
      </c>
      <c r="AA153" s="116" t="s">
        <v>109</v>
      </c>
      <c r="AB153" s="116" t="s">
        <v>110</v>
      </c>
      <c r="AC153" s="116" t="n">
        <v>30.0</v>
      </c>
      <c r="AD153" s="116" t="s">
        <v>111</v>
      </c>
      <c r="AE153" s="117" t="s">
        <v>112</v>
      </c>
      <c r="AF153" s="114" t="s">
        <v>113</v>
      </c>
      <c r="AG153" s="116" t="n">
        <v>14.0</v>
      </c>
      <c r="AH153" s="116" t="n">
        <v>8.0</v>
      </c>
      <c r="AI153" s="116" t="n">
        <v>6.0</v>
      </c>
      <c r="AJ153" s="116" t="n">
        <v>0.21</v>
      </c>
    </row>
    <row r="154" ht="50.0" customHeight="true">
      <c r="A154" s="114" t="s">
        <v>1068</v>
      </c>
      <c r="B154" s="114" t="s">
        <v>1069</v>
      </c>
      <c r="C154" s="114" t="s">
        <v>1070</v>
      </c>
      <c r="D154" s="114"/>
      <c r="E154" s="115" t="s">
        <v>1071</v>
      </c>
      <c r="F154" s="115" t="s">
        <v>1072</v>
      </c>
      <c r="G154" s="114" t="s">
        <v>1073</v>
      </c>
      <c r="H154" s="116" t="n">
        <v>5.0</v>
      </c>
      <c r="I154" s="116" t="n">
        <v>100.0</v>
      </c>
      <c r="J154" s="116" t="s">
        <v>103</v>
      </c>
      <c r="K154" s="116" t="n">
        <v>60.0</v>
      </c>
      <c r="L154" s="116" t="n">
        <v>2.0</v>
      </c>
      <c r="M154" s="116"/>
      <c r="N154" s="116"/>
      <c r="O154" s="116"/>
      <c r="P154" s="116"/>
      <c r="Q154" s="116"/>
      <c r="R154" s="116"/>
      <c r="S154" s="116"/>
      <c r="T154" s="116"/>
      <c r="U154" s="116" t="s">
        <v>104</v>
      </c>
      <c r="V154" s="118" t="s">
        <v>1074</v>
      </c>
      <c r="W154" s="116" t="s">
        <v>106</v>
      </c>
      <c r="X154" s="116" t="s">
        <v>107</v>
      </c>
      <c r="Y154" s="116" t="s">
        <v>152</v>
      </c>
      <c r="Z154" s="114">
        <f>IF(INDIRECT("Y154")="Clássico","11.5%",IF(INDIRECT("Y154")="Premium","16.5%","-"))</f>
      </c>
      <c r="AA154" s="116" t="s">
        <v>109</v>
      </c>
      <c r="AB154" s="116" t="s">
        <v>110</v>
      </c>
      <c r="AC154" s="116" t="n">
        <v>15.0</v>
      </c>
      <c r="AD154" s="116" t="s">
        <v>111</v>
      </c>
      <c r="AE154" s="117" t="s">
        <v>112</v>
      </c>
      <c r="AF154" s="114" t="s">
        <v>1075</v>
      </c>
      <c r="AG154" s="116" t="n">
        <v>17.0</v>
      </c>
      <c r="AH154" s="116" t="n">
        <v>14.0</v>
      </c>
      <c r="AI154" s="116" t="n">
        <v>5.0</v>
      </c>
      <c r="AJ154" s="116" t="n">
        <v>0.24</v>
      </c>
    </row>
    <row r="155" ht="50.0" customHeight="true">
      <c r="A155" s="114" t="s">
        <v>1076</v>
      </c>
      <c r="B155" s="114" t="s">
        <v>1077</v>
      </c>
      <c r="C155" s="114" t="s">
        <v>1078</v>
      </c>
      <c r="D155" s="114"/>
      <c r="E155" s="115" t="s">
        <v>1079</v>
      </c>
      <c r="F155" s="115" t="s">
        <v>1080</v>
      </c>
      <c r="G155" s="114" t="s">
        <v>411</v>
      </c>
      <c r="H155" s="116" t="n">
        <v>1.0</v>
      </c>
      <c r="I155" s="116" t="n">
        <v>35.0</v>
      </c>
      <c r="J155" s="116" t="s">
        <v>103</v>
      </c>
      <c r="K155" s="116" t="n">
        <v>29.9</v>
      </c>
      <c r="L155" s="116" t="n">
        <v>2.0</v>
      </c>
      <c r="M155" s="116"/>
      <c r="N155" s="116"/>
      <c r="O155" s="116"/>
      <c r="P155" s="116"/>
      <c r="Q155" s="116"/>
      <c r="R155" s="116"/>
      <c r="S155" s="116"/>
      <c r="T155" s="116"/>
      <c r="U155" s="116" t="s">
        <v>104</v>
      </c>
      <c r="V155" s="118" t="s">
        <v>1081</v>
      </c>
      <c r="W155" s="116" t="s">
        <v>106</v>
      </c>
      <c r="X155" s="116" t="s">
        <v>107</v>
      </c>
      <c r="Y155" s="116" t="s">
        <v>152</v>
      </c>
      <c r="Z155" s="114">
        <f>IF(INDIRECT("Y155")="Clássico","11.5%",IF(INDIRECT("Y155")="Premium","16.5%","-"))</f>
      </c>
      <c r="AA155" s="116" t="s">
        <v>109</v>
      </c>
      <c r="AB155" s="116" t="s">
        <v>110</v>
      </c>
      <c r="AC155" s="116" t="n">
        <v>30.0</v>
      </c>
      <c r="AD155" s="116" t="s">
        <v>111</v>
      </c>
      <c r="AE155" s="117" t="s">
        <v>112</v>
      </c>
      <c r="AF155" s="114" t="s">
        <v>413</v>
      </c>
      <c r="AG155" s="116" t="n">
        <v>27.0</v>
      </c>
      <c r="AH155" s="116" t="n">
        <v>19.0</v>
      </c>
      <c r="AI155" s="116" t="n">
        <v>12.0</v>
      </c>
      <c r="AJ155" s="116" t="n">
        <v>0.4</v>
      </c>
    </row>
    <row r="156" ht="50.0" customHeight="true">
      <c r="A156" s="114" t="s">
        <v>1082</v>
      </c>
      <c r="B156" s="114" t="s">
        <v>1083</v>
      </c>
      <c r="C156" s="114" t="s">
        <v>1084</v>
      </c>
      <c r="D156" s="114"/>
      <c r="E156" s="115" t="s">
        <v>1085</v>
      </c>
      <c r="F156" s="115" t="s">
        <v>1086</v>
      </c>
      <c r="G156" s="114" t="s">
        <v>1086</v>
      </c>
      <c r="H156" s="116" t="n">
        <v>50.0</v>
      </c>
      <c r="I156" s="116" t="n">
        <v>840.0</v>
      </c>
      <c r="J156" s="116" t="s">
        <v>103</v>
      </c>
      <c r="K156" s="116" t="n">
        <v>530.0</v>
      </c>
      <c r="L156" s="116" t="n">
        <v>3.0</v>
      </c>
      <c r="M156" s="116"/>
      <c r="N156" s="116"/>
      <c r="O156" s="116"/>
      <c r="P156" s="116"/>
      <c r="Q156" s="116"/>
      <c r="R156" s="116"/>
      <c r="S156" s="116"/>
      <c r="T156" s="116"/>
      <c r="U156" s="116" t="s">
        <v>104</v>
      </c>
      <c r="V156" s="118" t="s">
        <v>1087</v>
      </c>
      <c r="W156" s="116" t="s">
        <v>130</v>
      </c>
      <c r="X156" s="116" t="s">
        <v>107</v>
      </c>
      <c r="Y156" s="116" t="s">
        <v>152</v>
      </c>
      <c r="Z156" s="114">
        <f>IF(INDIRECT("Y156")="Clássico","13%",IF(INDIRECT("Y156")="Premium","18%","-"))</f>
      </c>
      <c r="AA156" s="116" t="s">
        <v>109</v>
      </c>
      <c r="AB156" s="116" t="s">
        <v>110</v>
      </c>
      <c r="AC156" s="116" t="n">
        <v>30.0</v>
      </c>
      <c r="AD156" s="116" t="s">
        <v>111</v>
      </c>
      <c r="AE156" s="117" t="s">
        <v>112</v>
      </c>
      <c r="AF156" s="114" t="s">
        <v>624</v>
      </c>
      <c r="AG156" s="116" t="n">
        <v>31.0</v>
      </c>
      <c r="AH156" s="116" t="n">
        <v>25.0</v>
      </c>
      <c r="AI156" s="116" t="n">
        <v>12.0</v>
      </c>
      <c r="AJ156" s="116" t="n">
        <v>0.38</v>
      </c>
    </row>
    <row r="157" ht="50.0" customHeight="true">
      <c r="A157" s="114" t="s">
        <v>597</v>
      </c>
      <c r="B157" s="114" t="s">
        <v>1088</v>
      </c>
      <c r="C157" s="114" t="s">
        <v>1089</v>
      </c>
      <c r="D157" s="114"/>
      <c r="E157" s="115" t="s">
        <v>1090</v>
      </c>
      <c r="F157" s="115" t="s">
        <v>601</v>
      </c>
      <c r="G157" s="114" t="s">
        <v>701</v>
      </c>
      <c r="H157" s="116" t="n">
        <v>1000.0</v>
      </c>
      <c r="I157" s="116" t="n">
        <v>110.0</v>
      </c>
      <c r="J157" s="116" t="s">
        <v>103</v>
      </c>
      <c r="K157" s="116"/>
      <c r="L157" s="116"/>
      <c r="M157" s="116"/>
      <c r="N157" s="116"/>
      <c r="O157" s="116"/>
      <c r="P157" s="116"/>
      <c r="Q157" s="116"/>
      <c r="R157" s="116"/>
      <c r="S157" s="116"/>
      <c r="T157" s="116"/>
      <c r="U157" s="116" t="s">
        <v>104</v>
      </c>
      <c r="V157" s="118" t="s">
        <v>603</v>
      </c>
      <c r="W157" s="116" t="s">
        <v>130</v>
      </c>
      <c r="X157" s="116" t="s">
        <v>107</v>
      </c>
      <c r="Y157" s="116" t="s">
        <v>152</v>
      </c>
      <c r="Z157" s="114">
        <f>IF(INDIRECT("Y157")="Clássico","14%",IF(INDIRECT("Y157")="Premium","19%","-"))</f>
      </c>
      <c r="AA157" s="116" t="s">
        <v>109</v>
      </c>
      <c r="AB157" s="116" t="s">
        <v>110</v>
      </c>
      <c r="AC157" s="116" t="n">
        <v>30.0</v>
      </c>
      <c r="AD157" s="116" t="s">
        <v>111</v>
      </c>
      <c r="AE157" s="117" t="s">
        <v>112</v>
      </c>
      <c r="AF157" s="114" t="s">
        <v>113</v>
      </c>
      <c r="AG157" s="116" t="n">
        <v>21.0</v>
      </c>
      <c r="AH157" s="116" t="n">
        <v>18.0</v>
      </c>
      <c r="AI157" s="116" t="n">
        <v>6.0</v>
      </c>
      <c r="AJ157" s="116" t="n">
        <v>0.22</v>
      </c>
    </row>
    <row r="158" ht="50.0" customHeight="true">
      <c r="A158" s="114" t="s">
        <v>696</v>
      </c>
      <c r="B158" s="114" t="s">
        <v>1091</v>
      </c>
      <c r="C158" s="114" t="s">
        <v>1092</v>
      </c>
      <c r="D158" s="114"/>
      <c r="E158" s="115" t="s">
        <v>1093</v>
      </c>
      <c r="F158" s="115" t="s">
        <v>700</v>
      </c>
      <c r="G158" s="114" t="s">
        <v>602</v>
      </c>
      <c r="H158" s="116" t="n">
        <v>1000.0</v>
      </c>
      <c r="I158" s="116" t="n">
        <v>192.14</v>
      </c>
      <c r="J158" s="116" t="s">
        <v>103</v>
      </c>
      <c r="K158" s="116"/>
      <c r="L158" s="116"/>
      <c r="M158" s="116"/>
      <c r="N158" s="116"/>
      <c r="O158" s="116"/>
      <c r="P158" s="116"/>
      <c r="Q158" s="116"/>
      <c r="R158" s="116"/>
      <c r="S158" s="116"/>
      <c r="T158" s="116"/>
      <c r="U158" s="116" t="s">
        <v>104</v>
      </c>
      <c r="V158" s="118" t="s">
        <v>702</v>
      </c>
      <c r="W158" s="116" t="s">
        <v>130</v>
      </c>
      <c r="X158" s="116" t="s">
        <v>107</v>
      </c>
      <c r="Y158" s="116" t="s">
        <v>152</v>
      </c>
      <c r="Z158" s="114">
        <f>IF(INDIRECT("Y158")="Clássico","14%",IF(INDIRECT("Y158")="Premium","19%","-"))</f>
      </c>
      <c r="AA158" s="116" t="s">
        <v>109</v>
      </c>
      <c r="AB158" s="116" t="s">
        <v>110</v>
      </c>
      <c r="AC158" s="116" t="n">
        <v>30.0</v>
      </c>
      <c r="AD158" s="116" t="s">
        <v>111</v>
      </c>
      <c r="AE158" s="117" t="s">
        <v>112</v>
      </c>
      <c r="AF158" s="114" t="s">
        <v>113</v>
      </c>
      <c r="AG158" s="116" t="n">
        <v>21.0</v>
      </c>
      <c r="AH158" s="116" t="n">
        <v>18.0</v>
      </c>
      <c r="AI158" s="116" t="n">
        <v>5.0</v>
      </c>
      <c r="AJ158" s="116" t="n">
        <v>0.27</v>
      </c>
    </row>
    <row r="159" ht="50.0" customHeight="true">
      <c r="A159" s="114" t="s">
        <v>1094</v>
      </c>
      <c r="B159" s="114" t="s">
        <v>1095</v>
      </c>
      <c r="C159" s="114" t="s">
        <v>1096</v>
      </c>
      <c r="D159" s="114"/>
      <c r="E159" s="115" t="s">
        <v>1097</v>
      </c>
      <c r="F159" s="115" t="s">
        <v>1098</v>
      </c>
      <c r="G159" s="114" t="s">
        <v>192</v>
      </c>
      <c r="H159" s="116" t="n">
        <v>3.0</v>
      </c>
      <c r="I159" s="116" t="n">
        <v>189.9</v>
      </c>
      <c r="J159" s="116" t="s">
        <v>103</v>
      </c>
      <c r="K159" s="116" t="n">
        <v>186.0</v>
      </c>
      <c r="L159" s="116" t="n">
        <v>2.0</v>
      </c>
      <c r="M159" s="116"/>
      <c r="N159" s="116"/>
      <c r="O159" s="116"/>
      <c r="P159" s="116"/>
      <c r="Q159" s="116"/>
      <c r="R159" s="116"/>
      <c r="S159" s="116"/>
      <c r="T159" s="116"/>
      <c r="U159" s="116" t="s">
        <v>104</v>
      </c>
      <c r="V159" s="118" t="s">
        <v>1099</v>
      </c>
      <c r="W159" s="116" t="s">
        <v>130</v>
      </c>
      <c r="X159" s="116" t="s">
        <v>107</v>
      </c>
      <c r="Y159" s="116" t="s">
        <v>152</v>
      </c>
      <c r="Z159" s="114">
        <f>IF(INDIRECT("Y159")="Clássico","12%",IF(INDIRECT("Y159")="Premium","17%","-"))</f>
      </c>
      <c r="AA159" s="116" t="s">
        <v>109</v>
      </c>
      <c r="AB159" s="116" t="s">
        <v>110</v>
      </c>
      <c r="AC159" s="116" t="n">
        <v>30.0</v>
      </c>
      <c r="AD159" s="116" t="s">
        <v>111</v>
      </c>
      <c r="AE159" s="117" t="s">
        <v>112</v>
      </c>
      <c r="AF159" s="114" t="s">
        <v>144</v>
      </c>
      <c r="AG159" s="116" t="n">
        <v>26.0</v>
      </c>
      <c r="AH159" s="116" t="n">
        <v>20.0</v>
      </c>
      <c r="AI159" s="116" t="n">
        <v>12.0</v>
      </c>
      <c r="AJ159" s="116" t="n">
        <v>0.7</v>
      </c>
    </row>
    <row r="160" ht="50.0" customHeight="true">
      <c r="A160" s="114" t="s">
        <v>1100</v>
      </c>
      <c r="B160" s="114" t="s">
        <v>1101</v>
      </c>
      <c r="C160" s="114" t="s">
        <v>1102</v>
      </c>
      <c r="D160" s="114"/>
      <c r="E160" s="115" t="s">
        <v>1103</v>
      </c>
      <c r="F160" s="115" t="s">
        <v>1104</v>
      </c>
      <c r="G160" s="114" t="s">
        <v>1105</v>
      </c>
      <c r="H160" s="116" t="n">
        <v>1.0</v>
      </c>
      <c r="I160" s="116" t="n">
        <v>999.0</v>
      </c>
      <c r="J160" s="116" t="s">
        <v>103</v>
      </c>
      <c r="K160" s="116"/>
      <c r="L160" s="116"/>
      <c r="M160" s="116"/>
      <c r="N160" s="116"/>
      <c r="O160" s="116"/>
      <c r="P160" s="116"/>
      <c r="Q160" s="116"/>
      <c r="R160" s="116"/>
      <c r="S160" s="116"/>
      <c r="T160" s="116"/>
      <c r="U160" s="116" t="s">
        <v>104</v>
      </c>
      <c r="V160" s="118" t="s">
        <v>1106</v>
      </c>
      <c r="W160" s="116" t="s">
        <v>130</v>
      </c>
      <c r="X160" s="116" t="s">
        <v>107</v>
      </c>
      <c r="Y160" s="116" t="s">
        <v>152</v>
      </c>
      <c r="Z160" s="114">
        <f>IF(INDIRECT("Y160")="Clássico","11.5%",IF(INDIRECT("Y160")="Premium","16.5%","-"))</f>
      </c>
      <c r="AA160" s="116" t="s">
        <v>109</v>
      </c>
      <c r="AB160" s="116" t="s">
        <v>686</v>
      </c>
      <c r="AC160" s="116" t="n">
        <v>0.0</v>
      </c>
      <c r="AD160" s="116" t="s">
        <v>22</v>
      </c>
      <c r="AE160" s="117" t="s">
        <v>112</v>
      </c>
      <c r="AF160" s="114" t="s">
        <v>1107</v>
      </c>
      <c r="AG160" s="116" t="n">
        <v>117.0</v>
      </c>
      <c r="AH160" s="116" t="n">
        <v>17.0</v>
      </c>
      <c r="AI160" s="116" t="n">
        <v>10.0</v>
      </c>
      <c r="AJ160" s="116" t="n">
        <v>0.36</v>
      </c>
    </row>
    <row r="161" ht="50.0" customHeight="true">
      <c r="A161" s="114" t="s">
        <v>1108</v>
      </c>
      <c r="B161" s="114" t="s">
        <v>1109</v>
      </c>
      <c r="C161" s="114" t="s">
        <v>1110</v>
      </c>
      <c r="D161" s="114"/>
      <c r="E161" s="115" t="s">
        <v>1111</v>
      </c>
      <c r="F161" s="115" t="s">
        <v>1112</v>
      </c>
      <c r="G161" s="114" t="s">
        <v>761</v>
      </c>
      <c r="H161" s="116" t="n">
        <v>2.0</v>
      </c>
      <c r="I161" s="116" t="n">
        <v>329.9</v>
      </c>
      <c r="J161" s="116" t="s">
        <v>103</v>
      </c>
      <c r="K161" s="116" t="n">
        <v>290.0</v>
      </c>
      <c r="L161" s="116" t="n">
        <v>2.0</v>
      </c>
      <c r="M161" s="116"/>
      <c r="N161" s="116"/>
      <c r="O161" s="116"/>
      <c r="P161" s="116"/>
      <c r="Q161" s="116"/>
      <c r="R161" s="116"/>
      <c r="S161" s="116"/>
      <c r="T161" s="116"/>
      <c r="U161" s="116" t="s">
        <v>104</v>
      </c>
      <c r="V161" s="118" t="s">
        <v>1113</v>
      </c>
      <c r="W161" s="116" t="s">
        <v>130</v>
      </c>
      <c r="X161" s="116" t="s">
        <v>107</v>
      </c>
      <c r="Y161" s="116" t="s">
        <v>152</v>
      </c>
      <c r="Z161" s="114">
        <f>IF(INDIRECT("Y161")="Clássico","12%",IF(INDIRECT("Y161")="Premium","17%","-"))</f>
      </c>
      <c r="AA161" s="116" t="s">
        <v>109</v>
      </c>
      <c r="AB161" s="116" t="s">
        <v>686</v>
      </c>
      <c r="AC161" s="116" t="n">
        <v>0.0</v>
      </c>
      <c r="AD161" s="116" t="s">
        <v>22</v>
      </c>
      <c r="AE161" s="117" t="s">
        <v>112</v>
      </c>
      <c r="AF161" s="114" t="s">
        <v>1114</v>
      </c>
      <c r="AG161" s="116" t="n">
        <v>28.0</v>
      </c>
      <c r="AH161" s="116" t="n">
        <v>14.0</v>
      </c>
      <c r="AI161" s="116" t="n">
        <v>10.0</v>
      </c>
      <c r="AJ161" s="116" t="n">
        <v>0.66</v>
      </c>
    </row>
    <row r="162" ht="50.0" customHeight="true">
      <c r="A162" s="114" t="s">
        <v>1115</v>
      </c>
      <c r="B162" s="114" t="s">
        <v>1116</v>
      </c>
      <c r="C162" s="114" t="s">
        <v>1117</v>
      </c>
      <c r="D162" s="114"/>
      <c r="E162" s="115" t="s">
        <v>1118</v>
      </c>
      <c r="F162" s="115" t="s">
        <v>1119</v>
      </c>
      <c r="G162" s="114" t="s">
        <v>1119</v>
      </c>
      <c r="H162" s="116" t="n">
        <v>1.0</v>
      </c>
      <c r="I162" s="116" t="n">
        <v>150.0</v>
      </c>
      <c r="J162" s="116" t="s">
        <v>103</v>
      </c>
      <c r="K162" s="116"/>
      <c r="L162" s="116"/>
      <c r="M162" s="116"/>
      <c r="N162" s="116"/>
      <c r="O162" s="116"/>
      <c r="P162" s="116"/>
      <c r="Q162" s="116"/>
      <c r="R162" s="116"/>
      <c r="S162" s="116"/>
      <c r="T162" s="116"/>
      <c r="U162" s="116" t="s">
        <v>104</v>
      </c>
      <c r="V162" s="118" t="s">
        <v>1120</v>
      </c>
      <c r="W162" s="116" t="s">
        <v>130</v>
      </c>
      <c r="X162" s="116" t="s">
        <v>107</v>
      </c>
      <c r="Y162" s="116" t="s">
        <v>108</v>
      </c>
      <c r="Z162" s="114">
        <f>IF(INDIRECT("Y162")="Clássico","13%",IF(INDIRECT("Y162")="Premium","18%","-"))</f>
      </c>
      <c r="AA162" s="116" t="s">
        <v>109</v>
      </c>
      <c r="AB162" s="116" t="s">
        <v>110</v>
      </c>
      <c r="AC162" s="116" t="n">
        <v>30.0</v>
      </c>
      <c r="AD162" s="116" t="s">
        <v>111</v>
      </c>
      <c r="AE162" s="117" t="s">
        <v>112</v>
      </c>
      <c r="AF162" s="114" t="s">
        <v>624</v>
      </c>
      <c r="AG162" s="116" t="n">
        <v>23.0</v>
      </c>
      <c r="AH162" s="116" t="n">
        <v>15.0</v>
      </c>
      <c r="AI162" s="116" t="n">
        <v>7.0</v>
      </c>
      <c r="AJ162" s="116" t="n">
        <v>0.3</v>
      </c>
    </row>
    <row r="163" ht="50.0" customHeight="true">
      <c r="A163" s="114" t="s">
        <v>1121</v>
      </c>
      <c r="B163" s="114" t="s">
        <v>1122</v>
      </c>
      <c r="C163" s="114" t="s">
        <v>1123</v>
      </c>
      <c r="D163" s="114"/>
      <c r="E163" s="115" t="s">
        <v>1124</v>
      </c>
      <c r="F163" s="115" t="s">
        <v>1125</v>
      </c>
      <c r="G163" s="114" t="s">
        <v>1126</v>
      </c>
      <c r="H163" s="116" t="n">
        <v>31.0</v>
      </c>
      <c r="I163" s="116" t="n">
        <v>42.0</v>
      </c>
      <c r="J163" s="116" t="s">
        <v>103</v>
      </c>
      <c r="K163" s="116" t="n">
        <v>37.9</v>
      </c>
      <c r="L163" s="116" t="n">
        <v>2.0</v>
      </c>
      <c r="M163" s="116"/>
      <c r="N163" s="116"/>
      <c r="O163" s="116"/>
      <c r="P163" s="116"/>
      <c r="Q163" s="116"/>
      <c r="R163" s="116"/>
      <c r="S163" s="116"/>
      <c r="T163" s="116"/>
      <c r="U163" s="116" t="s">
        <v>104</v>
      </c>
      <c r="V163" s="118" t="s">
        <v>1127</v>
      </c>
      <c r="W163" s="116" t="s">
        <v>106</v>
      </c>
      <c r="X163" s="116" t="s">
        <v>107</v>
      </c>
      <c r="Y163" s="116" t="s">
        <v>108</v>
      </c>
      <c r="Z163" s="114">
        <f>IF(INDIRECT("Y163")="Clássico","11%",IF(INDIRECT("Y163")="Premium","16%","-"))</f>
      </c>
      <c r="AA163" s="116" t="s">
        <v>109</v>
      </c>
      <c r="AB163" s="116" t="s">
        <v>110</v>
      </c>
      <c r="AC163" s="116" t="n">
        <v>30.0</v>
      </c>
      <c r="AD163" s="116" t="s">
        <v>111</v>
      </c>
      <c r="AE163" s="117" t="s">
        <v>112</v>
      </c>
      <c r="AF163" s="114" t="s">
        <v>1128</v>
      </c>
      <c r="AG163" s="116" t="n">
        <v>24.0</v>
      </c>
      <c r="AH163" s="116" t="n">
        <v>18.0</v>
      </c>
      <c r="AI163" s="116" t="n">
        <v>12.0</v>
      </c>
      <c r="AJ163" s="116" t="n">
        <v>0.63</v>
      </c>
    </row>
    <row r="164" ht="50.0" customHeight="true">
      <c r="A164" s="114" t="s">
        <v>1129</v>
      </c>
      <c r="B164" s="114" t="s">
        <v>1130</v>
      </c>
      <c r="C164" s="114" t="s">
        <v>1131</v>
      </c>
      <c r="D164" s="114"/>
      <c r="E164" s="115" t="s">
        <v>1132</v>
      </c>
      <c r="F164" s="115" t="s">
        <v>1133</v>
      </c>
      <c r="G164" s="114" t="s">
        <v>1133</v>
      </c>
      <c r="H164" s="116" t="n">
        <v>25.0</v>
      </c>
      <c r="I164" s="116" t="n">
        <v>130.0</v>
      </c>
      <c r="J164" s="116" t="s">
        <v>103</v>
      </c>
      <c r="K164" s="116" t="n">
        <v>150.0</v>
      </c>
      <c r="L164" s="116" t="n">
        <v>2.0</v>
      </c>
      <c r="M164" s="116"/>
      <c r="N164" s="116"/>
      <c r="O164" s="116"/>
      <c r="P164" s="116"/>
      <c r="Q164" s="116"/>
      <c r="R164" s="116"/>
      <c r="S164" s="116"/>
      <c r="T164" s="116"/>
      <c r="U164" s="114" t="s">
        <v>104</v>
      </c>
      <c r="V164" s="118" t="s">
        <v>1134</v>
      </c>
      <c r="W164" s="116" t="s">
        <v>130</v>
      </c>
      <c r="X164" s="116" t="s">
        <v>107</v>
      </c>
      <c r="Y164" s="116" t="s">
        <v>152</v>
      </c>
      <c r="Z164" s="114">
        <f>IF(INDIRECT("Y164")="Clássico","13%",IF(INDIRECT("Y164")="Premium","18%","-"))</f>
      </c>
      <c r="AA164" s="116" t="s">
        <v>109</v>
      </c>
      <c r="AB164" s="116" t="s">
        <v>110</v>
      </c>
      <c r="AC164" s="116" t="n">
        <v>15.0</v>
      </c>
      <c r="AD164" s="116" t="s">
        <v>111</v>
      </c>
      <c r="AE164" s="117" t="s">
        <v>112</v>
      </c>
      <c r="AF164" s="114" t="s">
        <v>1135</v>
      </c>
      <c r="AG164" s="116" t="n">
        <v>43.0</v>
      </c>
      <c r="AH164" s="116" t="n">
        <v>26.0</v>
      </c>
      <c r="AI164" s="116" t="n">
        <v>9.0</v>
      </c>
      <c r="AJ164" s="116" t="n">
        <v>0.6</v>
      </c>
    </row>
    <row r="165" ht="50.0" customHeight="true">
      <c r="A165" s="114" t="s">
        <v>1136</v>
      </c>
      <c r="B165" s="114" t="s">
        <v>1137</v>
      </c>
      <c r="C165" s="114" t="s">
        <v>1138</v>
      </c>
      <c r="D165" s="114"/>
      <c r="E165" s="115" t="s">
        <v>1139</v>
      </c>
      <c r="F165" s="115" t="s">
        <v>1140</v>
      </c>
      <c r="G165" s="114" t="s">
        <v>419</v>
      </c>
      <c r="H165" s="116" t="n">
        <v>15000.0</v>
      </c>
      <c r="I165" s="116" t="n">
        <v>32.0</v>
      </c>
      <c r="J165" s="116" t="s">
        <v>103</v>
      </c>
      <c r="K165" s="116" t="n">
        <v>27.9</v>
      </c>
      <c r="L165" s="116" t="n">
        <v>2.0</v>
      </c>
      <c r="M165" s="116"/>
      <c r="N165" s="116"/>
      <c r="O165" s="116"/>
      <c r="P165" s="116"/>
      <c r="Q165" s="116"/>
      <c r="R165" s="116"/>
      <c r="S165" s="116"/>
      <c r="T165" s="116"/>
      <c r="U165" s="116" t="s">
        <v>104</v>
      </c>
      <c r="V165" s="118" t="s">
        <v>1141</v>
      </c>
      <c r="W165" s="116" t="s">
        <v>106</v>
      </c>
      <c r="X165" s="116" t="s">
        <v>107</v>
      </c>
      <c r="Y165" s="116" t="s">
        <v>108</v>
      </c>
      <c r="Z165" s="114">
        <f>IF(INDIRECT("Y165")="Clássico","13%",IF(INDIRECT("Y165")="Premium","18%","-"))</f>
      </c>
      <c r="AA165" s="116" t="s">
        <v>109</v>
      </c>
      <c r="AB165" s="116" t="s">
        <v>110</v>
      </c>
      <c r="AC165" s="116" t="n">
        <v>30.0</v>
      </c>
      <c r="AD165" s="116" t="s">
        <v>111</v>
      </c>
      <c r="AE165" s="117" t="s">
        <v>112</v>
      </c>
      <c r="AF165" s="114" t="s">
        <v>841</v>
      </c>
      <c r="AG165" s="116" t="n">
        <v>18.0</v>
      </c>
      <c r="AH165" s="116" t="n">
        <v>15.0</v>
      </c>
      <c r="AI165" s="116" t="n">
        <v>4.0</v>
      </c>
      <c r="AJ165" s="116" t="n">
        <v>0.35</v>
      </c>
    </row>
    <row r="166" ht="50.0" customHeight="true">
      <c r="A166" s="114" t="s">
        <v>1142</v>
      </c>
      <c r="B166" s="114" t="s">
        <v>1143</v>
      </c>
      <c r="C166" s="114" t="s">
        <v>1144</v>
      </c>
      <c r="D166" s="114"/>
      <c r="E166" s="115" t="s">
        <v>870</v>
      </c>
      <c r="F166" s="115" t="s">
        <v>1145</v>
      </c>
      <c r="G166" s="114" t="s">
        <v>419</v>
      </c>
      <c r="H166" s="116" t="n">
        <v>5000.0</v>
      </c>
      <c r="I166" s="116" t="n">
        <v>56.0</v>
      </c>
      <c r="J166" s="116" t="s">
        <v>103</v>
      </c>
      <c r="K166" s="116" t="n">
        <v>45.0</v>
      </c>
      <c r="L166" s="116" t="n">
        <v>2.0</v>
      </c>
      <c r="M166" s="116"/>
      <c r="N166" s="116"/>
      <c r="O166" s="116"/>
      <c r="P166" s="116"/>
      <c r="Q166" s="116"/>
      <c r="R166" s="116"/>
      <c r="S166" s="116"/>
      <c r="T166" s="116"/>
      <c r="U166" s="116" t="s">
        <v>104</v>
      </c>
      <c r="V166" s="118" t="s">
        <v>1146</v>
      </c>
      <c r="W166" s="116" t="s">
        <v>106</v>
      </c>
      <c r="X166" s="116" t="s">
        <v>107</v>
      </c>
      <c r="Y166" s="116" t="s">
        <v>108</v>
      </c>
      <c r="Z166" s="114">
        <f>IF(INDIRECT("Y166")="Clássico","13%",IF(INDIRECT("Y166")="Premium","18%","-"))</f>
      </c>
      <c r="AA166" s="116" t="s">
        <v>109</v>
      </c>
      <c r="AB166" s="116" t="s">
        <v>110</v>
      </c>
      <c r="AC166" s="116" t="n">
        <v>30.0</v>
      </c>
      <c r="AD166" s="116" t="s">
        <v>111</v>
      </c>
      <c r="AE166" s="117" t="s">
        <v>112</v>
      </c>
      <c r="AF166" s="114" t="s">
        <v>841</v>
      </c>
      <c r="AG166" s="116" t="n">
        <v>17.0</v>
      </c>
      <c r="AH166" s="116" t="n">
        <v>13.0</v>
      </c>
      <c r="AI166" s="116" t="n">
        <v>4.0</v>
      </c>
      <c r="AJ166" s="116" t="n">
        <v>0.3</v>
      </c>
    </row>
    <row r="167" ht="50.0" customHeight="true">
      <c r="A167" s="114" t="s">
        <v>1147</v>
      </c>
      <c r="B167" s="114" t="s">
        <v>1148</v>
      </c>
      <c r="C167" s="114" t="s">
        <v>1149</v>
      </c>
      <c r="D167" s="114"/>
      <c r="E167" s="115" t="s">
        <v>876</v>
      </c>
      <c r="F167" s="115" t="s">
        <v>1150</v>
      </c>
      <c r="G167" s="114" t="s">
        <v>419</v>
      </c>
      <c r="H167" s="116" t="n">
        <v>2000.0</v>
      </c>
      <c r="I167" s="116" t="n">
        <v>102.0</v>
      </c>
      <c r="J167" s="116" t="s">
        <v>103</v>
      </c>
      <c r="K167" s="116" t="n">
        <v>89.9</v>
      </c>
      <c r="L167" s="116" t="n">
        <v>2.0</v>
      </c>
      <c r="M167" s="116"/>
      <c r="N167" s="116"/>
      <c r="O167" s="116"/>
      <c r="P167" s="116"/>
      <c r="Q167" s="116"/>
      <c r="R167" s="116"/>
      <c r="S167" s="116"/>
      <c r="T167" s="116"/>
      <c r="U167" s="116" t="s">
        <v>104</v>
      </c>
      <c r="V167" s="118" t="s">
        <v>840</v>
      </c>
      <c r="W167" s="116" t="s">
        <v>130</v>
      </c>
      <c r="X167" s="116" t="s">
        <v>107</v>
      </c>
      <c r="Y167" s="116" t="s">
        <v>108</v>
      </c>
      <c r="Z167" s="114">
        <f>IF(INDIRECT("Y167")="Clássico","13%",IF(INDIRECT("Y167")="Premium","18%","-"))</f>
      </c>
      <c r="AA167" s="116" t="s">
        <v>109</v>
      </c>
      <c r="AB167" s="116" t="s">
        <v>110</v>
      </c>
      <c r="AC167" s="116" t="n">
        <v>30.0</v>
      </c>
      <c r="AD167" s="116" t="s">
        <v>111</v>
      </c>
      <c r="AE167" s="117" t="s">
        <v>112</v>
      </c>
      <c r="AF167" s="114" t="s">
        <v>841</v>
      </c>
      <c r="AG167" s="116" t="n">
        <v>21.0</v>
      </c>
      <c r="AH167" s="116" t="n">
        <v>15.0</v>
      </c>
      <c r="AI167" s="116" t="n">
        <v>4.0</v>
      </c>
      <c r="AJ167" s="116" t="n">
        <v>0.56</v>
      </c>
    </row>
    <row r="168" ht="50.0" customHeight="true">
      <c r="A168" s="114" t="s">
        <v>1151</v>
      </c>
      <c r="B168" s="114" t="s">
        <v>1152</v>
      </c>
      <c r="C168" s="114" t="s">
        <v>1153</v>
      </c>
      <c r="D168" s="114"/>
      <c r="E168" s="115"/>
      <c r="F168" s="115" t="s">
        <v>1154</v>
      </c>
      <c r="G168" s="114" t="s">
        <v>1154</v>
      </c>
      <c r="H168" s="116" t="n">
        <v>25.0</v>
      </c>
      <c r="I168" s="116" t="n">
        <v>550.0</v>
      </c>
      <c r="J168" s="116" t="s">
        <v>103</v>
      </c>
      <c r="K168" s="116" t="n">
        <v>350.0</v>
      </c>
      <c r="L168" s="116" t="n">
        <v>2.0</v>
      </c>
      <c r="M168" s="116"/>
      <c r="N168" s="116"/>
      <c r="O168" s="116"/>
      <c r="P168" s="116"/>
      <c r="Q168" s="116"/>
      <c r="R168" s="116"/>
      <c r="S168" s="116"/>
      <c r="T168" s="116"/>
      <c r="U168" s="116" t="s">
        <v>104</v>
      </c>
      <c r="V168" s="118" t="s">
        <v>1155</v>
      </c>
      <c r="W168" s="116" t="s">
        <v>130</v>
      </c>
      <c r="X168" s="116" t="s">
        <v>107</v>
      </c>
      <c r="Y168" s="116" t="s">
        <v>152</v>
      </c>
      <c r="Z168" s="114">
        <f>IF(INDIRECT("Y168")="Clássico","12%",IF(INDIRECT("Y168")="Premium","17%","-"))</f>
      </c>
      <c r="AA168" s="116" t="s">
        <v>109</v>
      </c>
      <c r="AB168" s="116" t="s">
        <v>110</v>
      </c>
      <c r="AC168" s="116" t="n">
        <v>30.0</v>
      </c>
      <c r="AD168" s="116" t="s">
        <v>111</v>
      </c>
      <c r="AE168" s="117" t="s">
        <v>112</v>
      </c>
      <c r="AF168" s="114" t="s">
        <v>1156</v>
      </c>
      <c r="AG168" s="116" t="n">
        <v>18.0</v>
      </c>
      <c r="AH168" s="116" t="n">
        <v>14.0</v>
      </c>
      <c r="AI168" s="116" t="n">
        <v>10.0</v>
      </c>
      <c r="AJ168" s="116" t="n">
        <v>0.25</v>
      </c>
    </row>
    <row r="169" ht="50.0" customHeight="true">
      <c r="A169" s="114" t="s">
        <v>1157</v>
      </c>
      <c r="B169" s="114" t="s">
        <v>1158</v>
      </c>
      <c r="C169" s="114" t="s">
        <v>1159</v>
      </c>
      <c r="D169" s="114"/>
      <c r="E169" s="115" t="s">
        <v>674</v>
      </c>
      <c r="F169" s="115" t="s">
        <v>1160</v>
      </c>
      <c r="G169" s="114" t="s">
        <v>1160</v>
      </c>
      <c r="H169" s="116" t="n">
        <v>5.0</v>
      </c>
      <c r="I169" s="116" t="n">
        <v>350.0</v>
      </c>
      <c r="J169" s="116" t="s">
        <v>103</v>
      </c>
      <c r="K169" s="116" t="n">
        <v>250.0</v>
      </c>
      <c r="L169" s="116" t="n">
        <v>2.0</v>
      </c>
      <c r="M169" s="116"/>
      <c r="N169" s="116"/>
      <c r="O169" s="116"/>
      <c r="P169" s="116"/>
      <c r="Q169" s="116"/>
      <c r="R169" s="116"/>
      <c r="S169" s="116"/>
      <c r="T169" s="116"/>
      <c r="U169" s="116" t="s">
        <v>104</v>
      </c>
      <c r="V169" s="118" t="s">
        <v>1161</v>
      </c>
      <c r="W169" s="116" t="s">
        <v>130</v>
      </c>
      <c r="X169" s="116" t="s">
        <v>107</v>
      </c>
      <c r="Y169" s="116" t="s">
        <v>152</v>
      </c>
      <c r="Z169" s="114">
        <f>IF(INDIRECT("Y169")="Clássico","13%",IF(INDIRECT("Y169")="Premium","18%","-"))</f>
      </c>
      <c r="AA169" s="116" t="s">
        <v>109</v>
      </c>
      <c r="AB169" s="116" t="s">
        <v>110</v>
      </c>
      <c r="AC169" s="116" t="n">
        <v>30.0</v>
      </c>
      <c r="AD169" s="116" t="s">
        <v>111</v>
      </c>
      <c r="AE169" s="117" t="s">
        <v>112</v>
      </c>
      <c r="AF169" s="114" t="s">
        <v>1162</v>
      </c>
      <c r="AG169" s="116" t="n">
        <v>19.0</v>
      </c>
      <c r="AH169" s="116" t="n">
        <v>13.0</v>
      </c>
      <c r="AI169" s="116" t="n">
        <v>6.0</v>
      </c>
      <c r="AJ169" s="116" t="n">
        <v>0.23</v>
      </c>
    </row>
    <row r="170" ht="50.0" customHeight="true">
      <c r="A170" s="114" t="s">
        <v>1163</v>
      </c>
      <c r="B170" s="114" t="s">
        <v>1164</v>
      </c>
      <c r="C170" s="114" t="s">
        <v>1165</v>
      </c>
      <c r="D170" s="114"/>
      <c r="E170" s="115"/>
      <c r="F170" s="115" t="s">
        <v>1166</v>
      </c>
      <c r="G170" s="114" t="s">
        <v>1166</v>
      </c>
      <c r="H170" s="116" t="n">
        <v>10.0</v>
      </c>
      <c r="I170" s="116" t="n">
        <v>200.0</v>
      </c>
      <c r="J170" s="116" t="s">
        <v>103</v>
      </c>
      <c r="K170" s="116" t="n">
        <v>99.9</v>
      </c>
      <c r="L170" s="116" t="n">
        <v>2.0</v>
      </c>
      <c r="M170" s="116"/>
      <c r="N170" s="116"/>
      <c r="O170" s="116"/>
      <c r="P170" s="116"/>
      <c r="Q170" s="116"/>
      <c r="R170" s="116"/>
      <c r="S170" s="116"/>
      <c r="T170" s="116"/>
      <c r="U170" s="116" t="s">
        <v>104</v>
      </c>
      <c r="V170" s="118" t="s">
        <v>1167</v>
      </c>
      <c r="W170" s="116" t="s">
        <v>130</v>
      </c>
      <c r="X170" s="116" t="s">
        <v>107</v>
      </c>
      <c r="Y170" s="116" t="s">
        <v>152</v>
      </c>
      <c r="Z170" s="114">
        <f>IF(INDIRECT("Y170")="Clássico","13%",IF(INDIRECT("Y170")="Premium","18%","-"))</f>
      </c>
      <c r="AA170" s="116" t="s">
        <v>109</v>
      </c>
      <c r="AB170" s="116" t="s">
        <v>110</v>
      </c>
      <c r="AC170" s="116" t="n">
        <v>30.0</v>
      </c>
      <c r="AD170" s="116" t="s">
        <v>111</v>
      </c>
      <c r="AE170" s="117" t="s">
        <v>112</v>
      </c>
      <c r="AF170" s="114" t="s">
        <v>1162</v>
      </c>
      <c r="AG170" s="116" t="n">
        <v>19.0</v>
      </c>
      <c r="AH170" s="116" t="n">
        <v>13.0</v>
      </c>
      <c r="AI170" s="116" t="n">
        <v>5.0</v>
      </c>
      <c r="AJ170" s="116" t="n">
        <v>0.04</v>
      </c>
    </row>
    <row r="171" ht="50.0" customHeight="true">
      <c r="A171" s="114" t="s">
        <v>1168</v>
      </c>
      <c r="B171" s="114" t="s">
        <v>1169</v>
      </c>
      <c r="C171" s="114" t="s">
        <v>1170</v>
      </c>
      <c r="D171" s="114"/>
      <c r="E171" s="115"/>
      <c r="F171" s="115" t="s">
        <v>1171</v>
      </c>
      <c r="G171" s="114" t="s">
        <v>1171</v>
      </c>
      <c r="H171" s="116" t="n">
        <v>5000.0</v>
      </c>
      <c r="I171" s="116" t="n">
        <v>15.0</v>
      </c>
      <c r="J171" s="116" t="s">
        <v>103</v>
      </c>
      <c r="K171" s="116"/>
      <c r="L171" s="116"/>
      <c r="M171" s="116"/>
      <c r="N171" s="116"/>
      <c r="O171" s="116"/>
      <c r="P171" s="116"/>
      <c r="Q171" s="116"/>
      <c r="R171" s="116"/>
      <c r="S171" s="116"/>
      <c r="T171" s="116"/>
      <c r="U171" s="116" t="s">
        <v>104</v>
      </c>
      <c r="V171" s="118" t="s">
        <v>1172</v>
      </c>
      <c r="W171" s="116" t="s">
        <v>106</v>
      </c>
      <c r="X171" s="116" t="s">
        <v>107</v>
      </c>
      <c r="Y171" s="116" t="s">
        <v>108</v>
      </c>
      <c r="Z171" s="114">
        <f>IF(INDIRECT("Y171")="Clássico","12%",IF(INDIRECT("Y171")="Premium","17%","-"))</f>
      </c>
      <c r="AA171" s="116" t="s">
        <v>109</v>
      </c>
      <c r="AB171" s="116" t="s">
        <v>110</v>
      </c>
      <c r="AC171" s="116" t="n">
        <v>30.0</v>
      </c>
      <c r="AD171" s="116" t="s">
        <v>111</v>
      </c>
      <c r="AE171" s="117" t="s">
        <v>112</v>
      </c>
      <c r="AF171" s="114" t="s">
        <v>1156</v>
      </c>
      <c r="AG171" s="116" t="n">
        <v>29.0</v>
      </c>
      <c r="AH171" s="116" t="n">
        <v>18.0</v>
      </c>
      <c r="AI171" s="116" t="n">
        <v>10.0</v>
      </c>
      <c r="AJ171" s="116" t="n">
        <v>0.06</v>
      </c>
    </row>
    <row r="172" ht="50.0" customHeight="true">
      <c r="A172" s="114" t="s">
        <v>1173</v>
      </c>
      <c r="B172" s="114" t="s">
        <v>1174</v>
      </c>
      <c r="C172" s="114" t="s">
        <v>1175</v>
      </c>
      <c r="D172" s="114"/>
      <c r="E172" s="115" t="s">
        <v>1176</v>
      </c>
      <c r="F172" s="115" t="s">
        <v>1177</v>
      </c>
      <c r="G172" s="114" t="s">
        <v>1177</v>
      </c>
      <c r="H172" s="116" t="n">
        <v>1.0</v>
      </c>
      <c r="I172" s="116" t="n">
        <v>6000.0</v>
      </c>
      <c r="J172" s="116" t="s">
        <v>103</v>
      </c>
      <c r="K172" s="116"/>
      <c r="L172" s="116"/>
      <c r="M172" s="116"/>
      <c r="N172" s="116"/>
      <c r="O172" s="116"/>
      <c r="P172" s="116"/>
      <c r="Q172" s="116"/>
      <c r="R172" s="116"/>
      <c r="S172" s="116"/>
      <c r="T172" s="116"/>
      <c r="U172" s="116" t="s">
        <v>104</v>
      </c>
      <c r="V172" s="118" t="s">
        <v>1178</v>
      </c>
      <c r="W172" s="116" t="s">
        <v>130</v>
      </c>
      <c r="X172" s="116" t="s">
        <v>107</v>
      </c>
      <c r="Y172" s="116" t="s">
        <v>152</v>
      </c>
      <c r="Z172" s="114">
        <f>IF(INDIRECT("Y172")="Clássico","12%",IF(INDIRECT("Y172")="Premium","17%","-"))</f>
      </c>
      <c r="AA172" s="116" t="s">
        <v>109</v>
      </c>
      <c r="AB172" s="116" t="s">
        <v>110</v>
      </c>
      <c r="AC172" s="116" t="n">
        <v>30.0</v>
      </c>
      <c r="AD172" s="116" t="s">
        <v>111</v>
      </c>
      <c r="AE172" s="117" t="s">
        <v>112</v>
      </c>
      <c r="AF172" s="114" t="s">
        <v>543</v>
      </c>
      <c r="AG172" s="116" t="n">
        <v>37.0</v>
      </c>
      <c r="AH172" s="116" t="n">
        <v>27.0</v>
      </c>
      <c r="AI172" s="116" t="n">
        <v>15.0</v>
      </c>
      <c r="AJ172" s="116" t="n">
        <v>1.19</v>
      </c>
    </row>
    <row r="173" ht="50.0" customHeight="true">
      <c r="A173" s="114" t="s">
        <v>1179</v>
      </c>
      <c r="B173" s="114" t="s">
        <v>1180</v>
      </c>
      <c r="C173" s="114" t="s">
        <v>1181</v>
      </c>
      <c r="D173" s="114"/>
      <c r="E173" s="115" t="s">
        <v>1182</v>
      </c>
      <c r="F173" s="115" t="s">
        <v>1183</v>
      </c>
      <c r="G173" s="114" t="s">
        <v>1183</v>
      </c>
      <c r="H173" s="116" t="n">
        <v>1.0</v>
      </c>
      <c r="I173" s="116" t="n">
        <v>1800.0</v>
      </c>
      <c r="J173" s="116" t="s">
        <v>103</v>
      </c>
      <c r="K173" s="116"/>
      <c r="L173" s="116"/>
      <c r="M173" s="116"/>
      <c r="N173" s="116"/>
      <c r="O173" s="116"/>
      <c r="P173" s="116"/>
      <c r="Q173" s="116"/>
      <c r="R173" s="116"/>
      <c r="S173" s="116"/>
      <c r="T173" s="116"/>
      <c r="U173" s="116" t="s">
        <v>104</v>
      </c>
      <c r="V173" s="118" t="s">
        <v>1184</v>
      </c>
      <c r="W173" s="116" t="s">
        <v>130</v>
      </c>
      <c r="X173" s="116" t="s">
        <v>143</v>
      </c>
      <c r="Y173" s="116" t="s">
        <v>152</v>
      </c>
      <c r="Z173" s="114">
        <f>IF(INDIRECT("Y173")="Clássico","12%",IF(INDIRECT("Y173")="Premium","17%","-"))</f>
      </c>
      <c r="AA173" s="116" t="s">
        <v>109</v>
      </c>
      <c r="AB173" s="116" t="s">
        <v>110</v>
      </c>
      <c r="AC173" s="116" t="n">
        <v>30.0</v>
      </c>
      <c r="AD173" s="116" t="s">
        <v>111</v>
      </c>
      <c r="AE173" s="117" t="s">
        <v>112</v>
      </c>
      <c r="AF173" s="114" t="s">
        <v>736</v>
      </c>
      <c r="AG173" s="116" t="n">
        <v>10.0</v>
      </c>
      <c r="AH173" s="116" t="n">
        <v>15.0</v>
      </c>
      <c r="AI173" s="116" t="n">
        <v>15.0</v>
      </c>
      <c r="AJ173" s="116" t="n">
        <v>0.4</v>
      </c>
    </row>
    <row r="174" ht="50.0" customHeight="true">
      <c r="A174" s="114" t="s">
        <v>1185</v>
      </c>
      <c r="B174" s="114" t="s">
        <v>1186</v>
      </c>
      <c r="C174" s="114" t="s">
        <v>1187</v>
      </c>
      <c r="D174" s="114"/>
      <c r="E174" s="115" t="s">
        <v>1188</v>
      </c>
      <c r="F174" s="115" t="s">
        <v>1189</v>
      </c>
      <c r="G174" s="114" t="s">
        <v>260</v>
      </c>
      <c r="H174" s="116" t="n">
        <v>6.0</v>
      </c>
      <c r="I174" s="116" t="n">
        <v>2700.0</v>
      </c>
      <c r="J174" s="116" t="s">
        <v>103</v>
      </c>
      <c r="K174" s="116" t="n">
        <v>2650.0</v>
      </c>
      <c r="L174" s="116" t="n">
        <v>2.0</v>
      </c>
      <c r="M174" s="116"/>
      <c r="N174" s="116"/>
      <c r="O174" s="116"/>
      <c r="P174" s="116"/>
      <c r="Q174" s="116"/>
      <c r="R174" s="116"/>
      <c r="S174" s="116"/>
      <c r="T174" s="116"/>
      <c r="U174" s="116" t="s">
        <v>104</v>
      </c>
      <c r="V174" s="118" t="s">
        <v>1190</v>
      </c>
      <c r="W174" s="116" t="s">
        <v>130</v>
      </c>
      <c r="X174" s="116" t="s">
        <v>143</v>
      </c>
      <c r="Y174" s="116" t="s">
        <v>108</v>
      </c>
      <c r="Z174" s="114">
        <f>IF(INDIRECT("Y174")="Clássico","12%",IF(INDIRECT("Y174")="Premium","17%","-"))</f>
      </c>
      <c r="AA174" s="116" t="s">
        <v>109</v>
      </c>
      <c r="AB174" s="116" t="s">
        <v>110</v>
      </c>
      <c r="AC174" s="116" t="n">
        <v>30.0</v>
      </c>
      <c r="AD174" s="116" t="s">
        <v>111</v>
      </c>
      <c r="AE174" s="117" t="s">
        <v>112</v>
      </c>
      <c r="AF174" s="114" t="s">
        <v>262</v>
      </c>
      <c r="AG174" s="116" t="n">
        <v>26.0</v>
      </c>
      <c r="AH174" s="116" t="n">
        <v>60.0</v>
      </c>
      <c r="AI174" s="116" t="n">
        <v>35.0</v>
      </c>
      <c r="AJ174" s="116" t="n">
        <v>36.0</v>
      </c>
    </row>
    <row r="175" ht="50.0" customHeight="true">
      <c r="A175" s="114" t="s">
        <v>1191</v>
      </c>
      <c r="B175" s="114" t="s">
        <v>1192</v>
      </c>
      <c r="C175" s="114" t="s">
        <v>1193</v>
      </c>
      <c r="D175" s="114"/>
      <c r="E175" s="115" t="s">
        <v>1194</v>
      </c>
      <c r="F175" s="115" t="s">
        <v>1195</v>
      </c>
      <c r="G175" s="114" t="s">
        <v>1196</v>
      </c>
      <c r="H175" s="116" t="n">
        <v>6.0</v>
      </c>
      <c r="I175" s="116" t="n">
        <v>14000.0</v>
      </c>
      <c r="J175" s="116" t="s">
        <v>103</v>
      </c>
      <c r="K175" s="116" t="n">
        <v>13800.0</v>
      </c>
      <c r="L175" s="116" t="n">
        <v>2.0</v>
      </c>
      <c r="M175" s="116"/>
      <c r="N175" s="116"/>
      <c r="O175" s="116"/>
      <c r="P175" s="116"/>
      <c r="Q175" s="116"/>
      <c r="R175" s="116"/>
      <c r="S175" s="116"/>
      <c r="T175" s="116"/>
      <c r="U175" s="116" t="s">
        <v>104</v>
      </c>
      <c r="V175" s="118" t="s">
        <v>1197</v>
      </c>
      <c r="W175" s="116" t="s">
        <v>130</v>
      </c>
      <c r="X175" s="116" t="s">
        <v>143</v>
      </c>
      <c r="Y175" s="116" t="s">
        <v>152</v>
      </c>
      <c r="Z175" s="114">
        <f>IF(INDIRECT("Y175")="Clássico","11%",IF(INDIRECT("Y175")="Premium","16%","-"))</f>
      </c>
      <c r="AA175" s="116" t="s">
        <v>109</v>
      </c>
      <c r="AB175" s="116" t="s">
        <v>110</v>
      </c>
      <c r="AC175" s="116" t="n">
        <v>30.0</v>
      </c>
      <c r="AD175" s="116" t="s">
        <v>111</v>
      </c>
      <c r="AE175" s="117" t="s">
        <v>112</v>
      </c>
      <c r="AF175" s="114" t="s">
        <v>1198</v>
      </c>
      <c r="AG175" s="116" t="n">
        <v>60.0</v>
      </c>
      <c r="AH175" s="116" t="n">
        <v>100.0</v>
      </c>
      <c r="AI175" s="116" t="n">
        <v>60.0</v>
      </c>
      <c r="AJ175" s="116" t="n">
        <v>47.0</v>
      </c>
    </row>
    <row r="176" ht="50.0" customHeight="true">
      <c r="A176" s="114" t="s">
        <v>1199</v>
      </c>
      <c r="B176" s="114" t="s">
        <v>1200</v>
      </c>
      <c r="C176" s="114" t="s">
        <v>1201</v>
      </c>
      <c r="D176" s="114"/>
      <c r="E176" s="115" t="s">
        <v>1202</v>
      </c>
      <c r="F176" s="115" t="s">
        <v>1203</v>
      </c>
      <c r="G176" s="114" t="s">
        <v>1204</v>
      </c>
      <c r="H176" s="116" t="n">
        <v>1.0</v>
      </c>
      <c r="I176" s="116" t="n">
        <v>42300.0</v>
      </c>
      <c r="J176" s="116" t="s">
        <v>103</v>
      </c>
      <c r="K176" s="116"/>
      <c r="L176" s="116"/>
      <c r="M176" s="116"/>
      <c r="N176" s="116"/>
      <c r="O176" s="116"/>
      <c r="P176" s="116"/>
      <c r="Q176" s="116"/>
      <c r="R176" s="116"/>
      <c r="S176" s="116"/>
      <c r="T176" s="116"/>
      <c r="U176" s="116" t="s">
        <v>104</v>
      </c>
      <c r="V176" s="118" t="s">
        <v>1205</v>
      </c>
      <c r="W176" s="116" t="s">
        <v>862</v>
      </c>
      <c r="X176" s="116" t="s">
        <v>143</v>
      </c>
      <c r="Y176" s="116" t="s">
        <v>152</v>
      </c>
      <c r="Z176" s="114">
        <f>IF(INDIRECT("Y176")="Clássico","12%",IF(INDIRECT("Y176")="Premium","17%","-"))</f>
      </c>
      <c r="AA176" s="116" t="s">
        <v>109</v>
      </c>
      <c r="AB176" s="116" t="s">
        <v>110</v>
      </c>
      <c r="AC176" s="116" t="n">
        <v>30.0</v>
      </c>
      <c r="AD176" s="116" t="s">
        <v>111</v>
      </c>
      <c r="AE176" s="117" t="s">
        <v>112</v>
      </c>
      <c r="AF176" s="114" t="s">
        <v>1206</v>
      </c>
      <c r="AG176" s="114" t="s">
        <v>865</v>
      </c>
      <c r="AH176" s="114" t="s">
        <v>1207</v>
      </c>
      <c r="AI176" s="114" t="s">
        <v>924</v>
      </c>
      <c r="AJ176" s="114" t="s">
        <v>1208</v>
      </c>
    </row>
    <row r="177" ht="50.0" customHeight="true">
      <c r="A177" s="114" t="s">
        <v>1209</v>
      </c>
      <c r="B177" s="114" t="s">
        <v>1210</v>
      </c>
      <c r="C177" s="114" t="s">
        <v>1211</v>
      </c>
      <c r="D177" s="114"/>
      <c r="E177" s="115" t="s">
        <v>1212</v>
      </c>
      <c r="F177" s="115" t="s">
        <v>1213</v>
      </c>
      <c r="G177" s="114" t="s">
        <v>1214</v>
      </c>
      <c r="H177" s="116" t="n">
        <v>1.0</v>
      </c>
      <c r="I177" s="116" t="n">
        <v>169.9</v>
      </c>
      <c r="J177" s="116" t="s">
        <v>103</v>
      </c>
      <c r="K177" s="116"/>
      <c r="L177" s="116"/>
      <c r="M177" s="116"/>
      <c r="N177" s="116"/>
      <c r="O177" s="116"/>
      <c r="P177" s="116"/>
      <c r="Q177" s="116"/>
      <c r="R177" s="116"/>
      <c r="S177" s="116"/>
      <c r="T177" s="116"/>
      <c r="U177" s="116" t="s">
        <v>104</v>
      </c>
      <c r="V177" s="118" t="s">
        <v>1215</v>
      </c>
      <c r="W177" s="116" t="s">
        <v>130</v>
      </c>
      <c r="X177" s="116" t="s">
        <v>143</v>
      </c>
      <c r="Y177" s="116" t="s">
        <v>108</v>
      </c>
      <c r="Z177" s="114">
        <f>IF(INDIRECT("Y177")="Clássico","12%",IF(INDIRECT("Y177")="Premium","17%","-"))</f>
      </c>
      <c r="AA177" s="116" t="s">
        <v>109</v>
      </c>
      <c r="AB177" s="116" t="s">
        <v>110</v>
      </c>
      <c r="AC177" s="116" t="n">
        <v>30.0</v>
      </c>
      <c r="AD177" s="116" t="s">
        <v>111</v>
      </c>
      <c r="AE177" s="117" t="s">
        <v>112</v>
      </c>
      <c r="AF177" s="114" t="s">
        <v>1216</v>
      </c>
      <c r="AG177" s="116" t="n">
        <v>8.0</v>
      </c>
      <c r="AH177" s="116" t="n">
        <v>25.0</v>
      </c>
      <c r="AI177" s="116" t="n">
        <v>20.0</v>
      </c>
      <c r="AJ177" s="116" t="n">
        <v>1.9</v>
      </c>
    </row>
    <row r="178" ht="50.0" customHeight="true">
      <c r="A178" s="114" t="s">
        <v>1217</v>
      </c>
      <c r="B178" s="114" t="s">
        <v>1218</v>
      </c>
      <c r="C178" s="114" t="s">
        <v>1219</v>
      </c>
      <c r="D178" s="114"/>
      <c r="E178" s="115" t="s">
        <v>1220</v>
      </c>
      <c r="F178" s="115" t="s">
        <v>1221</v>
      </c>
      <c r="G178" s="114" t="s">
        <v>761</v>
      </c>
      <c r="H178" s="116" t="n">
        <v>1.0</v>
      </c>
      <c r="I178" s="116" t="n">
        <v>28000.0</v>
      </c>
      <c r="J178" s="116" t="s">
        <v>103</v>
      </c>
      <c r="K178" s="116"/>
      <c r="L178" s="116"/>
      <c r="M178" s="116"/>
      <c r="N178" s="116"/>
      <c r="O178" s="116"/>
      <c r="P178" s="116"/>
      <c r="Q178" s="116"/>
      <c r="R178" s="116"/>
      <c r="S178" s="116"/>
      <c r="T178" s="116"/>
      <c r="U178" s="116" t="s">
        <v>104</v>
      </c>
      <c r="V178" s="118" t="s">
        <v>1222</v>
      </c>
      <c r="W178" s="116" t="s">
        <v>130</v>
      </c>
      <c r="X178" s="116" t="s">
        <v>143</v>
      </c>
      <c r="Y178" s="116" t="s">
        <v>152</v>
      </c>
      <c r="Z178" s="114">
        <f>IF(INDIRECT("Y178")="Clássico","12%",IF(INDIRECT("Y178")="Premium","17%","-"))</f>
      </c>
      <c r="AA178" s="116" t="s">
        <v>109</v>
      </c>
      <c r="AB178" s="116" t="s">
        <v>110</v>
      </c>
      <c r="AC178" s="116" t="n">
        <v>30.0</v>
      </c>
      <c r="AD178" s="116" t="s">
        <v>111</v>
      </c>
      <c r="AE178" s="117" t="s">
        <v>112</v>
      </c>
      <c r="AF178" s="114" t="s">
        <v>1223</v>
      </c>
      <c r="AG178" s="116" t="n">
        <v>37.0</v>
      </c>
      <c r="AH178" s="116" t="n">
        <v>47.0</v>
      </c>
      <c r="AI178" s="116" t="n">
        <v>73.0</v>
      </c>
      <c r="AJ178" s="116" t="n">
        <v>10.0</v>
      </c>
    </row>
    <row r="179" ht="50.0" customHeight="true">
      <c r="A179" s="114" t="s">
        <v>1224</v>
      </c>
      <c r="B179" s="114" t="s">
        <v>1225</v>
      </c>
      <c r="C179" s="114" t="s">
        <v>1226</v>
      </c>
      <c r="D179" s="114"/>
      <c r="E179" s="115" t="s">
        <v>1227</v>
      </c>
      <c r="F179" s="115" t="s">
        <v>1228</v>
      </c>
      <c r="G179" s="114" t="s">
        <v>176</v>
      </c>
      <c r="H179" s="116" t="n">
        <v>6.0</v>
      </c>
      <c r="I179" s="116" t="n">
        <v>79.9</v>
      </c>
      <c r="J179" s="116" t="s">
        <v>103</v>
      </c>
      <c r="K179" s="116" t="n">
        <v>72.0</v>
      </c>
      <c r="L179" s="116" t="n">
        <v>2.0</v>
      </c>
      <c r="M179" s="116"/>
      <c r="N179" s="116"/>
      <c r="O179" s="116"/>
      <c r="P179" s="116"/>
      <c r="Q179" s="116"/>
      <c r="R179" s="116"/>
      <c r="S179" s="116"/>
      <c r="T179" s="116"/>
      <c r="U179" s="116" t="s">
        <v>104</v>
      </c>
      <c r="V179" s="118" t="s">
        <v>1229</v>
      </c>
      <c r="W179" s="116" t="s">
        <v>130</v>
      </c>
      <c r="X179" s="116" t="s">
        <v>107</v>
      </c>
      <c r="Y179" s="116" t="s">
        <v>108</v>
      </c>
      <c r="Z179" s="114">
        <f>IF(INDIRECT("Y179")="Clássico","12%",IF(INDIRECT("Y179")="Premium","17%","-"))</f>
      </c>
      <c r="AA179" s="116" t="s">
        <v>109</v>
      </c>
      <c r="AB179" s="116" t="s">
        <v>110</v>
      </c>
      <c r="AC179" s="116" t="n">
        <v>30.0</v>
      </c>
      <c r="AD179" s="116" t="s">
        <v>111</v>
      </c>
      <c r="AE179" s="117" t="s">
        <v>112</v>
      </c>
      <c r="AF179" s="114" t="s">
        <v>144</v>
      </c>
      <c r="AG179" s="116" t="n">
        <v>6.0</v>
      </c>
      <c r="AH179" s="116" t="n">
        <v>12.0</v>
      </c>
      <c r="AI179" s="116" t="n">
        <v>14.0</v>
      </c>
      <c r="AJ179" s="116" t="n">
        <v>0.4</v>
      </c>
    </row>
    <row r="180" ht="50.0" customHeight="true">
      <c r="A180" s="114" t="s">
        <v>1230</v>
      </c>
      <c r="B180" s="114" t="s">
        <v>1231</v>
      </c>
      <c r="C180" s="114" t="s">
        <v>1232</v>
      </c>
      <c r="D180" s="114"/>
      <c r="E180" s="115" t="s">
        <v>1233</v>
      </c>
      <c r="F180" s="115" t="s">
        <v>1234</v>
      </c>
      <c r="G180" s="114" t="s">
        <v>761</v>
      </c>
      <c r="H180" s="116" t="n">
        <v>1.0</v>
      </c>
      <c r="I180" s="116" t="n">
        <v>430.0</v>
      </c>
      <c r="J180" s="116" t="s">
        <v>103</v>
      </c>
      <c r="K180" s="116"/>
      <c r="L180" s="116"/>
      <c r="M180" s="116"/>
      <c r="N180" s="116"/>
      <c r="O180" s="116"/>
      <c r="P180" s="116"/>
      <c r="Q180" s="116"/>
      <c r="R180" s="116"/>
      <c r="S180" s="116"/>
      <c r="T180" s="116"/>
      <c r="U180" s="116" t="s">
        <v>104</v>
      </c>
      <c r="V180" s="118" t="s">
        <v>1235</v>
      </c>
      <c r="W180" s="116" t="s">
        <v>130</v>
      </c>
      <c r="X180" s="116" t="s">
        <v>143</v>
      </c>
      <c r="Y180" s="116" t="s">
        <v>108</v>
      </c>
      <c r="Z180" s="114">
        <f>IF(INDIRECT("Y180")="Clássico","11.5%",IF(INDIRECT("Y180")="Premium","16.5%","-"))</f>
      </c>
      <c r="AA180" s="116" t="s">
        <v>109</v>
      </c>
      <c r="AB180" s="116" t="s">
        <v>110</v>
      </c>
      <c r="AC180" s="116" t="n">
        <v>30.0</v>
      </c>
      <c r="AD180" s="116" t="s">
        <v>111</v>
      </c>
      <c r="AE180" s="117" t="s">
        <v>112</v>
      </c>
      <c r="AF180" s="114" t="s">
        <v>1236</v>
      </c>
      <c r="AG180" s="116" t="n">
        <v>16.0</v>
      </c>
      <c r="AH180" s="116" t="n">
        <v>20.0</v>
      </c>
      <c r="AI180" s="116" t="n">
        <v>20.0</v>
      </c>
      <c r="AJ180" s="116" t="n">
        <v>1.2</v>
      </c>
    </row>
    <row r="181" ht="50.0" customHeight="true">
      <c r="A181" s="114" t="s">
        <v>1237</v>
      </c>
      <c r="B181" s="114" t="s">
        <v>1238</v>
      </c>
      <c r="C181" s="114" t="s">
        <v>1239</v>
      </c>
      <c r="D181" s="114"/>
      <c r="E181" s="115" t="s">
        <v>1139</v>
      </c>
      <c r="F181" s="115" t="s">
        <v>1240</v>
      </c>
      <c r="G181" s="114" t="s">
        <v>411</v>
      </c>
      <c r="H181" s="116" t="n">
        <v>2.0</v>
      </c>
      <c r="I181" s="116" t="n">
        <v>35.0</v>
      </c>
      <c r="J181" s="116" t="s">
        <v>103</v>
      </c>
      <c r="K181" s="116" t="n">
        <v>32.0</v>
      </c>
      <c r="L181" s="116" t="n">
        <v>2.0</v>
      </c>
      <c r="M181" s="116"/>
      <c r="N181" s="116"/>
      <c r="O181" s="116"/>
      <c r="P181" s="116"/>
      <c r="Q181" s="116"/>
      <c r="R181" s="116"/>
      <c r="S181" s="116"/>
      <c r="T181" s="116"/>
      <c r="U181" s="116" t="s">
        <v>104</v>
      </c>
      <c r="V181" s="118" t="s">
        <v>1241</v>
      </c>
      <c r="W181" s="116" t="s">
        <v>106</v>
      </c>
      <c r="X181" s="116" t="s">
        <v>143</v>
      </c>
      <c r="Y181" s="116" t="s">
        <v>108</v>
      </c>
      <c r="Z181" s="114">
        <f>IF(INDIRECT("Y181")="Clássico","11.5%",IF(INDIRECT("Y181")="Premium","16.5%","-"))</f>
      </c>
      <c r="AA181" s="116" t="s">
        <v>109</v>
      </c>
      <c r="AB181" s="116" t="s">
        <v>110</v>
      </c>
      <c r="AC181" s="116" t="n">
        <v>30.0</v>
      </c>
      <c r="AD181" s="116" t="s">
        <v>111</v>
      </c>
      <c r="AE181" s="117" t="s">
        <v>112</v>
      </c>
      <c r="AF181" s="114" t="s">
        <v>413</v>
      </c>
      <c r="AG181" s="116" t="n">
        <v>6.0</v>
      </c>
      <c r="AH181" s="116" t="n">
        <v>10.0</v>
      </c>
      <c r="AI181" s="116" t="n">
        <v>10.0</v>
      </c>
      <c r="AJ181" s="116" t="n">
        <v>0.1</v>
      </c>
    </row>
    <row r="182" ht="50.0" customHeight="true">
      <c r="A182" s="114" t="s">
        <v>1242</v>
      </c>
      <c r="B182" s="114" t="s">
        <v>1243</v>
      </c>
      <c r="C182" s="114" t="s">
        <v>1244</v>
      </c>
      <c r="D182" s="114"/>
      <c r="E182" s="115" t="s">
        <v>1245</v>
      </c>
      <c r="F182" s="115" t="s">
        <v>1246</v>
      </c>
      <c r="G182" s="114" t="s">
        <v>411</v>
      </c>
      <c r="H182" s="116" t="n">
        <v>3.0</v>
      </c>
      <c r="I182" s="116" t="n">
        <v>32.0</v>
      </c>
      <c r="J182" s="116" t="s">
        <v>103</v>
      </c>
      <c r="K182" s="116" t="n">
        <v>29.9</v>
      </c>
      <c r="L182" s="116" t="n">
        <v>2.0</v>
      </c>
      <c r="M182" s="116"/>
      <c r="N182" s="116"/>
      <c r="O182" s="116"/>
      <c r="P182" s="116"/>
      <c r="Q182" s="116"/>
      <c r="R182" s="116"/>
      <c r="S182" s="116"/>
      <c r="T182" s="116"/>
      <c r="U182" s="116" t="s">
        <v>104</v>
      </c>
      <c r="V182" s="118" t="s">
        <v>1247</v>
      </c>
      <c r="W182" s="116" t="s">
        <v>106</v>
      </c>
      <c r="X182" s="116" t="s">
        <v>143</v>
      </c>
      <c r="Y182" s="116" t="s">
        <v>108</v>
      </c>
      <c r="Z182" s="114">
        <f>IF(INDIRECT("Y182")="Clássico","11.5%",IF(INDIRECT("Y182")="Premium","16.5%","-"))</f>
      </c>
      <c r="AA182" s="116" t="s">
        <v>109</v>
      </c>
      <c r="AB182" s="116" t="s">
        <v>110</v>
      </c>
      <c r="AC182" s="116" t="n">
        <v>30.0</v>
      </c>
      <c r="AD182" s="116" t="s">
        <v>111</v>
      </c>
      <c r="AE182" s="117" t="s">
        <v>112</v>
      </c>
      <c r="AF182" s="114" t="s">
        <v>413</v>
      </c>
      <c r="AG182" s="116" t="n">
        <v>6.0</v>
      </c>
      <c r="AH182" s="116" t="n">
        <v>12.0</v>
      </c>
      <c r="AI182" s="116" t="n">
        <v>12.0</v>
      </c>
      <c r="AJ182" s="116" t="n">
        <v>0.1</v>
      </c>
    </row>
    <row r="183" ht="50.0" customHeight="true">
      <c r="A183" s="114" t="s">
        <v>1248</v>
      </c>
      <c r="B183" s="114" t="s">
        <v>1249</v>
      </c>
      <c r="C183" s="114" t="s">
        <v>1250</v>
      </c>
      <c r="D183" s="114"/>
      <c r="E183" s="115" t="s">
        <v>1251</v>
      </c>
      <c r="F183" s="115" t="s">
        <v>1252</v>
      </c>
      <c r="G183" s="114" t="s">
        <v>411</v>
      </c>
      <c r="H183" s="116" t="n">
        <v>2.0</v>
      </c>
      <c r="I183" s="116" t="n">
        <v>33.0</v>
      </c>
      <c r="J183" s="116" t="s">
        <v>103</v>
      </c>
      <c r="K183" s="116" t="n">
        <v>29.9</v>
      </c>
      <c r="L183" s="116" t="n">
        <v>2.0</v>
      </c>
      <c r="M183" s="116"/>
      <c r="N183" s="116"/>
      <c r="O183" s="116"/>
      <c r="P183" s="116"/>
      <c r="Q183" s="116"/>
      <c r="R183" s="116"/>
      <c r="S183" s="116"/>
      <c r="T183" s="116"/>
      <c r="U183" s="116" t="s">
        <v>104</v>
      </c>
      <c r="V183" s="118" t="s">
        <v>1253</v>
      </c>
      <c r="W183" s="116" t="s">
        <v>106</v>
      </c>
      <c r="X183" s="116" t="s">
        <v>143</v>
      </c>
      <c r="Y183" s="116" t="s">
        <v>108</v>
      </c>
      <c r="Z183" s="114">
        <f>IF(INDIRECT("Y183")="Clássico","11.5%",IF(INDIRECT("Y183")="Premium","16.5%","-"))</f>
      </c>
      <c r="AA183" s="116" t="s">
        <v>109</v>
      </c>
      <c r="AB183" s="116" t="s">
        <v>110</v>
      </c>
      <c r="AC183" s="116" t="n">
        <v>30.0</v>
      </c>
      <c r="AD183" s="116" t="s">
        <v>111</v>
      </c>
      <c r="AE183" s="117" t="s">
        <v>112</v>
      </c>
      <c r="AF183" s="114" t="s">
        <v>413</v>
      </c>
      <c r="AG183" s="116" t="n">
        <v>6.0</v>
      </c>
      <c r="AH183" s="116" t="n">
        <v>10.0</v>
      </c>
      <c r="AI183" s="116" t="n">
        <v>10.0</v>
      </c>
      <c r="AJ183" s="116" t="n">
        <v>0.1</v>
      </c>
    </row>
    <row r="184" ht="50.0" customHeight="true">
      <c r="A184" s="114" t="s">
        <v>1254</v>
      </c>
      <c r="B184" s="114" t="s">
        <v>1255</v>
      </c>
      <c r="C184" s="114" t="s">
        <v>1256</v>
      </c>
      <c r="D184" s="114"/>
      <c r="E184" s="115" t="s">
        <v>313</v>
      </c>
      <c r="F184" s="115" t="s">
        <v>1257</v>
      </c>
      <c r="G184" s="114" t="s">
        <v>315</v>
      </c>
      <c r="H184" s="116" t="n">
        <v>200.0</v>
      </c>
      <c r="I184" s="116" t="n">
        <v>65.9</v>
      </c>
      <c r="J184" s="116" t="s">
        <v>103</v>
      </c>
      <c r="K184" s="116" t="n">
        <v>62.0</v>
      </c>
      <c r="L184" s="116" t="n">
        <v>4.0</v>
      </c>
      <c r="M184" s="116"/>
      <c r="N184" s="116"/>
      <c r="O184" s="116"/>
      <c r="P184" s="116"/>
      <c r="Q184" s="116"/>
      <c r="R184" s="116"/>
      <c r="S184" s="116"/>
      <c r="T184" s="116"/>
      <c r="U184" s="116" t="s">
        <v>104</v>
      </c>
      <c r="V184" s="118" t="s">
        <v>1258</v>
      </c>
      <c r="W184" s="116" t="s">
        <v>106</v>
      </c>
      <c r="X184" s="116" t="s">
        <v>143</v>
      </c>
      <c r="Y184" s="116" t="s">
        <v>108</v>
      </c>
      <c r="Z184" s="114">
        <f>IF(INDIRECT("Y184")="Clássico","11.5%",IF(INDIRECT("Y184")="Premium","16.5%","-"))</f>
      </c>
      <c r="AA184" s="116" t="s">
        <v>109</v>
      </c>
      <c r="AB184" s="116" t="s">
        <v>110</v>
      </c>
      <c r="AC184" s="116" t="n">
        <v>30.0</v>
      </c>
      <c r="AD184" s="116" t="s">
        <v>111</v>
      </c>
      <c r="AE184" s="117" t="s">
        <v>112</v>
      </c>
      <c r="AF184" s="114" t="s">
        <v>317</v>
      </c>
      <c r="AG184" s="116" t="n">
        <v>16.0</v>
      </c>
      <c r="AH184" s="116" t="n">
        <v>16.0</v>
      </c>
      <c r="AI184" s="116" t="n">
        <v>16.0</v>
      </c>
      <c r="AJ184" s="116" t="n">
        <v>0.3</v>
      </c>
    </row>
    <row r="185" ht="50.0" customHeight="true">
      <c r="A185" s="114" t="s">
        <v>1259</v>
      </c>
      <c r="B185" s="114" t="s">
        <v>1260</v>
      </c>
      <c r="C185" s="114" t="s">
        <v>1261</v>
      </c>
      <c r="D185" s="114"/>
      <c r="E185" s="115" t="s">
        <v>1262</v>
      </c>
      <c r="F185" s="115" t="s">
        <v>1263</v>
      </c>
      <c r="G185" s="114" t="s">
        <v>761</v>
      </c>
      <c r="H185" s="116" t="n">
        <v>1.0</v>
      </c>
      <c r="I185" s="116" t="n">
        <v>21000.0</v>
      </c>
      <c r="J185" s="116" t="s">
        <v>103</v>
      </c>
      <c r="K185" s="116"/>
      <c r="L185" s="116"/>
      <c r="M185" s="116"/>
      <c r="N185" s="116"/>
      <c r="O185" s="116"/>
      <c r="P185" s="116"/>
      <c r="Q185" s="116"/>
      <c r="R185" s="116"/>
      <c r="S185" s="116"/>
      <c r="T185" s="116"/>
      <c r="U185" s="116" t="s">
        <v>104</v>
      </c>
      <c r="V185" s="118" t="s">
        <v>1264</v>
      </c>
      <c r="W185" s="116" t="s">
        <v>130</v>
      </c>
      <c r="X185" s="116" t="s">
        <v>143</v>
      </c>
      <c r="Y185" s="116" t="s">
        <v>152</v>
      </c>
      <c r="Z185" s="114">
        <f>IF(INDIRECT("Y185")="Clássico","12%",IF(INDIRECT("Y185")="Premium","17%","-"))</f>
      </c>
      <c r="AA185" s="116" t="s">
        <v>109</v>
      </c>
      <c r="AB185" s="116" t="s">
        <v>110</v>
      </c>
      <c r="AC185" s="116" t="n">
        <v>30.0</v>
      </c>
      <c r="AD185" s="116" t="s">
        <v>111</v>
      </c>
      <c r="AE185" s="117" t="s">
        <v>112</v>
      </c>
      <c r="AF185" s="114" t="s">
        <v>932</v>
      </c>
      <c r="AG185" s="116" t="n">
        <v>22.0</v>
      </c>
      <c r="AH185" s="116" t="n">
        <v>40.0</v>
      </c>
      <c r="AI185" s="116" t="n">
        <v>35.0</v>
      </c>
      <c r="AJ185" s="116" t="n">
        <v>3.0</v>
      </c>
    </row>
    <row r="186" ht="50.0" customHeight="true">
      <c r="A186" s="114" t="s">
        <v>1265</v>
      </c>
      <c r="B186" s="114" t="s">
        <v>1266</v>
      </c>
      <c r="C186" s="114" t="s">
        <v>1267</v>
      </c>
      <c r="D186" s="114"/>
      <c r="E186" s="115" t="s">
        <v>1268</v>
      </c>
      <c r="F186" s="115" t="s">
        <v>1269</v>
      </c>
      <c r="G186" s="114" t="s">
        <v>1270</v>
      </c>
      <c r="H186" s="116" t="n">
        <v>4.0</v>
      </c>
      <c r="I186" s="116" t="n">
        <v>5900.0</v>
      </c>
      <c r="J186" s="116" t="s">
        <v>103</v>
      </c>
      <c r="K186" s="116" t="n">
        <v>5700.0</v>
      </c>
      <c r="L186" s="116" t="n">
        <v>2.0</v>
      </c>
      <c r="M186" s="116"/>
      <c r="N186" s="116"/>
      <c r="O186" s="116"/>
      <c r="P186" s="116"/>
      <c r="Q186" s="116"/>
      <c r="R186" s="116"/>
      <c r="S186" s="116"/>
      <c r="T186" s="116"/>
      <c r="U186" s="116" t="s">
        <v>104</v>
      </c>
      <c r="V186" s="118" t="s">
        <v>1271</v>
      </c>
      <c r="W186" s="116" t="s">
        <v>130</v>
      </c>
      <c r="X186" s="116" t="s">
        <v>143</v>
      </c>
      <c r="Y186" s="116" t="s">
        <v>152</v>
      </c>
      <c r="Z186" s="114">
        <f>IF(INDIRECT("Y186")="Clássico","11.5%",IF(INDIRECT("Y186")="Premium","16.5%","-"))</f>
      </c>
      <c r="AA186" s="116" t="s">
        <v>109</v>
      </c>
      <c r="AB186" s="116" t="s">
        <v>110</v>
      </c>
      <c r="AC186" s="116" t="n">
        <v>30.0</v>
      </c>
      <c r="AD186" s="116" t="s">
        <v>111</v>
      </c>
      <c r="AE186" s="117" t="s">
        <v>112</v>
      </c>
      <c r="AF186" s="114" t="s">
        <v>1272</v>
      </c>
      <c r="AG186" s="116" t="n">
        <v>5.0</v>
      </c>
      <c r="AH186" s="116" t="n">
        <v>50.0</v>
      </c>
      <c r="AI186" s="116" t="n">
        <v>12.0</v>
      </c>
      <c r="AJ186" s="116" t="n">
        <v>4.0</v>
      </c>
    </row>
    <row r="187" ht="50.0" customHeight="true">
      <c r="A187" s="114" t="s">
        <v>1273</v>
      </c>
      <c r="B187" s="114" t="s">
        <v>1274</v>
      </c>
      <c r="C187" s="114" t="s">
        <v>1275</v>
      </c>
      <c r="D187" s="114"/>
      <c r="E187" s="115" t="s">
        <v>304</v>
      </c>
      <c r="F187" s="115" t="s">
        <v>1276</v>
      </c>
      <c r="G187" s="114" t="s">
        <v>1276</v>
      </c>
      <c r="H187" s="116" t="n">
        <v>1.0</v>
      </c>
      <c r="I187" s="116" t="n">
        <v>5900.0</v>
      </c>
      <c r="J187" s="116" t="s">
        <v>103</v>
      </c>
      <c r="K187" s="116"/>
      <c r="L187" s="116"/>
      <c r="M187" s="116"/>
      <c r="N187" s="116"/>
      <c r="O187" s="116"/>
      <c r="P187" s="116"/>
      <c r="Q187" s="116"/>
      <c r="R187" s="116"/>
      <c r="S187" s="116"/>
      <c r="T187" s="116"/>
      <c r="U187" s="116" t="s">
        <v>104</v>
      </c>
      <c r="V187" s="118" t="s">
        <v>1277</v>
      </c>
      <c r="W187" s="116" t="s">
        <v>862</v>
      </c>
      <c r="X187" s="116" t="s">
        <v>143</v>
      </c>
      <c r="Y187" s="116" t="s">
        <v>152</v>
      </c>
      <c r="Z187" s="114">
        <f>IF(INDIRECT("Y187")="Clássico","12%",IF(INDIRECT("Y187")="Premium","17%","-"))</f>
      </c>
      <c r="AA187" s="116" t="s">
        <v>109</v>
      </c>
      <c r="AB187" s="116" t="s">
        <v>110</v>
      </c>
      <c r="AC187" s="116" t="n">
        <v>30.0</v>
      </c>
      <c r="AD187" s="116" t="s">
        <v>111</v>
      </c>
      <c r="AE187" s="117" t="s">
        <v>112</v>
      </c>
      <c r="AF187" s="114" t="s">
        <v>921</v>
      </c>
      <c r="AG187" s="114" t="s">
        <v>922</v>
      </c>
      <c r="AH187" s="114" t="s">
        <v>1278</v>
      </c>
      <c r="AI187" s="114" t="s">
        <v>775</v>
      </c>
      <c r="AJ187" s="114" t="s">
        <v>1279</v>
      </c>
    </row>
    <row r="188" ht="50.0" customHeight="true">
      <c r="A188" s="114" t="s">
        <v>1280</v>
      </c>
      <c r="B188" s="114" t="s">
        <v>1281</v>
      </c>
      <c r="C188" s="114" t="s">
        <v>1282</v>
      </c>
      <c r="D188" s="114"/>
      <c r="E188" s="115" t="s">
        <v>929</v>
      </c>
      <c r="F188" s="115" t="s">
        <v>1283</v>
      </c>
      <c r="G188" s="114" t="s">
        <v>260</v>
      </c>
      <c r="H188" s="116" t="n">
        <v>20.0</v>
      </c>
      <c r="I188" s="116" t="n">
        <v>40.0</v>
      </c>
      <c r="J188" s="116" t="s">
        <v>103</v>
      </c>
      <c r="K188" s="116" t="n">
        <v>28.0</v>
      </c>
      <c r="L188" s="116" t="n">
        <v>2.0</v>
      </c>
      <c r="M188" s="116"/>
      <c r="N188" s="116"/>
      <c r="O188" s="116"/>
      <c r="P188" s="116"/>
      <c r="Q188" s="116"/>
      <c r="R188" s="116"/>
      <c r="S188" s="116"/>
      <c r="T188" s="116"/>
      <c r="U188" s="116" t="s">
        <v>104</v>
      </c>
      <c r="V188" s="118" t="s">
        <v>1284</v>
      </c>
      <c r="W188" s="116" t="s">
        <v>106</v>
      </c>
      <c r="X188" s="116" t="s">
        <v>143</v>
      </c>
      <c r="Y188" s="116" t="s">
        <v>108</v>
      </c>
      <c r="Z188" s="114">
        <f>IF(INDIRECT("Y188")="Clássico","12%",IF(INDIRECT("Y188")="Premium","17%","-"))</f>
      </c>
      <c r="AA188" s="116" t="s">
        <v>109</v>
      </c>
      <c r="AB188" s="116" t="s">
        <v>110</v>
      </c>
      <c r="AC188" s="116" t="n">
        <v>30.0</v>
      </c>
      <c r="AD188" s="116" t="s">
        <v>111</v>
      </c>
      <c r="AE188" s="117" t="s">
        <v>112</v>
      </c>
      <c r="AF188" s="114" t="s">
        <v>932</v>
      </c>
      <c r="AG188" s="116" t="n">
        <v>15.0</v>
      </c>
      <c r="AH188" s="116" t="n">
        <v>15.0</v>
      </c>
      <c r="AI188" s="116" t="n">
        <v>4.0</v>
      </c>
      <c r="AJ188" s="116" t="n">
        <v>0.2</v>
      </c>
    </row>
    <row r="189" ht="50.0" customHeight="true">
      <c r="A189" s="114" t="s">
        <v>1285</v>
      </c>
      <c r="B189" s="114" t="s">
        <v>1286</v>
      </c>
      <c r="C189" s="114" t="s">
        <v>1287</v>
      </c>
      <c r="D189" s="114"/>
      <c r="E189" s="115" t="s">
        <v>1288</v>
      </c>
      <c r="F189" s="115" t="s">
        <v>1289</v>
      </c>
      <c r="G189" s="114" t="s">
        <v>1289</v>
      </c>
      <c r="H189" s="116" t="n">
        <v>3.0</v>
      </c>
      <c r="I189" s="116" t="n">
        <v>4800.0</v>
      </c>
      <c r="J189" s="116" t="s">
        <v>103</v>
      </c>
      <c r="K189" s="116" t="n">
        <v>4200.0</v>
      </c>
      <c r="L189" s="116" t="n">
        <v>3.0</v>
      </c>
      <c r="M189" s="116"/>
      <c r="N189" s="116"/>
      <c r="O189" s="116"/>
      <c r="P189" s="116"/>
      <c r="Q189" s="116"/>
      <c r="R189" s="116"/>
      <c r="S189" s="116"/>
      <c r="T189" s="116"/>
      <c r="U189" s="116" t="s">
        <v>104</v>
      </c>
      <c r="V189" s="118" t="s">
        <v>1290</v>
      </c>
      <c r="W189" s="116" t="s">
        <v>130</v>
      </c>
      <c r="X189" s="116" t="s">
        <v>143</v>
      </c>
      <c r="Y189" s="116" t="s">
        <v>152</v>
      </c>
      <c r="Z189" s="114">
        <f>IF(INDIRECT("Y189")="Clássico","13%",IF(INDIRECT("Y189")="Premium","18%","-"))</f>
      </c>
      <c r="AA189" s="116" t="s">
        <v>109</v>
      </c>
      <c r="AB189" s="116" t="s">
        <v>110</v>
      </c>
      <c r="AC189" s="116" t="n">
        <v>30.0</v>
      </c>
      <c r="AD189" s="116" t="s">
        <v>111</v>
      </c>
      <c r="AE189" s="117" t="s">
        <v>112</v>
      </c>
      <c r="AF189" s="114" t="s">
        <v>1291</v>
      </c>
      <c r="AG189" s="116" t="n">
        <v>38.0</v>
      </c>
      <c r="AH189" s="116" t="n">
        <v>30.0</v>
      </c>
      <c r="AI189" s="116" t="n">
        <v>5.0</v>
      </c>
      <c r="AJ189" s="116" t="n">
        <v>0.5</v>
      </c>
    </row>
    <row r="190" ht="50.0" customHeight="true">
      <c r="A190" s="114" t="s">
        <v>1292</v>
      </c>
      <c r="B190" s="114" t="s">
        <v>1293</v>
      </c>
      <c r="C190" s="114" t="s">
        <v>1294</v>
      </c>
      <c r="D190" s="114"/>
      <c r="E190" s="115" t="s">
        <v>1295</v>
      </c>
      <c r="F190" s="115" t="s">
        <v>1296</v>
      </c>
      <c r="G190" s="114" t="s">
        <v>1296</v>
      </c>
      <c r="H190" s="116" t="n">
        <v>5.0</v>
      </c>
      <c r="I190" s="116" t="n">
        <v>3500.0</v>
      </c>
      <c r="J190" s="116" t="s">
        <v>103</v>
      </c>
      <c r="K190" s="116" t="n">
        <v>2900.0</v>
      </c>
      <c r="L190" s="116" t="n">
        <v>2.0</v>
      </c>
      <c r="M190" s="116"/>
      <c r="N190" s="116"/>
      <c r="O190" s="116"/>
      <c r="P190" s="116"/>
      <c r="Q190" s="116"/>
      <c r="R190" s="116"/>
      <c r="S190" s="116"/>
      <c r="T190" s="116"/>
      <c r="U190" s="116" t="s">
        <v>104</v>
      </c>
      <c r="V190" s="118" t="s">
        <v>1297</v>
      </c>
      <c r="W190" s="116" t="s">
        <v>130</v>
      </c>
      <c r="X190" s="116" t="s">
        <v>143</v>
      </c>
      <c r="Y190" s="116" t="s">
        <v>152</v>
      </c>
      <c r="Z190" s="114">
        <f>IF(INDIRECT("Y190")="Clássico","12%",IF(INDIRECT("Y190")="Premium","17%","-"))</f>
      </c>
      <c r="AA190" s="116" t="s">
        <v>109</v>
      </c>
      <c r="AB190" s="116" t="s">
        <v>110</v>
      </c>
      <c r="AC190" s="116" t="n">
        <v>30.0</v>
      </c>
      <c r="AD190" s="116" t="s">
        <v>111</v>
      </c>
      <c r="AE190" s="117" t="s">
        <v>112</v>
      </c>
      <c r="AF190" s="114" t="s">
        <v>736</v>
      </c>
      <c r="AG190" s="116" t="n">
        <v>16.0</v>
      </c>
      <c r="AH190" s="116" t="n">
        <v>16.0</v>
      </c>
      <c r="AI190" s="116" t="n">
        <v>7.0</v>
      </c>
      <c r="AJ190" s="116" t="n">
        <v>0.4</v>
      </c>
    </row>
    <row r="191" ht="50.0" customHeight="true">
      <c r="A191" s="114" t="s">
        <v>1298</v>
      </c>
      <c r="B191" s="114" t="s">
        <v>1299</v>
      </c>
      <c r="C191" s="114" t="s">
        <v>1300</v>
      </c>
      <c r="D191" s="114"/>
      <c r="E191" s="115" t="s">
        <v>882</v>
      </c>
      <c r="F191" s="115" t="s">
        <v>1301</v>
      </c>
      <c r="G191" s="114" t="s">
        <v>1302</v>
      </c>
      <c r="H191" s="116" t="n">
        <v>5.0</v>
      </c>
      <c r="I191" s="116" t="n">
        <v>499.0</v>
      </c>
      <c r="J191" s="116" t="s">
        <v>103</v>
      </c>
      <c r="K191" s="116" t="n">
        <v>399.0</v>
      </c>
      <c r="L191" s="116" t="n">
        <v>2.0</v>
      </c>
      <c r="M191" s="116"/>
      <c r="N191" s="116"/>
      <c r="O191" s="116"/>
      <c r="P191" s="116"/>
      <c r="Q191" s="116"/>
      <c r="R191" s="116"/>
      <c r="S191" s="116"/>
      <c r="T191" s="116"/>
      <c r="U191" s="116" t="s">
        <v>104</v>
      </c>
      <c r="V191" s="118" t="s">
        <v>1303</v>
      </c>
      <c r="W191" s="116" t="s">
        <v>130</v>
      </c>
      <c r="X191" s="116" t="s">
        <v>143</v>
      </c>
      <c r="Y191" s="116" t="s">
        <v>108</v>
      </c>
      <c r="Z191" s="114">
        <f>IF(INDIRECT("Y191")="Clássico","12%",IF(INDIRECT("Y191")="Premium","17%","-"))</f>
      </c>
      <c r="AA191" s="116" t="s">
        <v>109</v>
      </c>
      <c r="AB191" s="116" t="s">
        <v>110</v>
      </c>
      <c r="AC191" s="116" t="n">
        <v>30.0</v>
      </c>
      <c r="AD191" s="116" t="s">
        <v>111</v>
      </c>
      <c r="AE191" s="117" t="s">
        <v>112</v>
      </c>
      <c r="AF191" s="114" t="s">
        <v>1206</v>
      </c>
      <c r="AG191" s="116" t="n">
        <v>30.0</v>
      </c>
      <c r="AH191" s="116" t="n">
        <v>30.0</v>
      </c>
      <c r="AI191" s="116" t="n">
        <v>5.0</v>
      </c>
      <c r="AJ191" s="116" t="n">
        <v>0.3</v>
      </c>
    </row>
    <row r="192" ht="50.0" customHeight="true">
      <c r="A192" s="114" t="s">
        <v>978</v>
      </c>
      <c r="B192" s="114" t="s">
        <v>1304</v>
      </c>
      <c r="C192" s="114" t="s">
        <v>980</v>
      </c>
      <c r="D192" s="114"/>
      <c r="E192" s="115" t="s">
        <v>348</v>
      </c>
      <c r="F192" s="114" t="s">
        <v>1305</v>
      </c>
      <c r="G192" s="114" t="s">
        <v>102</v>
      </c>
      <c r="H192" s="116" t="n">
        <v>1.0</v>
      </c>
      <c r="I192" s="116" t="n">
        <v>230.0</v>
      </c>
      <c r="J192" s="116" t="s">
        <v>103</v>
      </c>
      <c r="K192" s="116"/>
      <c r="L192" s="116"/>
      <c r="M192" s="116"/>
      <c r="N192" s="116"/>
      <c r="O192" s="116"/>
      <c r="P192" s="116"/>
      <c r="Q192" s="116"/>
      <c r="R192" s="116"/>
      <c r="S192" s="116"/>
      <c r="T192" s="116"/>
      <c r="U192" s="114" t="s">
        <v>104</v>
      </c>
      <c r="V192" s="114" t="s">
        <v>1306</v>
      </c>
      <c r="W192" s="116" t="s">
        <v>130</v>
      </c>
      <c r="X192" s="116" t="s">
        <v>143</v>
      </c>
      <c r="Y192" s="116" t="s">
        <v>108</v>
      </c>
      <c r="Z192" s="114">
        <f>IF(INDIRECT("Y192")="Clássico","11%",IF(INDIRECT("Y192")="Premium","16%","-"))</f>
      </c>
      <c r="AA192" s="116" t="s">
        <v>109</v>
      </c>
      <c r="AB192" s="116" t="s">
        <v>110</v>
      </c>
      <c r="AC192" s="116" t="n">
        <v>30.0</v>
      </c>
      <c r="AD192" s="116" t="s">
        <v>111</v>
      </c>
      <c r="AE192" s="117" t="s">
        <v>112</v>
      </c>
      <c r="AF192" s="114" t="s">
        <v>983</v>
      </c>
      <c r="AG192" s="116" t="n">
        <v>20.0</v>
      </c>
      <c r="AH192" s="116" t="n">
        <v>20.0</v>
      </c>
      <c r="AI192" s="116" t="n">
        <v>5.0</v>
      </c>
      <c r="AJ192" s="116" t="n">
        <v>0.7</v>
      </c>
    </row>
    <row r="193" ht="50.0" customHeight="true">
      <c r="A193" s="114" t="s">
        <v>1307</v>
      </c>
      <c r="B193" s="114" t="s">
        <v>1308</v>
      </c>
      <c r="C193" s="114" t="s">
        <v>1309</v>
      </c>
      <c r="D193" s="114"/>
      <c r="E193" s="115" t="s">
        <v>987</v>
      </c>
      <c r="F193" s="115" t="s">
        <v>1310</v>
      </c>
      <c r="G193" s="114" t="s">
        <v>1310</v>
      </c>
      <c r="H193" s="116" t="n">
        <v>10.0</v>
      </c>
      <c r="I193" s="116" t="n">
        <v>130.0</v>
      </c>
      <c r="J193" s="116" t="s">
        <v>103</v>
      </c>
      <c r="K193" s="116" t="n">
        <v>120.0</v>
      </c>
      <c r="L193" s="116" t="n">
        <v>3.0</v>
      </c>
      <c r="M193" s="116"/>
      <c r="N193" s="116"/>
      <c r="O193" s="116"/>
      <c r="P193" s="116"/>
      <c r="Q193" s="116"/>
      <c r="R193" s="116"/>
      <c r="S193" s="116"/>
      <c r="T193" s="116"/>
      <c r="U193" s="116" t="s">
        <v>104</v>
      </c>
      <c r="V193" s="118" t="s">
        <v>1311</v>
      </c>
      <c r="W193" s="116" t="s">
        <v>130</v>
      </c>
      <c r="X193" s="116" t="s">
        <v>143</v>
      </c>
      <c r="Y193" s="116" t="s">
        <v>152</v>
      </c>
      <c r="Z193" s="114">
        <f>IF(INDIRECT("Y193")="Clássico","12%",IF(INDIRECT("Y193")="Premium","17%","-"))</f>
      </c>
      <c r="AA193" s="116" t="s">
        <v>109</v>
      </c>
      <c r="AB193" s="116" t="s">
        <v>110</v>
      </c>
      <c r="AC193" s="116" t="n">
        <v>30.0</v>
      </c>
      <c r="AD193" s="116" t="s">
        <v>111</v>
      </c>
      <c r="AE193" s="117" t="s">
        <v>112</v>
      </c>
      <c r="AF193" s="114" t="s">
        <v>990</v>
      </c>
      <c r="AG193" s="116" t="n">
        <v>10.0</v>
      </c>
      <c r="AH193" s="116" t="n">
        <v>3.0</v>
      </c>
      <c r="AI193" s="116" t="n">
        <v>3.0</v>
      </c>
      <c r="AJ193" s="116" t="n">
        <v>0.5</v>
      </c>
    </row>
    <row r="194" ht="50.0" customHeight="true">
      <c r="A194" s="114" t="s">
        <v>1312</v>
      </c>
      <c r="B194" s="114" t="s">
        <v>1313</v>
      </c>
      <c r="C194" s="114" t="s">
        <v>1314</v>
      </c>
      <c r="D194" s="114"/>
      <c r="E194" s="115" t="s">
        <v>859</v>
      </c>
      <c r="F194" s="115" t="s">
        <v>1315</v>
      </c>
      <c r="G194" s="114" t="s">
        <v>1315</v>
      </c>
      <c r="H194" s="116" t="n">
        <v>10.0</v>
      </c>
      <c r="I194" s="116" t="n">
        <v>80.0</v>
      </c>
      <c r="J194" s="116" t="s">
        <v>103</v>
      </c>
      <c r="K194" s="116" t="n">
        <v>70.0</v>
      </c>
      <c r="L194" s="116" t="n">
        <v>2.0</v>
      </c>
      <c r="M194" s="116"/>
      <c r="N194" s="116"/>
      <c r="O194" s="116"/>
      <c r="P194" s="116"/>
      <c r="Q194" s="116"/>
      <c r="R194" s="116"/>
      <c r="S194" s="116"/>
      <c r="T194" s="116"/>
      <c r="U194" s="116" t="s">
        <v>104</v>
      </c>
      <c r="V194" s="118" t="s">
        <v>22</v>
      </c>
      <c r="W194" s="116" t="s">
        <v>106</v>
      </c>
      <c r="X194" s="116" t="s">
        <v>143</v>
      </c>
      <c r="Y194" s="116" t="s">
        <v>152</v>
      </c>
      <c r="Z194" s="114">
        <f>IF(INDIRECT("Y194")="Clássico","12%",IF(INDIRECT("Y194")="Premium","17%","-"))</f>
      </c>
      <c r="AA194" s="116" t="s">
        <v>109</v>
      </c>
      <c r="AB194" s="116" t="s">
        <v>110</v>
      </c>
      <c r="AC194" s="116" t="n">
        <v>30.0</v>
      </c>
      <c r="AD194" s="116" t="s">
        <v>111</v>
      </c>
      <c r="AE194" s="117" t="s">
        <v>112</v>
      </c>
      <c r="AF194" s="114" t="s">
        <v>997</v>
      </c>
      <c r="AG194" s="116" t="n">
        <v>10.0</v>
      </c>
      <c r="AH194" s="116" t="n">
        <v>10.0</v>
      </c>
      <c r="AI194" s="116" t="n">
        <v>10.0</v>
      </c>
      <c r="AJ194" s="116" t="n">
        <v>0.5</v>
      </c>
    </row>
    <row r="195" ht="50.0" customHeight="true">
      <c r="A195" s="114" t="s">
        <v>1316</v>
      </c>
      <c r="B195" s="114" t="s">
        <v>1317</v>
      </c>
      <c r="C195" s="114" t="s">
        <v>1318</v>
      </c>
      <c r="D195" s="114"/>
      <c r="E195" s="115" t="s">
        <v>1319</v>
      </c>
      <c r="F195" s="115" t="s">
        <v>1320</v>
      </c>
      <c r="G195" s="114" t="s">
        <v>1320</v>
      </c>
      <c r="H195" s="116" t="n">
        <v>1.0</v>
      </c>
      <c r="I195" s="116" t="n">
        <v>9200.0</v>
      </c>
      <c r="J195" s="116" t="s">
        <v>103</v>
      </c>
      <c r="K195" s="116"/>
      <c r="L195" s="116"/>
      <c r="M195" s="116"/>
      <c r="N195" s="116"/>
      <c r="O195" s="116"/>
      <c r="P195" s="116"/>
      <c r="Q195" s="116"/>
      <c r="R195" s="116"/>
      <c r="S195" s="116"/>
      <c r="T195" s="116"/>
      <c r="U195" s="116" t="s">
        <v>104</v>
      </c>
      <c r="V195" s="118" t="s">
        <v>1321</v>
      </c>
      <c r="W195" s="116" t="s">
        <v>130</v>
      </c>
      <c r="X195" s="116" t="s">
        <v>143</v>
      </c>
      <c r="Y195" s="116" t="s">
        <v>152</v>
      </c>
      <c r="Z195" s="114">
        <f>IF(INDIRECT("Y195")="Clássico","12%",IF(INDIRECT("Y195")="Premium","17%","-"))</f>
      </c>
      <c r="AA195" s="116" t="s">
        <v>109</v>
      </c>
      <c r="AB195" s="116" t="s">
        <v>110</v>
      </c>
      <c r="AC195" s="116" t="n">
        <v>30.0</v>
      </c>
      <c r="AD195" s="116" t="s">
        <v>111</v>
      </c>
      <c r="AE195" s="117" t="s">
        <v>112</v>
      </c>
      <c r="AF195" s="114" t="s">
        <v>1322</v>
      </c>
      <c r="AG195" s="116" t="n">
        <v>40.0</v>
      </c>
      <c r="AH195" s="116" t="n">
        <v>26.0</v>
      </c>
      <c r="AI195" s="116" t="n">
        <v>10.0</v>
      </c>
      <c r="AJ195" s="116" t="n">
        <v>2.3</v>
      </c>
    </row>
    <row r="196" ht="50.0" customHeight="true">
      <c r="A196" s="114" t="s">
        <v>1323</v>
      </c>
      <c r="B196" s="114" t="s">
        <v>1324</v>
      </c>
      <c r="C196" s="114" t="s">
        <v>1325</v>
      </c>
      <c r="D196" s="114"/>
      <c r="E196" s="115" t="s">
        <v>1326</v>
      </c>
      <c r="F196" s="115" t="s">
        <v>1327</v>
      </c>
      <c r="G196" s="114" t="s">
        <v>1327</v>
      </c>
      <c r="H196" s="116" t="n">
        <v>1.0</v>
      </c>
      <c r="I196" s="116" t="n">
        <v>1100.0</v>
      </c>
      <c r="J196" s="116" t="s">
        <v>103</v>
      </c>
      <c r="K196" s="116"/>
      <c r="L196" s="116"/>
      <c r="M196" s="116"/>
      <c r="N196" s="116"/>
      <c r="O196" s="116"/>
      <c r="P196" s="116"/>
      <c r="Q196" s="116"/>
      <c r="R196" s="116"/>
      <c r="S196" s="116"/>
      <c r="T196" s="116"/>
      <c r="U196" s="116" t="s">
        <v>104</v>
      </c>
      <c r="V196" s="118" t="s">
        <v>1328</v>
      </c>
      <c r="W196" s="116" t="s">
        <v>130</v>
      </c>
      <c r="X196" s="116" t="s">
        <v>143</v>
      </c>
      <c r="Y196" s="116" t="s">
        <v>152</v>
      </c>
      <c r="Z196" s="114">
        <f>IF(INDIRECT("Y196")="Clássico","12%",IF(INDIRECT("Y196")="Premium","17%","-"))</f>
      </c>
      <c r="AA196" s="116" t="s">
        <v>109</v>
      </c>
      <c r="AB196" s="116" t="s">
        <v>110</v>
      </c>
      <c r="AC196" s="116" t="n">
        <v>30.0</v>
      </c>
      <c r="AD196" s="116" t="s">
        <v>111</v>
      </c>
      <c r="AE196" s="117" t="s">
        <v>112</v>
      </c>
      <c r="AF196" s="114" t="s">
        <v>1329</v>
      </c>
      <c r="AG196" s="116" t="n">
        <v>22.0</v>
      </c>
      <c r="AH196" s="116" t="n">
        <v>12.0</v>
      </c>
      <c r="AI196" s="116" t="n">
        <v>10.0</v>
      </c>
      <c r="AJ196" s="116" t="n">
        <v>1.9</v>
      </c>
    </row>
    <row r="197" ht="50.0" customHeight="true">
      <c r="A197" s="114" t="s">
        <v>1330</v>
      </c>
      <c r="B197" s="114" t="s">
        <v>1331</v>
      </c>
      <c r="C197" s="114" t="s">
        <v>1332</v>
      </c>
      <c r="D197" s="114"/>
      <c r="E197" s="115" t="s">
        <v>1333</v>
      </c>
      <c r="F197" s="115" t="s">
        <v>1334</v>
      </c>
      <c r="G197" s="114" t="s">
        <v>1334</v>
      </c>
      <c r="H197" s="116" t="n">
        <v>4.0</v>
      </c>
      <c r="I197" s="116" t="n">
        <v>1000.0</v>
      </c>
      <c r="J197" s="116" t="s">
        <v>103</v>
      </c>
      <c r="K197" s="116" t="n">
        <v>899.0</v>
      </c>
      <c r="L197" s="116" t="n">
        <v>2.0</v>
      </c>
      <c r="M197" s="116"/>
      <c r="N197" s="116"/>
      <c r="O197" s="116"/>
      <c r="P197" s="116"/>
      <c r="Q197" s="116"/>
      <c r="R197" s="116"/>
      <c r="S197" s="116"/>
      <c r="T197" s="116"/>
      <c r="U197" s="116" t="s">
        <v>104</v>
      </c>
      <c r="V197" s="118" t="s">
        <v>1335</v>
      </c>
      <c r="W197" s="116" t="s">
        <v>130</v>
      </c>
      <c r="X197" s="116" t="s">
        <v>143</v>
      </c>
      <c r="Y197" s="116" t="s">
        <v>152</v>
      </c>
      <c r="Z197" s="114">
        <f>IF(INDIRECT("Y197")="Clássico","12%",IF(INDIRECT("Y197")="Premium","17%","-"))</f>
      </c>
      <c r="AA197" s="116" t="s">
        <v>109</v>
      </c>
      <c r="AB197" s="116" t="s">
        <v>110</v>
      </c>
      <c r="AC197" s="116" t="n">
        <v>30.0</v>
      </c>
      <c r="AD197" s="116" t="s">
        <v>111</v>
      </c>
      <c r="AE197" s="117" t="s">
        <v>112</v>
      </c>
      <c r="AF197" s="114" t="s">
        <v>1336</v>
      </c>
      <c r="AG197" s="116" t="n">
        <v>12.0</v>
      </c>
      <c r="AH197" s="116" t="n">
        <v>12.0</v>
      </c>
      <c r="AI197" s="116" t="n">
        <v>8.0</v>
      </c>
      <c r="AJ197" s="116" t="n">
        <v>1.0</v>
      </c>
    </row>
    <row r="198" ht="50.0" customHeight="true">
      <c r="A198" s="114" t="s">
        <v>1337</v>
      </c>
      <c r="B198" s="114" t="s">
        <v>1338</v>
      </c>
      <c r="C198" s="114" t="s">
        <v>1339</v>
      </c>
      <c r="D198" s="114"/>
      <c r="E198" s="115" t="s">
        <v>1340</v>
      </c>
      <c r="F198" s="115" t="s">
        <v>1341</v>
      </c>
      <c r="G198" s="114" t="s">
        <v>373</v>
      </c>
      <c r="H198" s="116" t="n">
        <v>3.0</v>
      </c>
      <c r="I198" s="116" t="n">
        <v>40.0</v>
      </c>
      <c r="J198" s="116" t="s">
        <v>103</v>
      </c>
      <c r="K198" s="116" t="n">
        <v>37.0</v>
      </c>
      <c r="L198" s="116" t="n">
        <v>2.0</v>
      </c>
      <c r="M198" s="116"/>
      <c r="N198" s="116"/>
      <c r="O198" s="116"/>
      <c r="P198" s="116"/>
      <c r="Q198" s="116"/>
      <c r="R198" s="116"/>
      <c r="S198" s="116"/>
      <c r="T198" s="116"/>
      <c r="U198" s="116" t="s">
        <v>104</v>
      </c>
      <c r="V198" s="118" t="s">
        <v>1342</v>
      </c>
      <c r="W198" s="116" t="s">
        <v>130</v>
      </c>
      <c r="X198" s="116" t="s">
        <v>143</v>
      </c>
      <c r="Y198" s="116" t="s">
        <v>152</v>
      </c>
      <c r="Z198" s="114">
        <f>IF(INDIRECT("Y198")="Clássico","12%",IF(INDIRECT("Y198")="Premium","17%","-"))</f>
      </c>
      <c r="AA198" s="116" t="s">
        <v>109</v>
      </c>
      <c r="AB198" s="116" t="s">
        <v>110</v>
      </c>
      <c r="AC198" s="116" t="n">
        <v>30.0</v>
      </c>
      <c r="AD198" s="116" t="s">
        <v>111</v>
      </c>
      <c r="AE198" s="117" t="s">
        <v>112</v>
      </c>
      <c r="AF198" s="114" t="s">
        <v>375</v>
      </c>
      <c r="AG198" s="116" t="n">
        <v>25.0</v>
      </c>
      <c r="AH198" s="116" t="n">
        <v>15.0</v>
      </c>
      <c r="AI198" s="116" t="n">
        <v>6.0</v>
      </c>
      <c r="AJ198" s="116" t="n">
        <v>0.51</v>
      </c>
    </row>
    <row r="199" ht="50.0" customHeight="true">
      <c r="A199" s="114" t="s">
        <v>1343</v>
      </c>
      <c r="B199" s="114" t="s">
        <v>1344</v>
      </c>
      <c r="C199" s="114" t="s">
        <v>1345</v>
      </c>
      <c r="D199" s="114"/>
      <c r="E199" s="115" t="s">
        <v>1346</v>
      </c>
      <c r="F199" s="115" t="s">
        <v>1347</v>
      </c>
      <c r="G199" s="114" t="s">
        <v>1347</v>
      </c>
      <c r="H199" s="116" t="n">
        <v>2.0</v>
      </c>
      <c r="I199" s="116" t="n">
        <v>900.0</v>
      </c>
      <c r="J199" s="116" t="s">
        <v>103</v>
      </c>
      <c r="K199" s="116" t="n">
        <v>800.0</v>
      </c>
      <c r="L199" s="116" t="n">
        <v>2.0</v>
      </c>
      <c r="M199" s="116"/>
      <c r="N199" s="116"/>
      <c r="O199" s="116"/>
      <c r="P199" s="116"/>
      <c r="Q199" s="116"/>
      <c r="R199" s="116"/>
      <c r="S199" s="116"/>
      <c r="T199" s="116"/>
      <c r="U199" s="116" t="s">
        <v>104</v>
      </c>
      <c r="V199" s="118" t="s">
        <v>1348</v>
      </c>
      <c r="W199" s="116" t="s">
        <v>130</v>
      </c>
      <c r="X199" s="116" t="s">
        <v>143</v>
      </c>
      <c r="Y199" s="116" t="s">
        <v>152</v>
      </c>
      <c r="Z199" s="114">
        <f>IF(INDIRECT("Y199")="Clássico","12%",IF(INDIRECT("Y199")="Premium","17%","-"))</f>
      </c>
      <c r="AA199" s="116" t="s">
        <v>109</v>
      </c>
      <c r="AB199" s="116" t="s">
        <v>110</v>
      </c>
      <c r="AC199" s="116" t="n">
        <v>30.0</v>
      </c>
      <c r="AD199" s="116" t="s">
        <v>111</v>
      </c>
      <c r="AE199" s="117" t="s">
        <v>112</v>
      </c>
      <c r="AF199" s="114" t="s">
        <v>1329</v>
      </c>
      <c r="AG199" s="116" t="n">
        <v>22.0</v>
      </c>
      <c r="AH199" s="116" t="n">
        <v>10.0</v>
      </c>
      <c r="AI199" s="116" t="n">
        <v>10.0</v>
      </c>
      <c r="AJ199" s="116" t="n">
        <v>2.5</v>
      </c>
    </row>
    <row r="200" ht="50.0" customHeight="true">
      <c r="A200" s="114" t="s">
        <v>1349</v>
      </c>
      <c r="B200" s="114" t="s">
        <v>1350</v>
      </c>
      <c r="C200" s="114" t="s">
        <v>1351</v>
      </c>
      <c r="D200" s="114"/>
      <c r="E200" s="115" t="s">
        <v>1352</v>
      </c>
      <c r="F200" s="115" t="s">
        <v>1353</v>
      </c>
      <c r="G200" s="114" t="s">
        <v>1353</v>
      </c>
      <c r="H200" s="116" t="n">
        <v>4.0</v>
      </c>
      <c r="I200" s="116" t="n">
        <v>320.0</v>
      </c>
      <c r="J200" s="116" t="s">
        <v>103</v>
      </c>
      <c r="K200" s="116" t="n">
        <v>280.0</v>
      </c>
      <c r="L200" s="116" t="n">
        <v>2.0</v>
      </c>
      <c r="M200" s="116"/>
      <c r="N200" s="116"/>
      <c r="O200" s="116"/>
      <c r="P200" s="116"/>
      <c r="Q200" s="116"/>
      <c r="R200" s="116"/>
      <c r="S200" s="116"/>
      <c r="T200" s="116"/>
      <c r="U200" s="114" t="s">
        <v>104</v>
      </c>
      <c r="V200" s="118" t="s">
        <v>1354</v>
      </c>
      <c r="W200" s="116" t="s">
        <v>130</v>
      </c>
      <c r="X200" s="116" t="s">
        <v>143</v>
      </c>
      <c r="Y200" s="116" t="s">
        <v>152</v>
      </c>
      <c r="Z200" s="114">
        <f>IF(INDIRECT("Y200")="Clássico","11.5%",IF(INDIRECT("Y200")="Premium","16.5%","-"))</f>
      </c>
      <c r="AA200" s="116" t="s">
        <v>109</v>
      </c>
      <c r="AB200" s="116" t="s">
        <v>110</v>
      </c>
      <c r="AC200" s="116" t="n">
        <v>30.0</v>
      </c>
      <c r="AD200" s="116" t="s">
        <v>111</v>
      </c>
      <c r="AE200" s="117" t="s">
        <v>112</v>
      </c>
      <c r="AF200" s="114" t="s">
        <v>1030</v>
      </c>
      <c r="AG200" s="116" t="n">
        <v>10.0</v>
      </c>
      <c r="AH200" s="116" t="n">
        <v>10.0</v>
      </c>
      <c r="AI200" s="116" t="n">
        <v>2.0</v>
      </c>
      <c r="AJ200" s="116" t="n">
        <v>0.5</v>
      </c>
    </row>
    <row r="201" ht="50.0" customHeight="true">
      <c r="A201" s="114" t="s">
        <v>376</v>
      </c>
      <c r="B201" s="114" t="s">
        <v>1355</v>
      </c>
      <c r="C201" s="114" t="s">
        <v>378</v>
      </c>
      <c r="D201" s="114"/>
      <c r="E201" s="115" t="s">
        <v>379</v>
      </c>
      <c r="F201" s="114" t="s">
        <v>380</v>
      </c>
      <c r="G201" s="114" t="s">
        <v>102</v>
      </c>
      <c r="H201" s="116" t="n">
        <v>25.0</v>
      </c>
      <c r="I201" s="116" t="n">
        <v>65.9</v>
      </c>
      <c r="J201" s="116" t="s">
        <v>103</v>
      </c>
      <c r="K201" s="116" t="n">
        <v>63.9</v>
      </c>
      <c r="L201" s="116" t="n">
        <v>2.0</v>
      </c>
      <c r="M201" s="116" t="n">
        <v>62.0</v>
      </c>
      <c r="N201" s="116" t="n">
        <v>4.0</v>
      </c>
      <c r="O201" s="116"/>
      <c r="P201" s="116"/>
      <c r="Q201" s="116"/>
      <c r="R201" s="116"/>
      <c r="S201" s="116"/>
      <c r="T201" s="116"/>
      <c r="U201" s="114" t="s">
        <v>104</v>
      </c>
      <c r="V201" s="114" t="s">
        <v>1356</v>
      </c>
      <c r="W201" s="116" t="s">
        <v>106</v>
      </c>
      <c r="X201" s="116" t="s">
        <v>107</v>
      </c>
      <c r="Y201" s="116" t="s">
        <v>152</v>
      </c>
      <c r="Z201" s="114">
        <f>IF(INDIRECT("Y201")="Premium","17.5%","-")</f>
      </c>
      <c r="AA201" s="114" t="s">
        <v>1357</v>
      </c>
      <c r="AB201" s="116" t="s">
        <v>110</v>
      </c>
      <c r="AC201" s="116" t="n">
        <v>30.0</v>
      </c>
      <c r="AD201" s="116" t="s">
        <v>111</v>
      </c>
      <c r="AE201" s="117" t="s">
        <v>112</v>
      </c>
      <c r="AF201" s="114" t="s">
        <v>280</v>
      </c>
      <c r="AG201" s="116" t="n">
        <v>32.0</v>
      </c>
      <c r="AH201" s="116" t="n">
        <v>29.0</v>
      </c>
      <c r="AI201" s="116" t="n">
        <v>4.0</v>
      </c>
      <c r="AJ201" s="116" t="n">
        <v>1.21</v>
      </c>
    </row>
    <row r="202" ht="50.0" customHeight="true">
      <c r="A202" s="114" t="s">
        <v>22</v>
      </c>
      <c r="B202" s="114" t="s">
        <v>1358</v>
      </c>
      <c r="C202" s="114"/>
      <c r="D202" s="114"/>
      <c r="E202" s="114" t="s">
        <v>22</v>
      </c>
      <c r="F202" s="114" t="s">
        <v>1359</v>
      </c>
      <c r="G202" s="114" t="s">
        <v>102</v>
      </c>
      <c r="H202" s="114" t="s">
        <v>1360</v>
      </c>
      <c r="I202" s="116" t="n">
        <v>24.9</v>
      </c>
      <c r="J202" s="116" t="s">
        <v>103</v>
      </c>
      <c r="K202" s="116"/>
      <c r="L202" s="116"/>
      <c r="M202" s="116"/>
      <c r="N202" s="116"/>
      <c r="O202" s="116"/>
      <c r="P202" s="116"/>
      <c r="Q202" s="116"/>
      <c r="R202" s="116"/>
      <c r="S202" s="116"/>
      <c r="T202" s="116"/>
      <c r="U202" s="116" t="s">
        <v>104</v>
      </c>
      <c r="V202" s="118" t="s">
        <v>1361</v>
      </c>
      <c r="W202" s="116" t="s">
        <v>106</v>
      </c>
      <c r="X202" s="116" t="s">
        <v>143</v>
      </c>
      <c r="Y202" s="116" t="s">
        <v>108</v>
      </c>
      <c r="Z202" s="114">
        <f>IF(INDIRECT("Y202")="Clássico","11.5%","-")</f>
      </c>
      <c r="AA202" s="114" t="s">
        <v>1357</v>
      </c>
      <c r="AB202" s="116" t="s">
        <v>120</v>
      </c>
      <c r="AC202" s="116" t="n">
        <v>90.0</v>
      </c>
      <c r="AD202" s="116" t="s">
        <v>111</v>
      </c>
      <c r="AE202" s="117" t="s">
        <v>112</v>
      </c>
      <c r="AF202" s="114" t="s">
        <v>1362</v>
      </c>
      <c r="AG202" s="116"/>
      <c r="AH202" s="116"/>
      <c r="AI202" s="116"/>
      <c r="AJ202" s="116"/>
    </row>
    <row r="203" ht="50.0" customHeight="true">
      <c r="A203" s="114" t="s">
        <v>22</v>
      </c>
      <c r="B203" s="114" t="s">
        <v>1358</v>
      </c>
      <c r="C203" s="114" t="s">
        <v>1363</v>
      </c>
      <c r="D203" s="114" t="s">
        <v>1363</v>
      </c>
      <c r="E203" s="115" t="s">
        <v>1364</v>
      </c>
      <c r="F203" s="119">
        <f>"     "&amp;F202</f>
      </c>
      <c r="G203" s="114" t="s">
        <v>1365</v>
      </c>
      <c r="H203" s="116" t="n">
        <v>569.0</v>
      </c>
      <c r="I203" s="114">
        <f>I202</f>
      </c>
      <c r="J203" s="114">
        <f>J202&amp;"     "</f>
      </c>
      <c r="K203" s="114">
        <f>K202</f>
      </c>
      <c r="L203" s="114">
        <f>L202</f>
      </c>
      <c r="M203" s="114">
        <f>M202</f>
      </c>
      <c r="N203" s="114">
        <f>N202</f>
      </c>
      <c r="O203" s="114">
        <f>O202</f>
      </c>
      <c r="P203" s="114">
        <f>P202</f>
      </c>
      <c r="Q203" s="114">
        <f>Q202</f>
      </c>
      <c r="R203" s="114">
        <f>R202</f>
      </c>
      <c r="S203" s="114">
        <f>S202</f>
      </c>
      <c r="T203" s="114">
        <f>T202</f>
      </c>
      <c r="U203" s="114">
        <f>U202&amp;"     "</f>
      </c>
      <c r="V203" s="119">
        <f>V202</f>
      </c>
      <c r="W203" s="114">
        <f>W202&amp;"     "</f>
      </c>
      <c r="X203" s="114">
        <f>X202&amp;"     "</f>
      </c>
      <c r="Y203" s="114">
        <f>Y202&amp;"     "</f>
      </c>
      <c r="Z203" s="114">
        <f>Z202</f>
      </c>
      <c r="AA203" s="114">
        <f>AA202</f>
      </c>
      <c r="AB203" s="114">
        <f>AB202&amp;"     "</f>
      </c>
      <c r="AC203" s="114">
        <f>AC202</f>
      </c>
      <c r="AD203" s="114">
        <f>AD202&amp;"     "</f>
      </c>
      <c r="AE203" s="114">
        <f>AE202</f>
      </c>
      <c r="AF203" s="114" t="s">
        <v>1362</v>
      </c>
      <c r="AG203" s="114">
        <f>AG202</f>
      </c>
      <c r="AH203" s="114">
        <f>AH202</f>
      </c>
      <c r="AI203" s="114">
        <f>AI202</f>
      </c>
      <c r="AJ203" s="114">
        <f>AJ202</f>
      </c>
    </row>
    <row r="204" ht="50.0" customHeight="true">
      <c r="A204" s="114" t="s">
        <v>22</v>
      </c>
      <c r="B204" s="114" t="s">
        <v>1358</v>
      </c>
      <c r="C204" s="114" t="s">
        <v>1366</v>
      </c>
      <c r="D204" s="114" t="s">
        <v>1366</v>
      </c>
      <c r="E204" s="115" t="s">
        <v>1367</v>
      </c>
      <c r="F204" s="119">
        <f>"     "&amp;F202</f>
      </c>
      <c r="G204" s="114" t="s">
        <v>1368</v>
      </c>
      <c r="H204" s="116" t="n">
        <v>509.0</v>
      </c>
      <c r="I204" s="114">
        <f>I202</f>
      </c>
      <c r="J204" s="114">
        <f>J202&amp;"     "</f>
      </c>
      <c r="K204" s="114">
        <f>K202</f>
      </c>
      <c r="L204" s="114">
        <f>L202</f>
      </c>
      <c r="M204" s="114">
        <f>M202</f>
      </c>
      <c r="N204" s="114">
        <f>N202</f>
      </c>
      <c r="O204" s="114">
        <f>O202</f>
      </c>
      <c r="P204" s="114">
        <f>P202</f>
      </c>
      <c r="Q204" s="114">
        <f>Q202</f>
      </c>
      <c r="R204" s="114">
        <f>R202</f>
      </c>
      <c r="S204" s="114">
        <f>S202</f>
      </c>
      <c r="T204" s="114">
        <f>T202</f>
      </c>
      <c r="U204" s="114">
        <f>U202&amp;"     "</f>
      </c>
      <c r="V204" s="119">
        <f>V202</f>
      </c>
      <c r="W204" s="114">
        <f>W202&amp;"     "</f>
      </c>
      <c r="X204" s="114">
        <f>X202&amp;"     "</f>
      </c>
      <c r="Y204" s="114">
        <f>Y202&amp;"     "</f>
      </c>
      <c r="Z204" s="114">
        <f>Z202</f>
      </c>
      <c r="AA204" s="114">
        <f>AA202</f>
      </c>
      <c r="AB204" s="114">
        <f>AB202&amp;"     "</f>
      </c>
      <c r="AC204" s="114">
        <f>AC202</f>
      </c>
      <c r="AD204" s="114">
        <f>AD202&amp;"     "</f>
      </c>
      <c r="AE204" s="114">
        <f>AE202</f>
      </c>
      <c r="AF204" s="114" t="s">
        <v>1362</v>
      </c>
      <c r="AG204" s="114">
        <f>AG202</f>
      </c>
      <c r="AH204" s="114">
        <f>AH202</f>
      </c>
      <c r="AI204" s="114">
        <f>AI202</f>
      </c>
      <c r="AJ204" s="114">
        <f>AJ202</f>
      </c>
    </row>
    <row r="205" ht="50.0" customHeight="true">
      <c r="A205" s="114" t="s">
        <v>22</v>
      </c>
      <c r="B205" s="114" t="s">
        <v>1358</v>
      </c>
      <c r="C205" s="114" t="s">
        <v>1369</v>
      </c>
      <c r="D205" s="114" t="s">
        <v>1369</v>
      </c>
      <c r="E205" s="115" t="s">
        <v>1370</v>
      </c>
      <c r="F205" s="119">
        <f>"     "&amp;F202</f>
      </c>
      <c r="G205" s="114" t="s">
        <v>1371</v>
      </c>
      <c r="H205" s="116" t="n">
        <v>779.0</v>
      </c>
      <c r="I205" s="114">
        <f>I202</f>
      </c>
      <c r="J205" s="114">
        <f>J202&amp;"     "</f>
      </c>
      <c r="K205" s="114">
        <f>K202</f>
      </c>
      <c r="L205" s="114">
        <f>L202</f>
      </c>
      <c r="M205" s="114">
        <f>M202</f>
      </c>
      <c r="N205" s="114">
        <f>N202</f>
      </c>
      <c r="O205" s="114">
        <f>O202</f>
      </c>
      <c r="P205" s="114">
        <f>P202</f>
      </c>
      <c r="Q205" s="114">
        <f>Q202</f>
      </c>
      <c r="R205" s="114">
        <f>R202</f>
      </c>
      <c r="S205" s="114">
        <f>S202</f>
      </c>
      <c r="T205" s="114">
        <f>T202</f>
      </c>
      <c r="U205" s="114">
        <f>U202&amp;"     "</f>
      </c>
      <c r="V205" s="119">
        <f>V202</f>
      </c>
      <c r="W205" s="114">
        <f>W202&amp;"     "</f>
      </c>
      <c r="X205" s="114">
        <f>X202&amp;"     "</f>
      </c>
      <c r="Y205" s="114">
        <f>Y202&amp;"     "</f>
      </c>
      <c r="Z205" s="114">
        <f>Z202</f>
      </c>
      <c r="AA205" s="114">
        <f>AA202</f>
      </c>
      <c r="AB205" s="114">
        <f>AB202&amp;"     "</f>
      </c>
      <c r="AC205" s="114">
        <f>AC202</f>
      </c>
      <c r="AD205" s="114">
        <f>AD202&amp;"     "</f>
      </c>
      <c r="AE205" s="114">
        <f>AE202</f>
      </c>
      <c r="AF205" s="114" t="s">
        <v>1362</v>
      </c>
      <c r="AG205" s="114">
        <f>AG202</f>
      </c>
      <c r="AH205" s="114">
        <f>AH202</f>
      </c>
      <c r="AI205" s="114">
        <f>AI202</f>
      </c>
      <c r="AJ205" s="114">
        <f>AJ202</f>
      </c>
    </row>
    <row r="206" ht="50.0" customHeight="true">
      <c r="A206" s="114" t="s">
        <v>22</v>
      </c>
      <c r="B206" s="114" t="s">
        <v>1358</v>
      </c>
      <c r="C206" s="114" t="s">
        <v>1372</v>
      </c>
      <c r="D206" s="114" t="s">
        <v>1372</v>
      </c>
      <c r="E206" s="115" t="s">
        <v>1373</v>
      </c>
      <c r="F206" s="119">
        <f>"     "&amp;F202</f>
      </c>
      <c r="G206" s="114" t="s">
        <v>1374</v>
      </c>
      <c r="H206" s="116" t="n">
        <v>570.0</v>
      </c>
      <c r="I206" s="114">
        <f>I202</f>
      </c>
      <c r="J206" s="114">
        <f>J202&amp;"     "</f>
      </c>
      <c r="K206" s="114">
        <f>K202</f>
      </c>
      <c r="L206" s="114">
        <f>L202</f>
      </c>
      <c r="M206" s="114">
        <f>M202</f>
      </c>
      <c r="N206" s="114">
        <f>N202</f>
      </c>
      <c r="O206" s="114">
        <f>O202</f>
      </c>
      <c r="P206" s="114">
        <f>P202</f>
      </c>
      <c r="Q206" s="114">
        <f>Q202</f>
      </c>
      <c r="R206" s="114">
        <f>R202</f>
      </c>
      <c r="S206" s="114">
        <f>S202</f>
      </c>
      <c r="T206" s="114">
        <f>T202</f>
      </c>
      <c r="U206" s="114">
        <f>U202&amp;"     "</f>
      </c>
      <c r="V206" s="119">
        <f>V202</f>
      </c>
      <c r="W206" s="114">
        <f>W202&amp;"     "</f>
      </c>
      <c r="X206" s="114">
        <f>X202&amp;"     "</f>
      </c>
      <c r="Y206" s="114">
        <f>Y202&amp;"     "</f>
      </c>
      <c r="Z206" s="114">
        <f>Z202</f>
      </c>
      <c r="AA206" s="114">
        <f>AA202</f>
      </c>
      <c r="AB206" s="114">
        <f>AB202&amp;"     "</f>
      </c>
      <c r="AC206" s="114">
        <f>AC202</f>
      </c>
      <c r="AD206" s="114">
        <f>AD202&amp;"     "</f>
      </c>
      <c r="AE206" s="114">
        <f>AE202</f>
      </c>
      <c r="AF206" s="114" t="s">
        <v>1362</v>
      </c>
      <c r="AG206" s="114">
        <f>AG202</f>
      </c>
      <c r="AH206" s="114">
        <f>AH202</f>
      </c>
      <c r="AI206" s="114">
        <f>AI202</f>
      </c>
      <c r="AJ206" s="114">
        <f>AJ202</f>
      </c>
    </row>
    <row r="207" ht="50.0" customHeight="true">
      <c r="A207" s="114" t="s">
        <v>22</v>
      </c>
      <c r="B207" s="114" t="s">
        <v>1358</v>
      </c>
      <c r="C207" s="114" t="s">
        <v>1375</v>
      </c>
      <c r="D207" s="114" t="s">
        <v>1375</v>
      </c>
      <c r="E207" s="115"/>
      <c r="F207" s="119">
        <f>"     "&amp;F202</f>
      </c>
      <c r="G207" s="114" t="s">
        <v>419</v>
      </c>
      <c r="H207" s="116" t="n">
        <v>10.0</v>
      </c>
      <c r="I207" s="114">
        <f>I202</f>
      </c>
      <c r="J207" s="114">
        <f>J202&amp;"     "</f>
      </c>
      <c r="K207" s="114">
        <f>K202</f>
      </c>
      <c r="L207" s="114">
        <f>L202</f>
      </c>
      <c r="M207" s="114">
        <f>M202</f>
      </c>
      <c r="N207" s="114">
        <f>N202</f>
      </c>
      <c r="O207" s="114">
        <f>O202</f>
      </c>
      <c r="P207" s="114">
        <f>P202</f>
      </c>
      <c r="Q207" s="114">
        <f>Q202</f>
      </c>
      <c r="R207" s="114">
        <f>R202</f>
      </c>
      <c r="S207" s="114">
        <f>S202</f>
      </c>
      <c r="T207" s="114">
        <f>T202</f>
      </c>
      <c r="U207" s="114">
        <f>U202&amp;"     "</f>
      </c>
      <c r="V207" s="119">
        <f>V202</f>
      </c>
      <c r="W207" s="114">
        <f>W202&amp;"     "</f>
      </c>
      <c r="X207" s="114">
        <f>X202&amp;"     "</f>
      </c>
      <c r="Y207" s="114">
        <f>Y202&amp;"     "</f>
      </c>
      <c r="Z207" s="114">
        <f>Z202</f>
      </c>
      <c r="AA207" s="114">
        <f>AA202</f>
      </c>
      <c r="AB207" s="114">
        <f>AB202&amp;"     "</f>
      </c>
      <c r="AC207" s="114">
        <f>AC202</f>
      </c>
      <c r="AD207" s="114">
        <f>AD202&amp;"     "</f>
      </c>
      <c r="AE207" s="114">
        <f>AE202</f>
      </c>
      <c r="AF207" s="114" t="s">
        <v>1362</v>
      </c>
      <c r="AG207" s="114">
        <f>AG202</f>
      </c>
      <c r="AH207" s="114">
        <f>AH202</f>
      </c>
      <c r="AI207" s="114">
        <f>AI202</f>
      </c>
      <c r="AJ207" s="114">
        <f>AJ202</f>
      </c>
    </row>
    <row r="208" ht="50.0" customHeight="true">
      <c r="A208" s="114" t="s">
        <v>22</v>
      </c>
      <c r="B208" s="114" t="s">
        <v>1358</v>
      </c>
      <c r="C208" s="114" t="s">
        <v>1376</v>
      </c>
      <c r="D208" s="114" t="s">
        <v>1376</v>
      </c>
      <c r="E208" s="115" t="s">
        <v>1377</v>
      </c>
      <c r="F208" s="119">
        <f>"     "&amp;F202</f>
      </c>
      <c r="G208" s="114" t="s">
        <v>1378</v>
      </c>
      <c r="H208" s="116" t="n">
        <v>600.0</v>
      </c>
      <c r="I208" s="114">
        <f>I202</f>
      </c>
      <c r="J208" s="114">
        <f>J202&amp;"     "</f>
      </c>
      <c r="K208" s="114">
        <f>K202</f>
      </c>
      <c r="L208" s="114">
        <f>L202</f>
      </c>
      <c r="M208" s="114">
        <f>M202</f>
      </c>
      <c r="N208" s="114">
        <f>N202</f>
      </c>
      <c r="O208" s="114">
        <f>O202</f>
      </c>
      <c r="P208" s="114">
        <f>P202</f>
      </c>
      <c r="Q208" s="114">
        <f>Q202</f>
      </c>
      <c r="R208" s="114">
        <f>R202</f>
      </c>
      <c r="S208" s="114">
        <f>S202</f>
      </c>
      <c r="T208" s="114">
        <f>T202</f>
      </c>
      <c r="U208" s="114">
        <f>U202&amp;"     "</f>
      </c>
      <c r="V208" s="119">
        <f>V202</f>
      </c>
      <c r="W208" s="114">
        <f>W202&amp;"     "</f>
      </c>
      <c r="X208" s="114">
        <f>X202&amp;"     "</f>
      </c>
      <c r="Y208" s="114">
        <f>Y202&amp;"     "</f>
      </c>
      <c r="Z208" s="114">
        <f>Z202</f>
      </c>
      <c r="AA208" s="114">
        <f>AA202</f>
      </c>
      <c r="AB208" s="114">
        <f>AB202&amp;"     "</f>
      </c>
      <c r="AC208" s="114">
        <f>AC202</f>
      </c>
      <c r="AD208" s="114">
        <f>AD202&amp;"     "</f>
      </c>
      <c r="AE208" s="114">
        <f>AE202</f>
      </c>
      <c r="AF208" s="114" t="s">
        <v>1362</v>
      </c>
      <c r="AG208" s="114">
        <f>AG202</f>
      </c>
      <c r="AH208" s="114">
        <f>AH202</f>
      </c>
      <c r="AI208" s="114">
        <f>AI202</f>
      </c>
      <c r="AJ208" s="114">
        <f>AJ202</f>
      </c>
    </row>
    <row r="209" ht="50.0" customHeight="true">
      <c r="A209" s="114" t="s">
        <v>22</v>
      </c>
      <c r="B209" s="114" t="s">
        <v>1358</v>
      </c>
      <c r="C209" s="114" t="s">
        <v>1379</v>
      </c>
      <c r="D209" s="114" t="s">
        <v>1379</v>
      </c>
      <c r="E209" s="115" t="s">
        <v>1380</v>
      </c>
      <c r="F209" s="119">
        <f>"     "&amp;F202</f>
      </c>
      <c r="G209" s="114" t="s">
        <v>411</v>
      </c>
      <c r="H209" s="116" t="n">
        <v>689.0</v>
      </c>
      <c r="I209" s="114">
        <f>I202</f>
      </c>
      <c r="J209" s="114">
        <f>J202&amp;"     "</f>
      </c>
      <c r="K209" s="114">
        <f>K202</f>
      </c>
      <c r="L209" s="114">
        <f>L202</f>
      </c>
      <c r="M209" s="114">
        <f>M202</f>
      </c>
      <c r="N209" s="114">
        <f>N202</f>
      </c>
      <c r="O209" s="114">
        <f>O202</f>
      </c>
      <c r="P209" s="114">
        <f>P202</f>
      </c>
      <c r="Q209" s="114">
        <f>Q202</f>
      </c>
      <c r="R209" s="114">
        <f>R202</f>
      </c>
      <c r="S209" s="114">
        <f>S202</f>
      </c>
      <c r="T209" s="114">
        <f>T202</f>
      </c>
      <c r="U209" s="114">
        <f>U202&amp;"     "</f>
      </c>
      <c r="V209" s="119">
        <f>V202</f>
      </c>
      <c r="W209" s="114">
        <f>W202&amp;"     "</f>
      </c>
      <c r="X209" s="114">
        <f>X202&amp;"     "</f>
      </c>
      <c r="Y209" s="114">
        <f>Y202&amp;"     "</f>
      </c>
      <c r="Z209" s="114">
        <f>Z202</f>
      </c>
      <c r="AA209" s="114">
        <f>AA202</f>
      </c>
      <c r="AB209" s="114">
        <f>AB202&amp;"     "</f>
      </c>
      <c r="AC209" s="114">
        <f>AC202</f>
      </c>
      <c r="AD209" s="114">
        <f>AD202&amp;"     "</f>
      </c>
      <c r="AE209" s="114">
        <f>AE202</f>
      </c>
      <c r="AF209" s="114" t="s">
        <v>1362</v>
      </c>
      <c r="AG209" s="114">
        <f>AG202</f>
      </c>
      <c r="AH209" s="114">
        <f>AH202</f>
      </c>
      <c r="AI209" s="114">
        <f>AI202</f>
      </c>
      <c r="AJ209" s="114">
        <f>AJ202</f>
      </c>
    </row>
    <row r="210" ht="50.0" customHeight="true">
      <c r="A210" s="114" t="s">
        <v>22</v>
      </c>
      <c r="B210" s="114" t="s">
        <v>1358</v>
      </c>
      <c r="C210" s="114" t="s">
        <v>1381</v>
      </c>
      <c r="D210" s="114" t="s">
        <v>1381</v>
      </c>
      <c r="E210" s="115" t="s">
        <v>1382</v>
      </c>
      <c r="F210" s="119">
        <f>"     "&amp;F202</f>
      </c>
      <c r="G210" s="114" t="s">
        <v>1383</v>
      </c>
      <c r="H210" s="116" t="n">
        <v>270.0</v>
      </c>
      <c r="I210" s="114">
        <f>I202</f>
      </c>
      <c r="J210" s="114">
        <f>J202&amp;"     "</f>
      </c>
      <c r="K210" s="114">
        <f>K202</f>
      </c>
      <c r="L210" s="114">
        <f>L202</f>
      </c>
      <c r="M210" s="114">
        <f>M202</f>
      </c>
      <c r="N210" s="114">
        <f>N202</f>
      </c>
      <c r="O210" s="114">
        <f>O202</f>
      </c>
      <c r="P210" s="114">
        <f>P202</f>
      </c>
      <c r="Q210" s="114">
        <f>Q202</f>
      </c>
      <c r="R210" s="114">
        <f>R202</f>
      </c>
      <c r="S210" s="114">
        <f>S202</f>
      </c>
      <c r="T210" s="114">
        <f>T202</f>
      </c>
      <c r="U210" s="114">
        <f>U202&amp;"     "</f>
      </c>
      <c r="V210" s="119">
        <f>V202</f>
      </c>
      <c r="W210" s="114">
        <f>W202&amp;"     "</f>
      </c>
      <c r="X210" s="114">
        <f>X202&amp;"     "</f>
      </c>
      <c r="Y210" s="114">
        <f>Y202&amp;"     "</f>
      </c>
      <c r="Z210" s="114">
        <f>Z202</f>
      </c>
      <c r="AA210" s="114">
        <f>AA202</f>
      </c>
      <c r="AB210" s="114">
        <f>AB202&amp;"     "</f>
      </c>
      <c r="AC210" s="114">
        <f>AC202</f>
      </c>
      <c r="AD210" s="114">
        <f>AD202&amp;"     "</f>
      </c>
      <c r="AE210" s="114">
        <f>AE202</f>
      </c>
      <c r="AF210" s="114" t="s">
        <v>1362</v>
      </c>
      <c r="AG210" s="114">
        <f>AG202</f>
      </c>
      <c r="AH210" s="114">
        <f>AH202</f>
      </c>
      <c r="AI210" s="114">
        <f>AI202</f>
      </c>
      <c r="AJ210" s="114">
        <f>AJ202</f>
      </c>
    </row>
    <row r="211" ht="50.0" customHeight="true">
      <c r="A211" s="114" t="s">
        <v>22</v>
      </c>
      <c r="B211" s="114" t="s">
        <v>1358</v>
      </c>
      <c r="C211" s="114" t="s">
        <v>1384</v>
      </c>
      <c r="D211" s="114" t="s">
        <v>1384</v>
      </c>
      <c r="E211" s="115" t="s">
        <v>1385</v>
      </c>
      <c r="F211" s="119">
        <f>"     "&amp;F202</f>
      </c>
      <c r="G211" s="114" t="s">
        <v>1386</v>
      </c>
      <c r="H211" s="116" t="n">
        <v>780.0</v>
      </c>
      <c r="I211" s="114">
        <f>I202</f>
      </c>
      <c r="J211" s="114">
        <f>J202&amp;"     "</f>
      </c>
      <c r="K211" s="114">
        <f>K202</f>
      </c>
      <c r="L211" s="114">
        <f>L202</f>
      </c>
      <c r="M211" s="114">
        <f>M202</f>
      </c>
      <c r="N211" s="114">
        <f>N202</f>
      </c>
      <c r="O211" s="114">
        <f>O202</f>
      </c>
      <c r="P211" s="114">
        <f>P202</f>
      </c>
      <c r="Q211" s="114">
        <f>Q202</f>
      </c>
      <c r="R211" s="114">
        <f>R202</f>
      </c>
      <c r="S211" s="114">
        <f>S202</f>
      </c>
      <c r="T211" s="114">
        <f>T202</f>
      </c>
      <c r="U211" s="114">
        <f>U202&amp;"     "</f>
      </c>
      <c r="V211" s="119">
        <f>V202</f>
      </c>
      <c r="W211" s="114">
        <f>W202&amp;"     "</f>
      </c>
      <c r="X211" s="114">
        <f>X202&amp;"     "</f>
      </c>
      <c r="Y211" s="114">
        <f>Y202&amp;"     "</f>
      </c>
      <c r="Z211" s="114">
        <f>Z202</f>
      </c>
      <c r="AA211" s="114">
        <f>AA202</f>
      </c>
      <c r="AB211" s="114">
        <f>AB202&amp;"     "</f>
      </c>
      <c r="AC211" s="114">
        <f>AC202</f>
      </c>
      <c r="AD211" s="114">
        <f>AD202&amp;"     "</f>
      </c>
      <c r="AE211" s="114">
        <f>AE202</f>
      </c>
      <c r="AF211" s="114" t="s">
        <v>1362</v>
      </c>
      <c r="AG211" s="114">
        <f>AG202</f>
      </c>
      <c r="AH211" s="114">
        <f>AH202</f>
      </c>
      <c r="AI211" s="114">
        <f>AI202</f>
      </c>
      <c r="AJ211" s="114">
        <f>AJ202</f>
      </c>
    </row>
    <row r="212" ht="50.0" customHeight="true">
      <c r="A212" s="114" t="s">
        <v>22</v>
      </c>
      <c r="B212" s="114" t="s">
        <v>1358</v>
      </c>
      <c r="C212" s="114" t="s">
        <v>1387</v>
      </c>
      <c r="D212" s="114" t="s">
        <v>1387</v>
      </c>
      <c r="E212" s="115" t="s">
        <v>1388</v>
      </c>
      <c r="F212" s="119">
        <f>"     "&amp;F202</f>
      </c>
      <c r="G212" s="114" t="s">
        <v>1389</v>
      </c>
      <c r="H212" s="116" t="n">
        <v>930.0</v>
      </c>
      <c r="I212" s="114">
        <f>I202</f>
      </c>
      <c r="J212" s="114">
        <f>J202&amp;"     "</f>
      </c>
      <c r="K212" s="114">
        <f>K202</f>
      </c>
      <c r="L212" s="114">
        <f>L202</f>
      </c>
      <c r="M212" s="114">
        <f>M202</f>
      </c>
      <c r="N212" s="114">
        <f>N202</f>
      </c>
      <c r="O212" s="114">
        <f>O202</f>
      </c>
      <c r="P212" s="114">
        <f>P202</f>
      </c>
      <c r="Q212" s="114">
        <f>Q202</f>
      </c>
      <c r="R212" s="114">
        <f>R202</f>
      </c>
      <c r="S212" s="114">
        <f>S202</f>
      </c>
      <c r="T212" s="114">
        <f>T202</f>
      </c>
      <c r="U212" s="114">
        <f>U202&amp;"     "</f>
      </c>
      <c r="V212" s="119">
        <f>V202</f>
      </c>
      <c r="W212" s="114">
        <f>W202&amp;"     "</f>
      </c>
      <c r="X212" s="114">
        <f>X202&amp;"     "</f>
      </c>
      <c r="Y212" s="114">
        <f>Y202&amp;"     "</f>
      </c>
      <c r="Z212" s="114">
        <f>Z202</f>
      </c>
      <c r="AA212" s="114">
        <f>AA202</f>
      </c>
      <c r="AB212" s="114">
        <f>AB202&amp;"     "</f>
      </c>
      <c r="AC212" s="114">
        <f>AC202</f>
      </c>
      <c r="AD212" s="114">
        <f>AD202&amp;"     "</f>
      </c>
      <c r="AE212" s="114">
        <f>AE202</f>
      </c>
      <c r="AF212" s="114" t="s">
        <v>1362</v>
      </c>
      <c r="AG212" s="114">
        <f>AG202</f>
      </c>
      <c r="AH212" s="114">
        <f>AH202</f>
      </c>
      <c r="AI212" s="114">
        <f>AI202</f>
      </c>
      <c r="AJ212" s="114">
        <f>AJ202</f>
      </c>
    </row>
    <row r="213" ht="50.0" customHeight="true">
      <c r="A213" s="114" t="s">
        <v>22</v>
      </c>
      <c r="B213" s="114" t="s">
        <v>1358</v>
      </c>
      <c r="C213" s="114" t="s">
        <v>1390</v>
      </c>
      <c r="D213" s="114" t="s">
        <v>1390</v>
      </c>
      <c r="E213" s="115" t="s">
        <v>1391</v>
      </c>
      <c r="F213" s="119">
        <f>"     "&amp;F202</f>
      </c>
      <c r="G213" s="114" t="s">
        <v>1392</v>
      </c>
      <c r="H213" s="116" t="n">
        <v>720.0</v>
      </c>
      <c r="I213" s="114">
        <f>I202</f>
      </c>
      <c r="J213" s="114">
        <f>J202&amp;"     "</f>
      </c>
      <c r="K213" s="114">
        <f>K202</f>
      </c>
      <c r="L213" s="114">
        <f>L202</f>
      </c>
      <c r="M213" s="114">
        <f>M202</f>
      </c>
      <c r="N213" s="114">
        <f>N202</f>
      </c>
      <c r="O213" s="114">
        <f>O202</f>
      </c>
      <c r="P213" s="114">
        <f>P202</f>
      </c>
      <c r="Q213" s="114">
        <f>Q202</f>
      </c>
      <c r="R213" s="114">
        <f>R202</f>
      </c>
      <c r="S213" s="114">
        <f>S202</f>
      </c>
      <c r="T213" s="114">
        <f>T202</f>
      </c>
      <c r="U213" s="114">
        <f>U202&amp;"     "</f>
      </c>
      <c r="V213" s="119">
        <f>V202</f>
      </c>
      <c r="W213" s="114">
        <f>W202&amp;"     "</f>
      </c>
      <c r="X213" s="114">
        <f>X202&amp;"     "</f>
      </c>
      <c r="Y213" s="114">
        <f>Y202&amp;"     "</f>
      </c>
      <c r="Z213" s="114">
        <f>Z202</f>
      </c>
      <c r="AA213" s="114">
        <f>AA202</f>
      </c>
      <c r="AB213" s="114">
        <f>AB202&amp;"     "</f>
      </c>
      <c r="AC213" s="114">
        <f>AC202</f>
      </c>
      <c r="AD213" s="114">
        <f>AD202&amp;"     "</f>
      </c>
      <c r="AE213" s="114">
        <f>AE202</f>
      </c>
      <c r="AF213" s="114" t="s">
        <v>1362</v>
      </c>
      <c r="AG213" s="114">
        <f>AG202</f>
      </c>
      <c r="AH213" s="114">
        <f>AH202</f>
      </c>
      <c r="AI213" s="114">
        <f>AI202</f>
      </c>
      <c r="AJ213" s="114">
        <f>AJ202</f>
      </c>
    </row>
    <row r="214" ht="50.0" customHeight="true">
      <c r="A214" s="114" t="s">
        <v>22</v>
      </c>
      <c r="B214" s="114" t="s">
        <v>1358</v>
      </c>
      <c r="C214" s="114" t="s">
        <v>1393</v>
      </c>
      <c r="D214" s="114" t="s">
        <v>1393</v>
      </c>
      <c r="E214" s="115" t="s">
        <v>1394</v>
      </c>
      <c r="F214" s="119">
        <f>"     "&amp;F202</f>
      </c>
      <c r="G214" s="114" t="s">
        <v>1395</v>
      </c>
      <c r="H214" s="116" t="n">
        <v>600.0</v>
      </c>
      <c r="I214" s="114">
        <f>I202</f>
      </c>
      <c r="J214" s="114">
        <f>J202&amp;"     "</f>
      </c>
      <c r="K214" s="114">
        <f>K202</f>
      </c>
      <c r="L214" s="114">
        <f>L202</f>
      </c>
      <c r="M214" s="114">
        <f>M202</f>
      </c>
      <c r="N214" s="114">
        <f>N202</f>
      </c>
      <c r="O214" s="114">
        <f>O202</f>
      </c>
      <c r="P214" s="114">
        <f>P202</f>
      </c>
      <c r="Q214" s="114">
        <f>Q202</f>
      </c>
      <c r="R214" s="114">
        <f>R202</f>
      </c>
      <c r="S214" s="114">
        <f>S202</f>
      </c>
      <c r="T214" s="114">
        <f>T202</f>
      </c>
      <c r="U214" s="114">
        <f>U202&amp;"     "</f>
      </c>
      <c r="V214" s="119">
        <f>V202</f>
      </c>
      <c r="W214" s="114">
        <f>W202&amp;"     "</f>
      </c>
      <c r="X214" s="114">
        <f>X202&amp;"     "</f>
      </c>
      <c r="Y214" s="114">
        <f>Y202&amp;"     "</f>
      </c>
      <c r="Z214" s="114">
        <f>Z202</f>
      </c>
      <c r="AA214" s="114">
        <f>AA202</f>
      </c>
      <c r="AB214" s="114">
        <f>AB202&amp;"     "</f>
      </c>
      <c r="AC214" s="114">
        <f>AC202</f>
      </c>
      <c r="AD214" s="114">
        <f>AD202&amp;"     "</f>
      </c>
      <c r="AE214" s="114">
        <f>AE202</f>
      </c>
      <c r="AF214" s="114" t="s">
        <v>1362</v>
      </c>
      <c r="AG214" s="114">
        <f>AG202</f>
      </c>
      <c r="AH214" s="114">
        <f>AH202</f>
      </c>
      <c r="AI214" s="114">
        <f>AI202</f>
      </c>
      <c r="AJ214" s="114">
        <f>AJ202</f>
      </c>
    </row>
    <row r="215" ht="50.0" customHeight="true">
      <c r="A215" s="114" t="s">
        <v>22</v>
      </c>
      <c r="B215" s="114" t="s">
        <v>1358</v>
      </c>
      <c r="C215" s="114" t="s">
        <v>1396</v>
      </c>
      <c r="D215" s="114" t="s">
        <v>1396</v>
      </c>
      <c r="E215" s="115" t="s">
        <v>1397</v>
      </c>
      <c r="F215" s="119">
        <f>"     "&amp;F202</f>
      </c>
      <c r="G215" s="114" t="s">
        <v>1398</v>
      </c>
      <c r="H215" s="116" t="n">
        <v>810.0</v>
      </c>
      <c r="I215" s="114">
        <f>I202</f>
      </c>
      <c r="J215" s="114">
        <f>J202&amp;"     "</f>
      </c>
      <c r="K215" s="114">
        <f>K202</f>
      </c>
      <c r="L215" s="114">
        <f>L202</f>
      </c>
      <c r="M215" s="114">
        <f>M202</f>
      </c>
      <c r="N215" s="114">
        <f>N202</f>
      </c>
      <c r="O215" s="114">
        <f>O202</f>
      </c>
      <c r="P215" s="114">
        <f>P202</f>
      </c>
      <c r="Q215" s="114">
        <f>Q202</f>
      </c>
      <c r="R215" s="114">
        <f>R202</f>
      </c>
      <c r="S215" s="114">
        <f>S202</f>
      </c>
      <c r="T215" s="114">
        <f>T202</f>
      </c>
      <c r="U215" s="114">
        <f>U202&amp;"     "</f>
      </c>
      <c r="V215" s="119">
        <f>V202</f>
      </c>
      <c r="W215" s="114">
        <f>W202&amp;"     "</f>
      </c>
      <c r="X215" s="114">
        <f>X202&amp;"     "</f>
      </c>
      <c r="Y215" s="114">
        <f>Y202&amp;"     "</f>
      </c>
      <c r="Z215" s="114">
        <f>Z202</f>
      </c>
      <c r="AA215" s="114">
        <f>AA202</f>
      </c>
      <c r="AB215" s="114">
        <f>AB202&amp;"     "</f>
      </c>
      <c r="AC215" s="114">
        <f>AC202</f>
      </c>
      <c r="AD215" s="114">
        <f>AD202&amp;"     "</f>
      </c>
      <c r="AE215" s="114">
        <f>AE202</f>
      </c>
      <c r="AF215" s="114" t="s">
        <v>1362</v>
      </c>
      <c r="AG215" s="114">
        <f>AG202</f>
      </c>
      <c r="AH215" s="114">
        <f>AH202</f>
      </c>
      <c r="AI215" s="114">
        <f>AI202</f>
      </c>
      <c r="AJ215" s="114">
        <f>AJ202</f>
      </c>
    </row>
    <row r="216" ht="50.0" customHeight="true">
      <c r="A216" s="114" t="s">
        <v>22</v>
      </c>
      <c r="B216" s="114" t="s">
        <v>1358</v>
      </c>
      <c r="C216" s="114" t="s">
        <v>1399</v>
      </c>
      <c r="D216" s="114" t="s">
        <v>1399</v>
      </c>
      <c r="E216" s="115" t="s">
        <v>1400</v>
      </c>
      <c r="F216" s="119">
        <f>"     "&amp;F202</f>
      </c>
      <c r="G216" s="114" t="s">
        <v>1401</v>
      </c>
      <c r="H216" s="116" t="n">
        <v>570.0</v>
      </c>
      <c r="I216" s="114">
        <f>I202</f>
      </c>
      <c r="J216" s="114">
        <f>J202&amp;"     "</f>
      </c>
      <c r="K216" s="114">
        <f>K202</f>
      </c>
      <c r="L216" s="114">
        <f>L202</f>
      </c>
      <c r="M216" s="114">
        <f>M202</f>
      </c>
      <c r="N216" s="114">
        <f>N202</f>
      </c>
      <c r="O216" s="114">
        <f>O202</f>
      </c>
      <c r="P216" s="114">
        <f>P202</f>
      </c>
      <c r="Q216" s="114">
        <f>Q202</f>
      </c>
      <c r="R216" s="114">
        <f>R202</f>
      </c>
      <c r="S216" s="114">
        <f>S202</f>
      </c>
      <c r="T216" s="114">
        <f>T202</f>
      </c>
      <c r="U216" s="114">
        <f>U202&amp;"     "</f>
      </c>
      <c r="V216" s="119">
        <f>V202</f>
      </c>
      <c r="W216" s="114">
        <f>W202&amp;"     "</f>
      </c>
      <c r="X216" s="114">
        <f>X202&amp;"     "</f>
      </c>
      <c r="Y216" s="114">
        <f>Y202&amp;"     "</f>
      </c>
      <c r="Z216" s="114">
        <f>Z202</f>
      </c>
      <c r="AA216" s="114">
        <f>AA202</f>
      </c>
      <c r="AB216" s="114">
        <f>AB202&amp;"     "</f>
      </c>
      <c r="AC216" s="114">
        <f>AC202</f>
      </c>
      <c r="AD216" s="114">
        <f>AD202&amp;"     "</f>
      </c>
      <c r="AE216" s="114">
        <f>AE202</f>
      </c>
      <c r="AF216" s="114" t="s">
        <v>1362</v>
      </c>
      <c r="AG216" s="114">
        <f>AG202</f>
      </c>
      <c r="AH216" s="114">
        <f>AH202</f>
      </c>
      <c r="AI216" s="114">
        <f>AI202</f>
      </c>
      <c r="AJ216" s="114">
        <f>AJ202</f>
      </c>
    </row>
    <row r="217" ht="50.0" customHeight="true">
      <c r="A217" s="114" t="s">
        <v>22</v>
      </c>
      <c r="B217" s="114" t="s">
        <v>1358</v>
      </c>
      <c r="C217" s="114" t="s">
        <v>1402</v>
      </c>
      <c r="D217" s="114" t="s">
        <v>1402</v>
      </c>
      <c r="E217" s="115" t="s">
        <v>1403</v>
      </c>
      <c r="F217" s="119">
        <f>"     "&amp;F202</f>
      </c>
      <c r="G217" s="114" t="s">
        <v>1404</v>
      </c>
      <c r="H217" s="116" t="n">
        <v>990.0</v>
      </c>
      <c r="I217" s="114">
        <f>I202</f>
      </c>
      <c r="J217" s="114">
        <f>J202&amp;"     "</f>
      </c>
      <c r="K217" s="114">
        <f>K202</f>
      </c>
      <c r="L217" s="114">
        <f>L202</f>
      </c>
      <c r="M217" s="114">
        <f>M202</f>
      </c>
      <c r="N217" s="114">
        <f>N202</f>
      </c>
      <c r="O217" s="114">
        <f>O202</f>
      </c>
      <c r="P217" s="114">
        <f>P202</f>
      </c>
      <c r="Q217" s="114">
        <f>Q202</f>
      </c>
      <c r="R217" s="114">
        <f>R202</f>
      </c>
      <c r="S217" s="114">
        <f>S202</f>
      </c>
      <c r="T217" s="114">
        <f>T202</f>
      </c>
      <c r="U217" s="114">
        <f>U202&amp;"     "</f>
      </c>
      <c r="V217" s="119">
        <f>V202</f>
      </c>
      <c r="W217" s="114">
        <f>W202&amp;"     "</f>
      </c>
      <c r="X217" s="114">
        <f>X202&amp;"     "</f>
      </c>
      <c r="Y217" s="114">
        <f>Y202&amp;"     "</f>
      </c>
      <c r="Z217" s="114">
        <f>Z202</f>
      </c>
      <c r="AA217" s="114">
        <f>AA202</f>
      </c>
      <c r="AB217" s="114">
        <f>AB202&amp;"     "</f>
      </c>
      <c r="AC217" s="114">
        <f>AC202</f>
      </c>
      <c r="AD217" s="114">
        <f>AD202&amp;"     "</f>
      </c>
      <c r="AE217" s="114">
        <f>AE202</f>
      </c>
      <c r="AF217" s="114" t="s">
        <v>1362</v>
      </c>
      <c r="AG217" s="114">
        <f>AG202</f>
      </c>
      <c r="AH217" s="114">
        <f>AH202</f>
      </c>
      <c r="AI217" s="114">
        <f>AI202</f>
      </c>
      <c r="AJ217" s="114">
        <f>AJ202</f>
      </c>
    </row>
    <row r="218" ht="50.0" customHeight="true">
      <c r="A218" s="114" t="s">
        <v>22</v>
      </c>
      <c r="B218" s="114" t="s">
        <v>1405</v>
      </c>
      <c r="C218" s="114"/>
      <c r="D218" s="114"/>
      <c r="E218" s="114" t="s">
        <v>22</v>
      </c>
      <c r="F218" s="114" t="s">
        <v>1406</v>
      </c>
      <c r="G218" s="114" t="s">
        <v>102</v>
      </c>
      <c r="H218" s="114" t="s">
        <v>1407</v>
      </c>
      <c r="I218" s="116" t="n">
        <v>7500.0</v>
      </c>
      <c r="J218" s="116" t="s">
        <v>103</v>
      </c>
      <c r="K218" s="116"/>
      <c r="L218" s="116"/>
      <c r="M218" s="116"/>
      <c r="N218" s="116"/>
      <c r="O218" s="116"/>
      <c r="P218" s="116"/>
      <c r="Q218" s="116"/>
      <c r="R218" s="116"/>
      <c r="S218" s="116"/>
      <c r="T218" s="116"/>
      <c r="U218" s="116" t="s">
        <v>104</v>
      </c>
      <c r="V218" s="118" t="s">
        <v>1408</v>
      </c>
      <c r="W218" s="116" t="s">
        <v>130</v>
      </c>
      <c r="X218" s="116" t="s">
        <v>107</v>
      </c>
      <c r="Y218" s="116" t="s">
        <v>152</v>
      </c>
      <c r="Z218" s="114">
        <f>IF(INDIRECT("Y218")="Premium","17%","-")</f>
      </c>
      <c r="AA218" s="114" t="s">
        <v>1357</v>
      </c>
      <c r="AB218" s="116" t="s">
        <v>120</v>
      </c>
      <c r="AC218" s="116" t="n">
        <v>3.0</v>
      </c>
      <c r="AD218" s="116" t="s">
        <v>121</v>
      </c>
      <c r="AE218" s="117" t="s">
        <v>112</v>
      </c>
      <c r="AF218" s="114" t="s">
        <v>1409</v>
      </c>
      <c r="AG218" s="114" t="s">
        <v>22</v>
      </c>
      <c r="AH218" s="114" t="s">
        <v>22</v>
      </c>
      <c r="AI218" s="114" t="s">
        <v>22</v>
      </c>
      <c r="AJ218" s="114" t="s">
        <v>22</v>
      </c>
    </row>
    <row r="219" ht="50.0" customHeight="true">
      <c r="A219" s="114" t="s">
        <v>22</v>
      </c>
      <c r="B219" s="114" t="s">
        <v>1405</v>
      </c>
      <c r="C219" s="114" t="s">
        <v>1410</v>
      </c>
      <c r="D219" s="114" t="s">
        <v>1410</v>
      </c>
      <c r="E219" s="115"/>
      <c r="F219" s="119">
        <f>"     "&amp;F218</f>
      </c>
      <c r="G219" s="114" t="s">
        <v>419</v>
      </c>
      <c r="H219" s="116" t="n">
        <v>0.0</v>
      </c>
      <c r="I219" s="114">
        <f>I218</f>
      </c>
      <c r="J219" s="114">
        <f>J218&amp;"     "</f>
      </c>
      <c r="K219" s="114">
        <f>K218</f>
      </c>
      <c r="L219" s="114">
        <f>L218</f>
      </c>
      <c r="M219" s="114">
        <f>M218</f>
      </c>
      <c r="N219" s="114">
        <f>N218</f>
      </c>
      <c r="O219" s="114">
        <f>O218</f>
      </c>
      <c r="P219" s="114">
        <f>P218</f>
      </c>
      <c r="Q219" s="114">
        <f>Q218</f>
      </c>
      <c r="R219" s="114">
        <f>R218</f>
      </c>
      <c r="S219" s="114">
        <f>S218</f>
      </c>
      <c r="T219" s="114">
        <f>T218</f>
      </c>
      <c r="U219" s="114">
        <f>U218&amp;"     "</f>
      </c>
      <c r="V219" s="119">
        <f>V218</f>
      </c>
      <c r="W219" s="114">
        <f>W218&amp;"     "</f>
      </c>
      <c r="X219" s="114">
        <f>X218&amp;"     "</f>
      </c>
      <c r="Y219" s="114">
        <f>Y218&amp;"     "</f>
      </c>
      <c r="Z219" s="114">
        <f>Z218</f>
      </c>
      <c r="AA219" s="114">
        <f>AA218</f>
      </c>
      <c r="AB219" s="114">
        <f>AB218&amp;"     "</f>
      </c>
      <c r="AC219" s="114">
        <f>AC218</f>
      </c>
      <c r="AD219" s="114">
        <f>AD218&amp;"     "</f>
      </c>
      <c r="AE219" s="114">
        <f>AE218</f>
      </c>
      <c r="AF219" s="114" t="s">
        <v>1409</v>
      </c>
      <c r="AG219" s="114">
        <f>AG218</f>
      </c>
      <c r="AH219" s="114">
        <f>AH218</f>
      </c>
      <c r="AI219" s="114">
        <f>AI218</f>
      </c>
      <c r="AJ219" s="114">
        <f>AJ218</f>
      </c>
    </row>
    <row r="220" ht="50.0" customHeight="true">
      <c r="A220" s="114" t="s">
        <v>22</v>
      </c>
      <c r="B220" s="114" t="s">
        <v>1405</v>
      </c>
      <c r="C220" s="114" t="s">
        <v>1411</v>
      </c>
      <c r="D220" s="114" t="s">
        <v>1411</v>
      </c>
      <c r="E220" s="115"/>
      <c r="F220" s="119">
        <f>"     "&amp;F218</f>
      </c>
      <c r="G220" s="114" t="s">
        <v>411</v>
      </c>
      <c r="H220" s="116" t="n">
        <v>0.0</v>
      </c>
      <c r="I220" s="114">
        <f>I218</f>
      </c>
      <c r="J220" s="114">
        <f>J218&amp;"     "</f>
      </c>
      <c r="K220" s="114">
        <f>K218</f>
      </c>
      <c r="L220" s="114">
        <f>L218</f>
      </c>
      <c r="M220" s="114">
        <f>M218</f>
      </c>
      <c r="N220" s="114">
        <f>N218</f>
      </c>
      <c r="O220" s="114">
        <f>O218</f>
      </c>
      <c r="P220" s="114">
        <f>P218</f>
      </c>
      <c r="Q220" s="114">
        <f>Q218</f>
      </c>
      <c r="R220" s="114">
        <f>R218</f>
      </c>
      <c r="S220" s="114">
        <f>S218</f>
      </c>
      <c r="T220" s="114">
        <f>T218</f>
      </c>
      <c r="U220" s="114">
        <f>U218&amp;"     "</f>
      </c>
      <c r="V220" s="119">
        <f>V218</f>
      </c>
      <c r="W220" s="114">
        <f>W218&amp;"     "</f>
      </c>
      <c r="X220" s="114">
        <f>X218&amp;"     "</f>
      </c>
      <c r="Y220" s="114">
        <f>Y218&amp;"     "</f>
      </c>
      <c r="Z220" s="114">
        <f>Z218</f>
      </c>
      <c r="AA220" s="114">
        <f>AA218</f>
      </c>
      <c r="AB220" s="114">
        <f>AB218&amp;"     "</f>
      </c>
      <c r="AC220" s="114">
        <f>AC218</f>
      </c>
      <c r="AD220" s="114">
        <f>AD218&amp;"     "</f>
      </c>
      <c r="AE220" s="114">
        <f>AE218</f>
      </c>
      <c r="AF220" s="114" t="s">
        <v>1409</v>
      </c>
      <c r="AG220" s="114">
        <f>AG218</f>
      </c>
      <c r="AH220" s="114">
        <f>AH218</f>
      </c>
      <c r="AI220" s="114">
        <f>AI218</f>
      </c>
      <c r="AJ220" s="114">
        <f>AJ218</f>
      </c>
    </row>
    <row r="221" ht="50.0" customHeight="true">
      <c r="A221" s="114" t="s">
        <v>1412</v>
      </c>
      <c r="B221" s="114" t="s">
        <v>1413</v>
      </c>
      <c r="C221" s="114" t="s">
        <v>1414</v>
      </c>
      <c r="D221" s="114"/>
      <c r="E221" s="115" t="s">
        <v>882</v>
      </c>
      <c r="F221" s="114" t="s">
        <v>1415</v>
      </c>
      <c r="G221" s="114" t="s">
        <v>1415</v>
      </c>
      <c r="H221" s="116" t="n">
        <v>0.0</v>
      </c>
      <c r="I221" s="116" t="n">
        <v>1500.0</v>
      </c>
      <c r="J221" s="116" t="s">
        <v>103</v>
      </c>
      <c r="K221" s="116"/>
      <c r="L221" s="116"/>
      <c r="M221" s="116"/>
      <c r="N221" s="116"/>
      <c r="O221" s="116"/>
      <c r="P221" s="116"/>
      <c r="Q221" s="116"/>
      <c r="R221" s="116"/>
      <c r="S221" s="116"/>
      <c r="T221" s="116"/>
      <c r="U221" s="116" t="s">
        <v>1416</v>
      </c>
      <c r="V221" s="118" t="s">
        <v>1417</v>
      </c>
      <c r="W221" s="116" t="s">
        <v>862</v>
      </c>
      <c r="X221" s="116" t="s">
        <v>143</v>
      </c>
      <c r="Y221" s="116" t="s">
        <v>152</v>
      </c>
      <c r="Z221" s="114">
        <f>IF(INDIRECT("Y221")="Premium","17%","-")</f>
      </c>
      <c r="AA221" s="114" t="s">
        <v>1357</v>
      </c>
      <c r="AB221" s="116" t="s">
        <v>110</v>
      </c>
      <c r="AC221" s="116" t="n">
        <v>30.0</v>
      </c>
      <c r="AD221" s="116" t="s">
        <v>111</v>
      </c>
      <c r="AE221" s="114" t="s">
        <v>131</v>
      </c>
      <c r="AF221" s="114" t="s">
        <v>863</v>
      </c>
      <c r="AG221" s="114" t="s">
        <v>1207</v>
      </c>
      <c r="AH221" s="114" t="s">
        <v>134</v>
      </c>
      <c r="AI221" s="114" t="s">
        <v>1418</v>
      </c>
      <c r="AJ221" s="114" t="s">
        <v>1419</v>
      </c>
    </row>
    <row r="222" ht="50.0" customHeight="true">
      <c r="A222" s="114" t="s">
        <v>22</v>
      </c>
      <c r="B222" s="114" t="s">
        <v>1420</v>
      </c>
      <c r="C222" s="114"/>
      <c r="D222" s="114"/>
      <c r="E222" s="114" t="s">
        <v>22</v>
      </c>
      <c r="F222" s="115" t="s">
        <v>1421</v>
      </c>
      <c r="G222" s="114" t="s">
        <v>102</v>
      </c>
      <c r="H222" s="114" t="s">
        <v>1422</v>
      </c>
      <c r="I222" s="116" t="n">
        <v>15.5</v>
      </c>
      <c r="J222" s="116" t="s">
        <v>103</v>
      </c>
      <c r="K222" s="116"/>
      <c r="L222" s="116"/>
      <c r="M222" s="116"/>
      <c r="N222" s="116"/>
      <c r="O222" s="116"/>
      <c r="P222" s="116"/>
      <c r="Q222" s="116"/>
      <c r="R222" s="116"/>
      <c r="S222" s="116"/>
      <c r="T222" s="116"/>
      <c r="U222" s="116" t="s">
        <v>104</v>
      </c>
      <c r="V222" s="118" t="s">
        <v>1423</v>
      </c>
      <c r="W222" s="116" t="s">
        <v>106</v>
      </c>
      <c r="X222" s="116" t="s">
        <v>107</v>
      </c>
      <c r="Y222" s="116" t="s">
        <v>108</v>
      </c>
      <c r="Z222" s="114">
        <f>IF(INDIRECT("Y222")="Clássico","11.5%","-")</f>
      </c>
      <c r="AA222" s="114" t="s">
        <v>1357</v>
      </c>
      <c r="AB222" s="116" t="s">
        <v>120</v>
      </c>
      <c r="AC222" s="116" t="n">
        <v>90.0</v>
      </c>
      <c r="AD222" s="116" t="s">
        <v>111</v>
      </c>
      <c r="AE222" s="117" t="s">
        <v>112</v>
      </c>
      <c r="AF222" s="114" t="s">
        <v>1424</v>
      </c>
      <c r="AG222" s="116"/>
      <c r="AH222" s="116"/>
      <c r="AI222" s="116"/>
      <c r="AJ222" s="116"/>
    </row>
    <row r="223" ht="50.0" customHeight="true">
      <c r="A223" s="114" t="s">
        <v>22</v>
      </c>
      <c r="B223" s="114" t="s">
        <v>1420</v>
      </c>
      <c r="C223" s="114" t="s">
        <v>1425</v>
      </c>
      <c r="D223" s="114" t="s">
        <v>1425</v>
      </c>
      <c r="E223" s="115" t="s">
        <v>1426</v>
      </c>
      <c r="F223" s="119">
        <f>"     "&amp;F222</f>
      </c>
      <c r="G223" s="114" t="s">
        <v>419</v>
      </c>
      <c r="H223" s="116" t="n">
        <v>2160.0</v>
      </c>
      <c r="I223" s="114">
        <f>I222</f>
      </c>
      <c r="J223" s="114">
        <f>J222&amp;"     "</f>
      </c>
      <c r="K223" s="114">
        <f>K222</f>
      </c>
      <c r="L223" s="114">
        <f>L222</f>
      </c>
      <c r="M223" s="114">
        <f>M222</f>
      </c>
      <c r="N223" s="114">
        <f>N222</f>
      </c>
      <c r="O223" s="114">
        <f>O222</f>
      </c>
      <c r="P223" s="114">
        <f>P222</f>
      </c>
      <c r="Q223" s="114">
        <f>Q222</f>
      </c>
      <c r="R223" s="114">
        <f>R222</f>
      </c>
      <c r="S223" s="114">
        <f>S222</f>
      </c>
      <c r="T223" s="114">
        <f>T222</f>
      </c>
      <c r="U223" s="114">
        <f>U222&amp;"     "</f>
      </c>
      <c r="V223" s="119">
        <f>V222</f>
      </c>
      <c r="W223" s="114">
        <f>W222&amp;"     "</f>
      </c>
      <c r="X223" s="114">
        <f>X222&amp;"     "</f>
      </c>
      <c r="Y223" s="114">
        <f>Y222&amp;"     "</f>
      </c>
      <c r="Z223" s="114">
        <f>Z222</f>
      </c>
      <c r="AA223" s="114">
        <f>AA222</f>
      </c>
      <c r="AB223" s="114">
        <f>AB222&amp;"     "</f>
      </c>
      <c r="AC223" s="114">
        <f>AC222</f>
      </c>
      <c r="AD223" s="114">
        <f>AD222&amp;"     "</f>
      </c>
      <c r="AE223" s="114">
        <f>AE222</f>
      </c>
      <c r="AF223" s="114" t="s">
        <v>1424</v>
      </c>
      <c r="AG223" s="114">
        <f>AG222</f>
      </c>
      <c r="AH223" s="114">
        <f>AH222</f>
      </c>
      <c r="AI223" s="114">
        <f>AI222</f>
      </c>
      <c r="AJ223" s="114">
        <f>AJ222</f>
      </c>
    </row>
    <row r="224" ht="50.0" customHeight="true">
      <c r="A224" s="114" t="s">
        <v>22</v>
      </c>
      <c r="B224" s="114" t="s">
        <v>1420</v>
      </c>
      <c r="C224" s="114" t="s">
        <v>1427</v>
      </c>
      <c r="D224" s="114" t="s">
        <v>1427</v>
      </c>
      <c r="E224" s="115" t="s">
        <v>1428</v>
      </c>
      <c r="F224" s="119">
        <f>"     "&amp;F222</f>
      </c>
      <c r="G224" s="114" t="s">
        <v>1429</v>
      </c>
      <c r="H224" s="116" t="n">
        <v>2052.0</v>
      </c>
      <c r="I224" s="114">
        <f>I222</f>
      </c>
      <c r="J224" s="114">
        <f>J222&amp;"     "</f>
      </c>
      <c r="K224" s="114">
        <f>K222</f>
      </c>
      <c r="L224" s="114">
        <f>L222</f>
      </c>
      <c r="M224" s="114">
        <f>M222</f>
      </c>
      <c r="N224" s="114">
        <f>N222</f>
      </c>
      <c r="O224" s="114">
        <f>O222</f>
      </c>
      <c r="P224" s="114">
        <f>P222</f>
      </c>
      <c r="Q224" s="114">
        <f>Q222</f>
      </c>
      <c r="R224" s="114">
        <f>R222</f>
      </c>
      <c r="S224" s="114">
        <f>S222</f>
      </c>
      <c r="T224" s="114">
        <f>T222</f>
      </c>
      <c r="U224" s="114">
        <f>U222&amp;"     "</f>
      </c>
      <c r="V224" s="119">
        <f>V222</f>
      </c>
      <c r="W224" s="114">
        <f>W222&amp;"     "</f>
      </c>
      <c r="X224" s="114">
        <f>X222&amp;"     "</f>
      </c>
      <c r="Y224" s="114">
        <f>Y222&amp;"     "</f>
      </c>
      <c r="Z224" s="114">
        <f>Z222</f>
      </c>
      <c r="AA224" s="114">
        <f>AA222</f>
      </c>
      <c r="AB224" s="114">
        <f>AB222&amp;"     "</f>
      </c>
      <c r="AC224" s="114">
        <f>AC222</f>
      </c>
      <c r="AD224" s="114">
        <f>AD222&amp;"     "</f>
      </c>
      <c r="AE224" s="114">
        <f>AE222</f>
      </c>
      <c r="AF224" s="114" t="s">
        <v>1424</v>
      </c>
      <c r="AG224" s="114">
        <f>AG222</f>
      </c>
      <c r="AH224" s="114">
        <f>AH222</f>
      </c>
      <c r="AI224" s="114">
        <f>AI222</f>
      </c>
      <c r="AJ224" s="114">
        <f>AJ222</f>
      </c>
    </row>
    <row r="225" ht="50.0" customHeight="true">
      <c r="A225" s="114" t="s">
        <v>22</v>
      </c>
      <c r="B225" s="114" t="s">
        <v>1420</v>
      </c>
      <c r="C225" s="114" t="s">
        <v>1430</v>
      </c>
      <c r="D225" s="114" t="s">
        <v>1430</v>
      </c>
      <c r="E225" s="115" t="s">
        <v>1431</v>
      </c>
      <c r="F225" s="119">
        <f>"     "&amp;F222</f>
      </c>
      <c r="G225" s="114" t="s">
        <v>1383</v>
      </c>
      <c r="H225" s="116" t="n">
        <v>432.0</v>
      </c>
      <c r="I225" s="114">
        <f>I222</f>
      </c>
      <c r="J225" s="114">
        <f>J222&amp;"     "</f>
      </c>
      <c r="K225" s="114">
        <f>K222</f>
      </c>
      <c r="L225" s="114">
        <f>L222</f>
      </c>
      <c r="M225" s="114">
        <f>M222</f>
      </c>
      <c r="N225" s="114">
        <f>N222</f>
      </c>
      <c r="O225" s="114">
        <f>O222</f>
      </c>
      <c r="P225" s="114">
        <f>P222</f>
      </c>
      <c r="Q225" s="114">
        <f>Q222</f>
      </c>
      <c r="R225" s="114">
        <f>R222</f>
      </c>
      <c r="S225" s="114">
        <f>S222</f>
      </c>
      <c r="T225" s="114">
        <f>T222</f>
      </c>
      <c r="U225" s="114">
        <f>U222&amp;"     "</f>
      </c>
      <c r="V225" s="119">
        <f>V222</f>
      </c>
      <c r="W225" s="114">
        <f>W222&amp;"     "</f>
      </c>
      <c r="X225" s="114">
        <f>X222&amp;"     "</f>
      </c>
      <c r="Y225" s="114">
        <f>Y222&amp;"     "</f>
      </c>
      <c r="Z225" s="114">
        <f>Z222</f>
      </c>
      <c r="AA225" s="114">
        <f>AA222</f>
      </c>
      <c r="AB225" s="114">
        <f>AB222&amp;"     "</f>
      </c>
      <c r="AC225" s="114">
        <f>AC222</f>
      </c>
      <c r="AD225" s="114">
        <f>AD222&amp;"     "</f>
      </c>
      <c r="AE225" s="114">
        <f>AE222</f>
      </c>
      <c r="AF225" s="114" t="s">
        <v>1424</v>
      </c>
      <c r="AG225" s="114">
        <f>AG222</f>
      </c>
      <c r="AH225" s="114">
        <f>AH222</f>
      </c>
      <c r="AI225" s="114">
        <f>AI222</f>
      </c>
      <c r="AJ225" s="114">
        <f>AJ222</f>
      </c>
    </row>
    <row r="226" ht="50.0" customHeight="true">
      <c r="A226" s="114" t="s">
        <v>22</v>
      </c>
      <c r="B226" s="114" t="s">
        <v>1432</v>
      </c>
      <c r="C226" s="114"/>
      <c r="D226" s="114"/>
      <c r="E226" s="114" t="s">
        <v>22</v>
      </c>
      <c r="F226" s="115" t="s">
        <v>1433</v>
      </c>
      <c r="G226" s="114" t="s">
        <v>102</v>
      </c>
      <c r="H226" s="114" t="s">
        <v>1434</v>
      </c>
      <c r="I226" s="116" t="n">
        <v>20.5</v>
      </c>
      <c r="J226" s="116" t="s">
        <v>103</v>
      </c>
      <c r="K226" s="116"/>
      <c r="L226" s="116"/>
      <c r="M226" s="116"/>
      <c r="N226" s="116"/>
      <c r="O226" s="116"/>
      <c r="P226" s="116"/>
      <c r="Q226" s="116"/>
      <c r="R226" s="116"/>
      <c r="S226" s="116"/>
      <c r="T226" s="116"/>
      <c r="U226" s="116" t="s">
        <v>104</v>
      </c>
      <c r="V226" s="118" t="s">
        <v>22</v>
      </c>
      <c r="W226" s="116" t="s">
        <v>106</v>
      </c>
      <c r="X226" s="116" t="s">
        <v>107</v>
      </c>
      <c r="Y226" s="116" t="s">
        <v>108</v>
      </c>
      <c r="Z226" s="114">
        <f>IF(INDIRECT("Y226")="Clássico","11.5%","-")</f>
      </c>
      <c r="AA226" s="114" t="s">
        <v>1357</v>
      </c>
      <c r="AB226" s="116" t="s">
        <v>120</v>
      </c>
      <c r="AC226" s="116" t="n">
        <v>90.0</v>
      </c>
      <c r="AD226" s="116" t="s">
        <v>111</v>
      </c>
      <c r="AE226" s="117" t="s">
        <v>112</v>
      </c>
      <c r="AF226" s="114" t="s">
        <v>1424</v>
      </c>
      <c r="AG226" s="116"/>
      <c r="AH226" s="116"/>
      <c r="AI226" s="116"/>
      <c r="AJ226" s="116"/>
    </row>
    <row r="227" ht="50.0" customHeight="true">
      <c r="A227" s="114" t="s">
        <v>22</v>
      </c>
      <c r="B227" s="114" t="s">
        <v>1432</v>
      </c>
      <c r="C227" s="114" t="s">
        <v>1435</v>
      </c>
      <c r="D227" s="114" t="s">
        <v>1435</v>
      </c>
      <c r="E227" s="115" t="s">
        <v>1436</v>
      </c>
      <c r="F227" s="119">
        <f>"     "&amp;F226</f>
      </c>
      <c r="G227" s="114" t="s">
        <v>1365</v>
      </c>
      <c r="H227" s="116" t="n">
        <v>900.0</v>
      </c>
      <c r="I227" s="114">
        <f>I226</f>
      </c>
      <c r="J227" s="114">
        <f>J226&amp;"     "</f>
      </c>
      <c r="K227" s="114">
        <f>K226</f>
      </c>
      <c r="L227" s="114">
        <f>L226</f>
      </c>
      <c r="M227" s="114">
        <f>M226</f>
      </c>
      <c r="N227" s="114">
        <f>N226</f>
      </c>
      <c r="O227" s="114">
        <f>O226</f>
      </c>
      <c r="P227" s="114">
        <f>P226</f>
      </c>
      <c r="Q227" s="114">
        <f>Q226</f>
      </c>
      <c r="R227" s="114">
        <f>R226</f>
      </c>
      <c r="S227" s="114">
        <f>S226</f>
      </c>
      <c r="T227" s="114">
        <f>T226</f>
      </c>
      <c r="U227" s="114">
        <f>U226&amp;"     "</f>
      </c>
      <c r="V227" s="119">
        <f>V226</f>
      </c>
      <c r="W227" s="114">
        <f>W226&amp;"     "</f>
      </c>
      <c r="X227" s="114">
        <f>X226&amp;"     "</f>
      </c>
      <c r="Y227" s="114">
        <f>Y226&amp;"     "</f>
      </c>
      <c r="Z227" s="114">
        <f>Z226</f>
      </c>
      <c r="AA227" s="114">
        <f>AA226</f>
      </c>
      <c r="AB227" s="114">
        <f>AB226&amp;"     "</f>
      </c>
      <c r="AC227" s="114">
        <f>AC226</f>
      </c>
      <c r="AD227" s="114">
        <f>AD226&amp;"     "</f>
      </c>
      <c r="AE227" s="114">
        <f>AE226</f>
      </c>
      <c r="AF227" s="114" t="s">
        <v>1424</v>
      </c>
      <c r="AG227" s="114">
        <f>AG226</f>
      </c>
      <c r="AH227" s="114">
        <f>AH226</f>
      </c>
      <c r="AI227" s="114">
        <f>AI226</f>
      </c>
      <c r="AJ227" s="114">
        <f>AJ226</f>
      </c>
    </row>
    <row r="228" ht="50.0" customHeight="true">
      <c r="A228" s="114" t="s">
        <v>22</v>
      </c>
      <c r="B228" s="114" t="s">
        <v>1432</v>
      </c>
      <c r="C228" s="114" t="s">
        <v>1437</v>
      </c>
      <c r="D228" s="114" t="s">
        <v>1437</v>
      </c>
      <c r="E228" s="115" t="s">
        <v>1438</v>
      </c>
      <c r="F228" s="119">
        <f>"     "&amp;F226</f>
      </c>
      <c r="G228" s="114" t="s">
        <v>1378</v>
      </c>
      <c r="H228" s="116" t="n">
        <v>900.0</v>
      </c>
      <c r="I228" s="114">
        <f>I226</f>
      </c>
      <c r="J228" s="114">
        <f>J226&amp;"     "</f>
      </c>
      <c r="K228" s="114">
        <f>K226</f>
      </c>
      <c r="L228" s="114">
        <f>L226</f>
      </c>
      <c r="M228" s="114">
        <f>M226</f>
      </c>
      <c r="N228" s="114">
        <f>N226</f>
      </c>
      <c r="O228" s="114">
        <f>O226</f>
      </c>
      <c r="P228" s="114">
        <f>P226</f>
      </c>
      <c r="Q228" s="114">
        <f>Q226</f>
      </c>
      <c r="R228" s="114">
        <f>R226</f>
      </c>
      <c r="S228" s="114">
        <f>S226</f>
      </c>
      <c r="T228" s="114">
        <f>T226</f>
      </c>
      <c r="U228" s="114">
        <f>U226&amp;"     "</f>
      </c>
      <c r="V228" s="119">
        <f>V226</f>
      </c>
      <c r="W228" s="114">
        <f>W226&amp;"     "</f>
      </c>
      <c r="X228" s="114">
        <f>X226&amp;"     "</f>
      </c>
      <c r="Y228" s="114">
        <f>Y226&amp;"     "</f>
      </c>
      <c r="Z228" s="114">
        <f>Z226</f>
      </c>
      <c r="AA228" s="114">
        <f>AA226</f>
      </c>
      <c r="AB228" s="114">
        <f>AB226&amp;"     "</f>
      </c>
      <c r="AC228" s="114">
        <f>AC226</f>
      </c>
      <c r="AD228" s="114">
        <f>AD226&amp;"     "</f>
      </c>
      <c r="AE228" s="114">
        <f>AE226</f>
      </c>
      <c r="AF228" s="114" t="s">
        <v>1424</v>
      </c>
      <c r="AG228" s="114">
        <f>AG226</f>
      </c>
      <c r="AH228" s="114">
        <f>AH226</f>
      </c>
      <c r="AI228" s="114">
        <f>AI226</f>
      </c>
      <c r="AJ228" s="114">
        <f>AJ226</f>
      </c>
    </row>
    <row r="229" ht="50.0" customHeight="true">
      <c r="A229" s="114" t="s">
        <v>22</v>
      </c>
      <c r="B229" s="114" t="s">
        <v>1432</v>
      </c>
      <c r="C229" s="114" t="s">
        <v>1439</v>
      </c>
      <c r="D229" s="114" t="s">
        <v>1439</v>
      </c>
      <c r="E229" s="115" t="s">
        <v>1440</v>
      </c>
      <c r="F229" s="119">
        <f>"     "&amp;F226</f>
      </c>
      <c r="G229" s="114" t="s">
        <v>1383</v>
      </c>
      <c r="H229" s="116" t="n">
        <v>1200.0</v>
      </c>
      <c r="I229" s="114">
        <f>I226</f>
      </c>
      <c r="J229" s="114">
        <f>J226&amp;"     "</f>
      </c>
      <c r="K229" s="114">
        <f>K226</f>
      </c>
      <c r="L229" s="114">
        <f>L226</f>
      </c>
      <c r="M229" s="114">
        <f>M226</f>
      </c>
      <c r="N229" s="114">
        <f>N226</f>
      </c>
      <c r="O229" s="114">
        <f>O226</f>
      </c>
      <c r="P229" s="114">
        <f>P226</f>
      </c>
      <c r="Q229" s="114">
        <f>Q226</f>
      </c>
      <c r="R229" s="114">
        <f>R226</f>
      </c>
      <c r="S229" s="114">
        <f>S226</f>
      </c>
      <c r="T229" s="114">
        <f>T226</f>
      </c>
      <c r="U229" s="114">
        <f>U226&amp;"     "</f>
      </c>
      <c r="V229" s="119">
        <f>V226</f>
      </c>
      <c r="W229" s="114">
        <f>W226&amp;"     "</f>
      </c>
      <c r="X229" s="114">
        <f>X226&amp;"     "</f>
      </c>
      <c r="Y229" s="114">
        <f>Y226&amp;"     "</f>
      </c>
      <c r="Z229" s="114">
        <f>Z226</f>
      </c>
      <c r="AA229" s="114">
        <f>AA226</f>
      </c>
      <c r="AB229" s="114">
        <f>AB226&amp;"     "</f>
      </c>
      <c r="AC229" s="114">
        <f>AC226</f>
      </c>
      <c r="AD229" s="114">
        <f>AD226&amp;"     "</f>
      </c>
      <c r="AE229" s="114">
        <f>AE226</f>
      </c>
      <c r="AF229" s="114" t="s">
        <v>1424</v>
      </c>
      <c r="AG229" s="114">
        <f>AG226</f>
      </c>
      <c r="AH229" s="114">
        <f>AH226</f>
      </c>
      <c r="AI229" s="114">
        <f>AI226</f>
      </c>
      <c r="AJ229" s="114">
        <f>AJ226</f>
      </c>
    </row>
    <row r="230" ht="50.0" customHeight="true">
      <c r="A230" s="114" t="s">
        <v>22</v>
      </c>
      <c r="B230" s="114" t="s">
        <v>1441</v>
      </c>
      <c r="C230" s="114"/>
      <c r="D230" s="114"/>
      <c r="E230" s="114" t="s">
        <v>22</v>
      </c>
      <c r="F230" s="115" t="s">
        <v>1442</v>
      </c>
      <c r="G230" s="114" t="s">
        <v>102</v>
      </c>
      <c r="H230" s="114" t="s">
        <v>1443</v>
      </c>
      <c r="I230" s="116" t="n">
        <v>18.5</v>
      </c>
      <c r="J230" s="116" t="s">
        <v>103</v>
      </c>
      <c r="K230" s="116"/>
      <c r="L230" s="116"/>
      <c r="M230" s="116"/>
      <c r="N230" s="116"/>
      <c r="O230" s="116"/>
      <c r="P230" s="116"/>
      <c r="Q230" s="116"/>
      <c r="R230" s="116"/>
      <c r="S230" s="116"/>
      <c r="T230" s="116"/>
      <c r="U230" s="116" t="s">
        <v>104</v>
      </c>
      <c r="V230" s="118" t="s">
        <v>1423</v>
      </c>
      <c r="W230" s="116" t="s">
        <v>106</v>
      </c>
      <c r="X230" s="116" t="s">
        <v>107</v>
      </c>
      <c r="Y230" s="116" t="s">
        <v>108</v>
      </c>
      <c r="Z230" s="114">
        <f>IF(INDIRECT("Y230")="Clássico","11.5%","-")</f>
      </c>
      <c r="AA230" s="114" t="s">
        <v>1357</v>
      </c>
      <c r="AB230" s="116" t="s">
        <v>120</v>
      </c>
      <c r="AC230" s="116" t="n">
        <v>90.0</v>
      </c>
      <c r="AD230" s="116" t="s">
        <v>111</v>
      </c>
      <c r="AE230" s="117" t="s">
        <v>112</v>
      </c>
      <c r="AF230" s="114" t="s">
        <v>1424</v>
      </c>
      <c r="AG230" s="116"/>
      <c r="AH230" s="116"/>
      <c r="AI230" s="116"/>
      <c r="AJ230" s="116"/>
    </row>
    <row r="231" ht="50.0" customHeight="true">
      <c r="A231" s="114" t="s">
        <v>22</v>
      </c>
      <c r="B231" s="114" t="s">
        <v>1441</v>
      </c>
      <c r="C231" s="114" t="s">
        <v>1444</v>
      </c>
      <c r="D231" s="114" t="s">
        <v>1444</v>
      </c>
      <c r="E231" s="115" t="s">
        <v>1445</v>
      </c>
      <c r="F231" s="119">
        <f>"     "&amp;F230</f>
      </c>
      <c r="G231" s="114" t="s">
        <v>1446</v>
      </c>
      <c r="H231" s="116" t="n">
        <v>2220.0</v>
      </c>
      <c r="I231" s="114">
        <f>I230</f>
      </c>
      <c r="J231" s="114">
        <f>J230&amp;"     "</f>
      </c>
      <c r="K231" s="114">
        <f>K230</f>
      </c>
      <c r="L231" s="114">
        <f>L230</f>
      </c>
      <c r="M231" s="114">
        <f>M230</f>
      </c>
      <c r="N231" s="114">
        <f>N230</f>
      </c>
      <c r="O231" s="114">
        <f>O230</f>
      </c>
      <c r="P231" s="114">
        <f>P230</f>
      </c>
      <c r="Q231" s="114">
        <f>Q230</f>
      </c>
      <c r="R231" s="114">
        <f>R230</f>
      </c>
      <c r="S231" s="114">
        <f>S230</f>
      </c>
      <c r="T231" s="114">
        <f>T230</f>
      </c>
      <c r="U231" s="114">
        <f>U230&amp;"     "</f>
      </c>
      <c r="V231" s="119">
        <f>V230</f>
      </c>
      <c r="W231" s="114">
        <f>W230&amp;"     "</f>
      </c>
      <c r="X231" s="114">
        <f>X230&amp;"     "</f>
      </c>
      <c r="Y231" s="114">
        <f>Y230&amp;"     "</f>
      </c>
      <c r="Z231" s="114">
        <f>Z230</f>
      </c>
      <c r="AA231" s="114">
        <f>AA230</f>
      </c>
      <c r="AB231" s="114">
        <f>AB230&amp;"     "</f>
      </c>
      <c r="AC231" s="114">
        <f>AC230</f>
      </c>
      <c r="AD231" s="114">
        <f>AD230&amp;"     "</f>
      </c>
      <c r="AE231" s="114">
        <f>AE230</f>
      </c>
      <c r="AF231" s="114" t="s">
        <v>1424</v>
      </c>
      <c r="AG231" s="114">
        <f>AG230</f>
      </c>
      <c r="AH231" s="114">
        <f>AH230</f>
      </c>
      <c r="AI231" s="114">
        <f>AI230</f>
      </c>
      <c r="AJ231" s="114">
        <f>AJ230</f>
      </c>
    </row>
    <row r="232" ht="50.0" customHeight="true">
      <c r="A232" s="114" t="s">
        <v>22</v>
      </c>
      <c r="B232" s="114" t="s">
        <v>1441</v>
      </c>
      <c r="C232" s="114" t="s">
        <v>1447</v>
      </c>
      <c r="D232" s="114" t="s">
        <v>1447</v>
      </c>
      <c r="E232" s="115" t="s">
        <v>1448</v>
      </c>
      <c r="F232" s="119">
        <f>"     "&amp;F230</f>
      </c>
      <c r="G232" s="114" t="s">
        <v>1429</v>
      </c>
      <c r="H232" s="116" t="n">
        <v>3060.0</v>
      </c>
      <c r="I232" s="114">
        <f>I230</f>
      </c>
      <c r="J232" s="114">
        <f>J230&amp;"     "</f>
      </c>
      <c r="K232" s="114">
        <f>K230</f>
      </c>
      <c r="L232" s="114">
        <f>L230</f>
      </c>
      <c r="M232" s="114">
        <f>M230</f>
      </c>
      <c r="N232" s="114">
        <f>N230</f>
      </c>
      <c r="O232" s="114">
        <f>O230</f>
      </c>
      <c r="P232" s="114">
        <f>P230</f>
      </c>
      <c r="Q232" s="114">
        <f>Q230</f>
      </c>
      <c r="R232" s="114">
        <f>R230</f>
      </c>
      <c r="S232" s="114">
        <f>S230</f>
      </c>
      <c r="T232" s="114">
        <f>T230</f>
      </c>
      <c r="U232" s="114">
        <f>U230&amp;"     "</f>
      </c>
      <c r="V232" s="119">
        <f>V230</f>
      </c>
      <c r="W232" s="114">
        <f>W230&amp;"     "</f>
      </c>
      <c r="X232" s="114">
        <f>X230&amp;"     "</f>
      </c>
      <c r="Y232" s="114">
        <f>Y230&amp;"     "</f>
      </c>
      <c r="Z232" s="114">
        <f>Z230</f>
      </c>
      <c r="AA232" s="114">
        <f>AA230</f>
      </c>
      <c r="AB232" s="114">
        <f>AB230&amp;"     "</f>
      </c>
      <c r="AC232" s="114">
        <f>AC230</f>
      </c>
      <c r="AD232" s="114">
        <f>AD230&amp;"     "</f>
      </c>
      <c r="AE232" s="114">
        <f>AE230</f>
      </c>
      <c r="AF232" s="114" t="s">
        <v>1424</v>
      </c>
      <c r="AG232" s="114">
        <f>AG230</f>
      </c>
      <c r="AH232" s="114">
        <f>AH230</f>
      </c>
      <c r="AI232" s="114">
        <f>AI230</f>
      </c>
      <c r="AJ232" s="114">
        <f>AJ230</f>
      </c>
    </row>
    <row r="233" ht="50.0" customHeight="true">
      <c r="A233" s="114" t="s">
        <v>22</v>
      </c>
      <c r="B233" s="114" t="s">
        <v>1449</v>
      </c>
      <c r="C233" s="114"/>
      <c r="D233" s="114"/>
      <c r="E233" s="114" t="s">
        <v>22</v>
      </c>
      <c r="F233" s="115" t="s">
        <v>1450</v>
      </c>
      <c r="G233" s="114" t="s">
        <v>102</v>
      </c>
      <c r="H233" s="114" t="s">
        <v>1451</v>
      </c>
      <c r="I233" s="116" t="n">
        <v>18.5</v>
      </c>
      <c r="J233" s="116" t="s">
        <v>103</v>
      </c>
      <c r="K233" s="116"/>
      <c r="L233" s="116"/>
      <c r="M233" s="116"/>
      <c r="N233" s="116"/>
      <c r="O233" s="116"/>
      <c r="P233" s="116"/>
      <c r="Q233" s="116"/>
      <c r="R233" s="116"/>
      <c r="S233" s="116"/>
      <c r="T233" s="116"/>
      <c r="U233" s="116" t="s">
        <v>104</v>
      </c>
      <c r="V233" s="118" t="s">
        <v>22</v>
      </c>
      <c r="W233" s="116" t="s">
        <v>106</v>
      </c>
      <c r="X233" s="116" t="s">
        <v>107</v>
      </c>
      <c r="Y233" s="116" t="s">
        <v>108</v>
      </c>
      <c r="Z233" s="114">
        <f>IF(INDIRECT("Y233")="Clássico","11.5%","-")</f>
      </c>
      <c r="AA233" s="114" t="s">
        <v>1357</v>
      </c>
      <c r="AB233" s="116" t="s">
        <v>120</v>
      </c>
      <c r="AC233" s="116" t="n">
        <v>90.0</v>
      </c>
      <c r="AD233" s="116" t="s">
        <v>111</v>
      </c>
      <c r="AE233" s="117" t="s">
        <v>112</v>
      </c>
      <c r="AF233" s="114" t="s">
        <v>1424</v>
      </c>
      <c r="AG233" s="116"/>
      <c r="AH233" s="116"/>
      <c r="AI233" s="116"/>
      <c r="AJ233" s="116"/>
    </row>
    <row r="234" ht="50.0" customHeight="true">
      <c r="A234" s="114" t="s">
        <v>22</v>
      </c>
      <c r="B234" s="114" t="s">
        <v>1449</v>
      </c>
      <c r="C234" s="114" t="s">
        <v>1452</v>
      </c>
      <c r="D234" s="114" t="s">
        <v>1452</v>
      </c>
      <c r="E234" s="115" t="s">
        <v>1453</v>
      </c>
      <c r="F234" s="119">
        <f>"     "&amp;F233</f>
      </c>
      <c r="G234" s="114" t="s">
        <v>176</v>
      </c>
      <c r="H234" s="116" t="n">
        <v>2760.0</v>
      </c>
      <c r="I234" s="114">
        <f>I233</f>
      </c>
      <c r="J234" s="114">
        <f>J233&amp;"     "</f>
      </c>
      <c r="K234" s="114">
        <f>K233</f>
      </c>
      <c r="L234" s="114">
        <f>L233</f>
      </c>
      <c r="M234" s="114">
        <f>M233</f>
      </c>
      <c r="N234" s="114">
        <f>N233</f>
      </c>
      <c r="O234" s="114">
        <f>O233</f>
      </c>
      <c r="P234" s="114">
        <f>P233</f>
      </c>
      <c r="Q234" s="114">
        <f>Q233</f>
      </c>
      <c r="R234" s="114">
        <f>R233</f>
      </c>
      <c r="S234" s="114">
        <f>S233</f>
      </c>
      <c r="T234" s="114">
        <f>T233</f>
      </c>
      <c r="U234" s="114">
        <f>U233&amp;"     "</f>
      </c>
      <c r="V234" s="119">
        <f>V233</f>
      </c>
      <c r="W234" s="114">
        <f>W233&amp;"     "</f>
      </c>
      <c r="X234" s="114">
        <f>X233&amp;"     "</f>
      </c>
      <c r="Y234" s="114">
        <f>Y233&amp;"     "</f>
      </c>
      <c r="Z234" s="114">
        <f>Z233</f>
      </c>
      <c r="AA234" s="114">
        <f>AA233</f>
      </c>
      <c r="AB234" s="114">
        <f>AB233&amp;"     "</f>
      </c>
      <c r="AC234" s="114">
        <f>AC233</f>
      </c>
      <c r="AD234" s="114">
        <f>AD233&amp;"     "</f>
      </c>
      <c r="AE234" s="114">
        <f>AE233</f>
      </c>
      <c r="AF234" s="114" t="s">
        <v>1424</v>
      </c>
      <c r="AG234" s="114">
        <f>AG233</f>
      </c>
      <c r="AH234" s="114">
        <f>AH233</f>
      </c>
      <c r="AI234" s="114">
        <f>AI233</f>
      </c>
      <c r="AJ234" s="114">
        <f>AJ233</f>
      </c>
    </row>
    <row r="235" ht="50.0" customHeight="true">
      <c r="A235" s="114" t="s">
        <v>22</v>
      </c>
      <c r="B235" s="114" t="s">
        <v>1449</v>
      </c>
      <c r="C235" s="114" t="s">
        <v>1454</v>
      </c>
      <c r="D235" s="114" t="s">
        <v>1454</v>
      </c>
      <c r="E235" s="115" t="s">
        <v>1455</v>
      </c>
      <c r="F235" s="119">
        <f>"     "&amp;F233</f>
      </c>
      <c r="G235" s="114" t="s">
        <v>192</v>
      </c>
      <c r="H235" s="116" t="n">
        <v>840.0</v>
      </c>
      <c r="I235" s="114">
        <f>I233</f>
      </c>
      <c r="J235" s="114">
        <f>J233&amp;"     "</f>
      </c>
      <c r="K235" s="114">
        <f>K233</f>
      </c>
      <c r="L235" s="114">
        <f>L233</f>
      </c>
      <c r="M235" s="114">
        <f>M233</f>
      </c>
      <c r="N235" s="114">
        <f>N233</f>
      </c>
      <c r="O235" s="114">
        <f>O233</f>
      </c>
      <c r="P235" s="114">
        <f>P233</f>
      </c>
      <c r="Q235" s="114">
        <f>Q233</f>
      </c>
      <c r="R235" s="114">
        <f>R233</f>
      </c>
      <c r="S235" s="114">
        <f>S233</f>
      </c>
      <c r="T235" s="114">
        <f>T233</f>
      </c>
      <c r="U235" s="114">
        <f>U233&amp;"     "</f>
      </c>
      <c r="V235" s="119">
        <f>V233</f>
      </c>
      <c r="W235" s="114">
        <f>W233&amp;"     "</f>
      </c>
      <c r="X235" s="114">
        <f>X233&amp;"     "</f>
      </c>
      <c r="Y235" s="114">
        <f>Y233&amp;"     "</f>
      </c>
      <c r="Z235" s="114">
        <f>Z233</f>
      </c>
      <c r="AA235" s="114">
        <f>AA233</f>
      </c>
      <c r="AB235" s="114">
        <f>AB233&amp;"     "</f>
      </c>
      <c r="AC235" s="114">
        <f>AC233</f>
      </c>
      <c r="AD235" s="114">
        <f>AD233&amp;"     "</f>
      </c>
      <c r="AE235" s="114">
        <f>AE233</f>
      </c>
      <c r="AF235" s="114" t="s">
        <v>1424</v>
      </c>
      <c r="AG235" s="114">
        <f>AG233</f>
      </c>
      <c r="AH235" s="114">
        <f>AH233</f>
      </c>
      <c r="AI235" s="114">
        <f>AI233</f>
      </c>
      <c r="AJ235" s="114">
        <f>AJ233</f>
      </c>
    </row>
    <row r="236" ht="50.0" customHeight="true">
      <c r="A236" s="114" t="s">
        <v>22</v>
      </c>
      <c r="B236" s="114" t="s">
        <v>1449</v>
      </c>
      <c r="C236" s="114" t="s">
        <v>1456</v>
      </c>
      <c r="D236" s="114" t="s">
        <v>1456</v>
      </c>
      <c r="E236" s="115" t="s">
        <v>1457</v>
      </c>
      <c r="F236" s="119">
        <f>"     "&amp;F233</f>
      </c>
      <c r="G236" s="114" t="s">
        <v>1378</v>
      </c>
      <c r="H236" s="116" t="n">
        <v>2580.0</v>
      </c>
      <c r="I236" s="114">
        <f>I233</f>
      </c>
      <c r="J236" s="114">
        <f>J233&amp;"     "</f>
      </c>
      <c r="K236" s="114">
        <f>K233</f>
      </c>
      <c r="L236" s="114">
        <f>L233</f>
      </c>
      <c r="M236" s="114">
        <f>M233</f>
      </c>
      <c r="N236" s="114">
        <f>N233</f>
      </c>
      <c r="O236" s="114">
        <f>O233</f>
      </c>
      <c r="P236" s="114">
        <f>P233</f>
      </c>
      <c r="Q236" s="114">
        <f>Q233</f>
      </c>
      <c r="R236" s="114">
        <f>R233</f>
      </c>
      <c r="S236" s="114">
        <f>S233</f>
      </c>
      <c r="T236" s="114">
        <f>T233</f>
      </c>
      <c r="U236" s="114">
        <f>U233&amp;"     "</f>
      </c>
      <c r="V236" s="119">
        <f>V233</f>
      </c>
      <c r="W236" s="114">
        <f>W233&amp;"     "</f>
      </c>
      <c r="X236" s="114">
        <f>X233&amp;"     "</f>
      </c>
      <c r="Y236" s="114">
        <f>Y233&amp;"     "</f>
      </c>
      <c r="Z236" s="114">
        <f>Z233</f>
      </c>
      <c r="AA236" s="114">
        <f>AA233</f>
      </c>
      <c r="AB236" s="114">
        <f>AB233&amp;"     "</f>
      </c>
      <c r="AC236" s="114">
        <f>AC233</f>
      </c>
      <c r="AD236" s="114">
        <f>AD233&amp;"     "</f>
      </c>
      <c r="AE236" s="114">
        <f>AE233</f>
      </c>
      <c r="AF236" s="114" t="s">
        <v>1424</v>
      </c>
      <c r="AG236" s="114">
        <f>AG233</f>
      </c>
      <c r="AH236" s="114">
        <f>AH233</f>
      </c>
      <c r="AI236" s="114">
        <f>AI233</f>
      </c>
      <c r="AJ236" s="114">
        <f>AJ233</f>
      </c>
    </row>
    <row r="237" ht="50.0" customHeight="true">
      <c r="A237" s="114" t="s">
        <v>22</v>
      </c>
      <c r="B237" s="114" t="s">
        <v>1449</v>
      </c>
      <c r="C237" s="114" t="s">
        <v>1458</v>
      </c>
      <c r="D237" s="114" t="s">
        <v>1458</v>
      </c>
      <c r="E237" s="115" t="s">
        <v>1459</v>
      </c>
      <c r="F237" s="119">
        <f>"     "&amp;F233</f>
      </c>
      <c r="G237" s="114" t="s">
        <v>1383</v>
      </c>
      <c r="H237" s="116" t="n">
        <v>2700.0</v>
      </c>
      <c r="I237" s="114">
        <f>I233</f>
      </c>
      <c r="J237" s="114">
        <f>J233&amp;"     "</f>
      </c>
      <c r="K237" s="114">
        <f>K233</f>
      </c>
      <c r="L237" s="114">
        <f>L233</f>
      </c>
      <c r="M237" s="114">
        <f>M233</f>
      </c>
      <c r="N237" s="114">
        <f>N233</f>
      </c>
      <c r="O237" s="114">
        <f>O233</f>
      </c>
      <c r="P237" s="114">
        <f>P233</f>
      </c>
      <c r="Q237" s="114">
        <f>Q233</f>
      </c>
      <c r="R237" s="114">
        <f>R233</f>
      </c>
      <c r="S237" s="114">
        <f>S233</f>
      </c>
      <c r="T237" s="114">
        <f>T233</f>
      </c>
      <c r="U237" s="114">
        <f>U233&amp;"     "</f>
      </c>
      <c r="V237" s="119">
        <f>V233</f>
      </c>
      <c r="W237" s="114">
        <f>W233&amp;"     "</f>
      </c>
      <c r="X237" s="114">
        <f>X233&amp;"     "</f>
      </c>
      <c r="Y237" s="114">
        <f>Y233&amp;"     "</f>
      </c>
      <c r="Z237" s="114">
        <f>Z233</f>
      </c>
      <c r="AA237" s="114">
        <f>AA233</f>
      </c>
      <c r="AB237" s="114">
        <f>AB233&amp;"     "</f>
      </c>
      <c r="AC237" s="114">
        <f>AC233</f>
      </c>
      <c r="AD237" s="114">
        <f>AD233&amp;"     "</f>
      </c>
      <c r="AE237" s="114">
        <f>AE233</f>
      </c>
      <c r="AF237" s="114" t="s">
        <v>1424</v>
      </c>
      <c r="AG237" s="114">
        <f>AG233</f>
      </c>
      <c r="AH237" s="114">
        <f>AH233</f>
      </c>
      <c r="AI237" s="114">
        <f>AI233</f>
      </c>
      <c r="AJ237" s="114">
        <f>AJ233</f>
      </c>
    </row>
    <row r="238" ht="50.0" customHeight="true">
      <c r="A238" s="114" t="s">
        <v>22</v>
      </c>
      <c r="B238" s="114" t="s">
        <v>1460</v>
      </c>
      <c r="C238" s="114"/>
      <c r="D238" s="114"/>
      <c r="E238" s="114" t="s">
        <v>22</v>
      </c>
      <c r="F238" s="115" t="s">
        <v>1433</v>
      </c>
      <c r="G238" s="114" t="s">
        <v>102</v>
      </c>
      <c r="H238" s="114" t="s">
        <v>1461</v>
      </c>
      <c r="I238" s="116" t="n">
        <v>14.5</v>
      </c>
      <c r="J238" s="116" t="s">
        <v>103</v>
      </c>
      <c r="K238" s="116"/>
      <c r="L238" s="116"/>
      <c r="M238" s="116"/>
      <c r="N238" s="116"/>
      <c r="O238" s="116"/>
      <c r="P238" s="116"/>
      <c r="Q238" s="116"/>
      <c r="R238" s="116"/>
      <c r="S238" s="116"/>
      <c r="T238" s="116"/>
      <c r="U238" s="116" t="s">
        <v>104</v>
      </c>
      <c r="V238" s="118" t="s">
        <v>22</v>
      </c>
      <c r="W238" s="116" t="s">
        <v>106</v>
      </c>
      <c r="X238" s="116" t="s">
        <v>107</v>
      </c>
      <c r="Y238" s="116" t="s">
        <v>108</v>
      </c>
      <c r="Z238" s="114">
        <f>IF(INDIRECT("Y238")="Clássico","11.5%","-")</f>
      </c>
      <c r="AA238" s="114" t="s">
        <v>1357</v>
      </c>
      <c r="AB238" s="116" t="s">
        <v>120</v>
      </c>
      <c r="AC238" s="116" t="n">
        <v>90.0</v>
      </c>
      <c r="AD238" s="116" t="s">
        <v>111</v>
      </c>
      <c r="AE238" s="117" t="s">
        <v>112</v>
      </c>
      <c r="AF238" s="114" t="s">
        <v>1424</v>
      </c>
      <c r="AG238" s="116"/>
      <c r="AH238" s="116"/>
      <c r="AI238" s="116"/>
      <c r="AJ238" s="116"/>
    </row>
    <row r="239" ht="50.0" customHeight="true">
      <c r="A239" s="114" t="s">
        <v>22</v>
      </c>
      <c r="B239" s="114" t="s">
        <v>1460</v>
      </c>
      <c r="C239" s="114" t="s">
        <v>1462</v>
      </c>
      <c r="D239" s="114" t="s">
        <v>1462</v>
      </c>
      <c r="E239" s="115" t="s">
        <v>1463</v>
      </c>
      <c r="F239" s="119">
        <f>"     "&amp;F238</f>
      </c>
      <c r="G239" s="114" t="s">
        <v>1378</v>
      </c>
      <c r="H239" s="116" t="n">
        <v>1440.0</v>
      </c>
      <c r="I239" s="114">
        <f>I238</f>
      </c>
      <c r="J239" s="114">
        <f>J238&amp;"     "</f>
      </c>
      <c r="K239" s="114">
        <f>K238</f>
      </c>
      <c r="L239" s="114">
        <f>L238</f>
      </c>
      <c r="M239" s="114">
        <f>M238</f>
      </c>
      <c r="N239" s="114">
        <f>N238</f>
      </c>
      <c r="O239" s="114">
        <f>O238</f>
      </c>
      <c r="P239" s="114">
        <f>P238</f>
      </c>
      <c r="Q239" s="114">
        <f>Q238</f>
      </c>
      <c r="R239" s="114">
        <f>R238</f>
      </c>
      <c r="S239" s="114">
        <f>S238</f>
      </c>
      <c r="T239" s="114">
        <f>T238</f>
      </c>
      <c r="U239" s="114">
        <f>U238&amp;"     "</f>
      </c>
      <c r="V239" s="119">
        <f>V238</f>
      </c>
      <c r="W239" s="114">
        <f>W238&amp;"     "</f>
      </c>
      <c r="X239" s="114">
        <f>X238&amp;"     "</f>
      </c>
      <c r="Y239" s="114">
        <f>Y238&amp;"     "</f>
      </c>
      <c r="Z239" s="114">
        <f>Z238</f>
      </c>
      <c r="AA239" s="114">
        <f>AA238</f>
      </c>
      <c r="AB239" s="114">
        <f>AB238&amp;"     "</f>
      </c>
      <c r="AC239" s="114">
        <f>AC238</f>
      </c>
      <c r="AD239" s="114">
        <f>AD238&amp;"     "</f>
      </c>
      <c r="AE239" s="114">
        <f>AE238</f>
      </c>
      <c r="AF239" s="114" t="s">
        <v>1424</v>
      </c>
      <c r="AG239" s="114">
        <f>AG238</f>
      </c>
      <c r="AH239" s="114">
        <f>AH238</f>
      </c>
      <c r="AI239" s="114">
        <f>AI238</f>
      </c>
      <c r="AJ239" s="114">
        <f>AJ238</f>
      </c>
    </row>
    <row r="240" ht="50.0" customHeight="true">
      <c r="A240" s="114" t="s">
        <v>22</v>
      </c>
      <c r="B240" s="114" t="s">
        <v>1460</v>
      </c>
      <c r="C240" s="114" t="s">
        <v>1464</v>
      </c>
      <c r="D240" s="114" t="s">
        <v>1464</v>
      </c>
      <c r="E240" s="115" t="s">
        <v>1465</v>
      </c>
      <c r="F240" s="119">
        <f>"     "&amp;F238</f>
      </c>
      <c r="G240" s="114" t="s">
        <v>1383</v>
      </c>
      <c r="H240" s="116" t="n">
        <v>1440.0</v>
      </c>
      <c r="I240" s="114">
        <f>I238</f>
      </c>
      <c r="J240" s="114">
        <f>J238&amp;"     "</f>
      </c>
      <c r="K240" s="114">
        <f>K238</f>
      </c>
      <c r="L240" s="114">
        <f>L238</f>
      </c>
      <c r="M240" s="114">
        <f>M238</f>
      </c>
      <c r="N240" s="114">
        <f>N238</f>
      </c>
      <c r="O240" s="114">
        <f>O238</f>
      </c>
      <c r="P240" s="114">
        <f>P238</f>
      </c>
      <c r="Q240" s="114">
        <f>Q238</f>
      </c>
      <c r="R240" s="114">
        <f>R238</f>
      </c>
      <c r="S240" s="114">
        <f>S238</f>
      </c>
      <c r="T240" s="114">
        <f>T238</f>
      </c>
      <c r="U240" s="114">
        <f>U238&amp;"     "</f>
      </c>
      <c r="V240" s="119">
        <f>V238</f>
      </c>
      <c r="W240" s="114">
        <f>W238&amp;"     "</f>
      </c>
      <c r="X240" s="114">
        <f>X238&amp;"     "</f>
      </c>
      <c r="Y240" s="114">
        <f>Y238&amp;"     "</f>
      </c>
      <c r="Z240" s="114">
        <f>Z238</f>
      </c>
      <c r="AA240" s="114">
        <f>AA238</f>
      </c>
      <c r="AB240" s="114">
        <f>AB238&amp;"     "</f>
      </c>
      <c r="AC240" s="114">
        <f>AC238</f>
      </c>
      <c r="AD240" s="114">
        <f>AD238&amp;"     "</f>
      </c>
      <c r="AE240" s="114">
        <f>AE238</f>
      </c>
      <c r="AF240" s="114" t="s">
        <v>1424</v>
      </c>
      <c r="AG240" s="114">
        <f>AG238</f>
      </c>
      <c r="AH240" s="114">
        <f>AH238</f>
      </c>
      <c r="AI240" s="114">
        <f>AI238</f>
      </c>
      <c r="AJ240" s="114">
        <f>AJ238</f>
      </c>
    </row>
    <row r="241" ht="50.0" customHeight="true">
      <c r="A241" s="114" t="s">
        <v>1466</v>
      </c>
      <c r="B241" s="114" t="s">
        <v>1467</v>
      </c>
      <c r="C241" s="114" t="s">
        <v>1468</v>
      </c>
      <c r="D241" s="114"/>
      <c r="E241" s="115" t="s">
        <v>1469</v>
      </c>
      <c r="F241" s="114" t="s">
        <v>1470</v>
      </c>
      <c r="G241" s="114" t="s">
        <v>528</v>
      </c>
      <c r="H241" s="116" t="n">
        <v>281.0</v>
      </c>
      <c r="I241" s="116" t="n">
        <v>59.9</v>
      </c>
      <c r="J241" s="116" t="s">
        <v>103</v>
      </c>
      <c r="K241" s="116" t="n">
        <v>52.0</v>
      </c>
      <c r="L241" s="116" t="n">
        <v>3.0</v>
      </c>
      <c r="M241" s="116"/>
      <c r="N241" s="116"/>
      <c r="O241" s="116"/>
      <c r="P241" s="116"/>
      <c r="Q241" s="116"/>
      <c r="R241" s="116"/>
      <c r="S241" s="116"/>
      <c r="T241" s="116"/>
      <c r="U241" s="116" t="s">
        <v>104</v>
      </c>
      <c r="V241" s="118" t="s">
        <v>1471</v>
      </c>
      <c r="W241" s="116" t="s">
        <v>106</v>
      </c>
      <c r="X241" s="116" t="s">
        <v>107</v>
      </c>
      <c r="Y241" s="116" t="s">
        <v>108</v>
      </c>
      <c r="Z241" s="114">
        <f>IF(INDIRECT("Y241")="Clássico","14%",IF(INDIRECT("Y241")="Premium","19%","-"))</f>
      </c>
      <c r="AA241" s="116" t="s">
        <v>1357</v>
      </c>
      <c r="AB241" s="116" t="s">
        <v>110</v>
      </c>
      <c r="AC241" s="116" t="n">
        <v>30.0</v>
      </c>
      <c r="AD241" s="116" t="s">
        <v>111</v>
      </c>
      <c r="AE241" s="117" t="s">
        <v>112</v>
      </c>
      <c r="AF241" s="114" t="s">
        <v>113</v>
      </c>
      <c r="AG241" s="116" t="n">
        <v>29.0</v>
      </c>
      <c r="AH241" s="116" t="n">
        <v>21.0</v>
      </c>
      <c r="AI241" s="116" t="n">
        <v>8.0</v>
      </c>
      <c r="AJ241" s="116" t="n">
        <v>0.51</v>
      </c>
    </row>
    <row r="242" ht="50.0" customHeight="true">
      <c r="A242" s="114" t="s">
        <v>1472</v>
      </c>
      <c r="B242" s="114" t="s">
        <v>1473</v>
      </c>
      <c r="C242" s="114" t="s">
        <v>1474</v>
      </c>
      <c r="D242" s="114"/>
      <c r="E242" s="115" t="s">
        <v>1475</v>
      </c>
      <c r="F242" s="114" t="s">
        <v>1476</v>
      </c>
      <c r="G242" s="114" t="s">
        <v>419</v>
      </c>
      <c r="H242" s="116" t="n">
        <v>0.0</v>
      </c>
      <c r="I242" s="116" t="n">
        <v>24.5</v>
      </c>
      <c r="J242" s="116" t="s">
        <v>103</v>
      </c>
      <c r="K242" s="116" t="n">
        <v>23.0</v>
      </c>
      <c r="L242" s="116" t="n">
        <v>5.0</v>
      </c>
      <c r="M242" s="116" t="n">
        <v>21.5</v>
      </c>
      <c r="N242" s="116" t="n">
        <v>10.0</v>
      </c>
      <c r="O242" s="116"/>
      <c r="P242" s="116"/>
      <c r="Q242" s="116"/>
      <c r="R242" s="116"/>
      <c r="S242" s="116"/>
      <c r="T242" s="116"/>
      <c r="U242" s="116" t="s">
        <v>104</v>
      </c>
      <c r="V242" s="118" t="s">
        <v>1477</v>
      </c>
      <c r="W242" s="116" t="s">
        <v>106</v>
      </c>
      <c r="X242" s="116" t="s">
        <v>107</v>
      </c>
      <c r="Y242" s="116" t="s">
        <v>108</v>
      </c>
      <c r="Z242" s="114">
        <f>IF(INDIRECT("Y242")="Clássico","13%",IF(INDIRECT("Y242")="Premium","18%","-"))</f>
      </c>
      <c r="AA242" s="116" t="s">
        <v>1357</v>
      </c>
      <c r="AB242" s="116" t="s">
        <v>110</v>
      </c>
      <c r="AC242" s="116" t="n">
        <v>30.0</v>
      </c>
      <c r="AD242" s="116" t="s">
        <v>111</v>
      </c>
      <c r="AE242" s="117" t="s">
        <v>112</v>
      </c>
      <c r="AF242" s="114" t="s">
        <v>1478</v>
      </c>
      <c r="AG242" s="116" t="n">
        <v>20.0</v>
      </c>
      <c r="AH242" s="116" t="n">
        <v>14.0</v>
      </c>
      <c r="AI242" s="116" t="n">
        <v>3.0</v>
      </c>
      <c r="AJ242" s="116" t="n">
        <v>0.13</v>
      </c>
    </row>
    <row r="243" ht="50.0" customHeight="true">
      <c r="A243" s="114" t="s">
        <v>1479</v>
      </c>
      <c r="B243" s="114" t="s">
        <v>1480</v>
      </c>
      <c r="C243" s="114" t="s">
        <v>1481</v>
      </c>
      <c r="D243" s="114"/>
      <c r="E243" s="115" t="s">
        <v>1090</v>
      </c>
      <c r="F243" s="114" t="s">
        <v>1482</v>
      </c>
      <c r="G243" s="114" t="s">
        <v>1483</v>
      </c>
      <c r="H243" s="116" t="n">
        <v>25.0</v>
      </c>
      <c r="I243" s="116" t="n">
        <v>44.9</v>
      </c>
      <c r="J243" s="116" t="s">
        <v>103</v>
      </c>
      <c r="K243" s="116" t="n">
        <v>38.0</v>
      </c>
      <c r="L243" s="116" t="n">
        <v>2.0</v>
      </c>
      <c r="M243" s="116"/>
      <c r="N243" s="116"/>
      <c r="O243" s="116"/>
      <c r="P243" s="116"/>
      <c r="Q243" s="116"/>
      <c r="R243" s="116"/>
      <c r="S243" s="116"/>
      <c r="T243" s="116"/>
      <c r="U243" s="116" t="s">
        <v>104</v>
      </c>
      <c r="V243" s="118" t="s">
        <v>1484</v>
      </c>
      <c r="W243" s="116" t="s">
        <v>106</v>
      </c>
      <c r="X243" s="116" t="s">
        <v>107</v>
      </c>
      <c r="Y243" s="116" t="s">
        <v>152</v>
      </c>
      <c r="Z243" s="114">
        <f>IF(INDIRECT("Y243")="Clássico","14%",IF(INDIRECT("Y243")="Premium","19%","-"))</f>
      </c>
      <c r="AA243" s="116" t="s">
        <v>1357</v>
      </c>
      <c r="AB243" s="116" t="s">
        <v>110</v>
      </c>
      <c r="AC243" s="116" t="n">
        <v>30.0</v>
      </c>
      <c r="AD243" s="116" t="s">
        <v>111</v>
      </c>
      <c r="AE243" s="117" t="s">
        <v>112</v>
      </c>
      <c r="AF243" s="114" t="s">
        <v>113</v>
      </c>
      <c r="AG243" s="116" t="n">
        <v>21.0</v>
      </c>
      <c r="AH243" s="116" t="n">
        <v>15.0</v>
      </c>
      <c r="AI243" s="116" t="n">
        <v>4.0</v>
      </c>
      <c r="AJ243" s="116" t="n">
        <v>0.4</v>
      </c>
    </row>
    <row r="244" ht="50.0" customHeight="true">
      <c r="A244" s="114" t="s">
        <v>1485</v>
      </c>
      <c r="B244" s="114" t="s">
        <v>1486</v>
      </c>
      <c r="C244" s="114" t="s">
        <v>1487</v>
      </c>
      <c r="D244" s="114"/>
      <c r="E244" s="115" t="s">
        <v>1488</v>
      </c>
      <c r="F244" s="114" t="s">
        <v>1489</v>
      </c>
      <c r="G244" s="114" t="s">
        <v>1490</v>
      </c>
      <c r="H244" s="116" t="n">
        <v>0.0</v>
      </c>
      <c r="I244" s="116" t="n">
        <v>179.9</v>
      </c>
      <c r="J244" s="116" t="s">
        <v>103</v>
      </c>
      <c r="K244" s="116" t="n">
        <v>175.0</v>
      </c>
      <c r="L244" s="116" t="n">
        <v>5.0</v>
      </c>
      <c r="M244" s="116"/>
      <c r="N244" s="116"/>
      <c r="O244" s="116"/>
      <c r="P244" s="116"/>
      <c r="Q244" s="116"/>
      <c r="R244" s="116"/>
      <c r="S244" s="116"/>
      <c r="T244" s="116"/>
      <c r="U244" s="116" t="s">
        <v>104</v>
      </c>
      <c r="V244" s="118" t="s">
        <v>1491</v>
      </c>
      <c r="W244" s="116" t="s">
        <v>130</v>
      </c>
      <c r="X244" s="116" t="s">
        <v>107</v>
      </c>
      <c r="Y244" s="116" t="s">
        <v>108</v>
      </c>
      <c r="Z244" s="114">
        <f>IF(INDIRECT("Y244")="Clássico","12%",IF(INDIRECT("Y244")="Premium","17%","-"))</f>
      </c>
      <c r="AA244" s="116" t="s">
        <v>1357</v>
      </c>
      <c r="AB244" s="116" t="s">
        <v>110</v>
      </c>
      <c r="AC244" s="116" t="n">
        <v>30.0</v>
      </c>
      <c r="AD244" s="116" t="s">
        <v>111</v>
      </c>
      <c r="AE244" s="117" t="s">
        <v>112</v>
      </c>
      <c r="AF244" s="114" t="s">
        <v>1492</v>
      </c>
      <c r="AG244" s="116" t="n">
        <v>34.0</v>
      </c>
      <c r="AH244" s="116" t="n">
        <v>18.0</v>
      </c>
      <c r="AI244" s="116" t="n">
        <v>16.0</v>
      </c>
      <c r="AJ244" s="116" t="n">
        <v>1.05</v>
      </c>
    </row>
    <row r="245" ht="50.0" customHeight="true">
      <c r="A245" s="114" t="s">
        <v>1493</v>
      </c>
      <c r="B245" s="114" t="s">
        <v>1494</v>
      </c>
      <c r="C245" s="114" t="s">
        <v>1495</v>
      </c>
      <c r="D245" s="114"/>
      <c r="E245" s="115" t="s">
        <v>515</v>
      </c>
      <c r="F245" s="114" t="s">
        <v>1496</v>
      </c>
      <c r="G245" s="114" t="s">
        <v>150</v>
      </c>
      <c r="H245" s="116" t="n">
        <v>49.0</v>
      </c>
      <c r="I245" s="116" t="n">
        <v>46.0</v>
      </c>
      <c r="J245" s="116" t="s">
        <v>103</v>
      </c>
      <c r="K245" s="116" t="n">
        <v>41.0</v>
      </c>
      <c r="L245" s="116" t="n">
        <v>2.0</v>
      </c>
      <c r="M245" s="116" t="n">
        <v>40.0</v>
      </c>
      <c r="N245" s="116" t="n">
        <v>4.0</v>
      </c>
      <c r="O245" s="116"/>
      <c r="P245" s="116"/>
      <c r="Q245" s="116"/>
      <c r="R245" s="116"/>
      <c r="S245" s="116"/>
      <c r="T245" s="116"/>
      <c r="U245" s="116" t="s">
        <v>104</v>
      </c>
      <c r="V245" s="118" t="s">
        <v>1497</v>
      </c>
      <c r="W245" s="116" t="s">
        <v>106</v>
      </c>
      <c r="X245" s="116" t="s">
        <v>107</v>
      </c>
      <c r="Y245" s="116" t="s">
        <v>152</v>
      </c>
      <c r="Z245" s="114">
        <f>IF(INDIRECT("Y245")="Clássico","14%",IF(INDIRECT("Y245")="Premium","19%","-"))</f>
      </c>
      <c r="AA245" s="116" t="s">
        <v>1357</v>
      </c>
      <c r="AB245" s="116" t="s">
        <v>110</v>
      </c>
      <c r="AC245" s="116" t="n">
        <v>30.0</v>
      </c>
      <c r="AD245" s="116" t="s">
        <v>111</v>
      </c>
      <c r="AE245" s="117" t="s">
        <v>112</v>
      </c>
      <c r="AF245" s="114" t="s">
        <v>113</v>
      </c>
      <c r="AG245" s="116" t="n">
        <v>29.0</v>
      </c>
      <c r="AH245" s="116" t="n">
        <v>22.0</v>
      </c>
      <c r="AI245" s="116" t="n">
        <v>6.0</v>
      </c>
      <c r="AJ245" s="116" t="n">
        <v>0.3</v>
      </c>
    </row>
    <row r="246" ht="50.0" customHeight="true">
      <c r="A246" s="114" t="s">
        <v>1498</v>
      </c>
      <c r="B246" s="114" t="s">
        <v>1499</v>
      </c>
      <c r="C246" s="114" t="s">
        <v>1500</v>
      </c>
      <c r="D246" s="114"/>
      <c r="E246" s="115" t="s">
        <v>1501</v>
      </c>
      <c r="F246" s="114" t="s">
        <v>1502</v>
      </c>
      <c r="G246" s="114" t="s">
        <v>1502</v>
      </c>
      <c r="H246" s="116" t="n">
        <v>3.0</v>
      </c>
      <c r="I246" s="116" t="n">
        <v>46.0</v>
      </c>
      <c r="J246" s="116" t="s">
        <v>103</v>
      </c>
      <c r="K246" s="116"/>
      <c r="L246" s="116"/>
      <c r="M246" s="116"/>
      <c r="N246" s="116"/>
      <c r="O246" s="116"/>
      <c r="P246" s="116"/>
      <c r="Q246" s="116"/>
      <c r="R246" s="116"/>
      <c r="S246" s="116"/>
      <c r="T246" s="116"/>
      <c r="U246" s="116" t="s">
        <v>104</v>
      </c>
      <c r="V246" s="118" t="s">
        <v>1503</v>
      </c>
      <c r="W246" s="116" t="s">
        <v>106</v>
      </c>
      <c r="X246" s="116" t="s">
        <v>143</v>
      </c>
      <c r="Y246" s="116" t="s">
        <v>108</v>
      </c>
      <c r="Z246" s="114">
        <f>IF(INDIRECT("Y246")="Clássico","11.5%",IF(INDIRECT("Y246")="Premium","16.5%","-"))</f>
      </c>
      <c r="AA246" s="116" t="s">
        <v>1357</v>
      </c>
      <c r="AB246" s="116" t="s">
        <v>120</v>
      </c>
      <c r="AC246" s="116" t="n">
        <v>3.0</v>
      </c>
      <c r="AD246" s="116" t="s">
        <v>121</v>
      </c>
      <c r="AE246" s="117" t="s">
        <v>112</v>
      </c>
      <c r="AF246" s="114" t="s">
        <v>1504</v>
      </c>
      <c r="AG246" s="116" t="n">
        <v>29.0</v>
      </c>
      <c r="AH246" s="116" t="n">
        <v>8.0</v>
      </c>
      <c r="AI246" s="116" t="n">
        <v>5.0</v>
      </c>
      <c r="AJ246" s="116" t="n">
        <v>0.52</v>
      </c>
    </row>
    <row r="247" ht="50.0" customHeight="true">
      <c r="A247" s="114" t="s">
        <v>1505</v>
      </c>
      <c r="B247" s="114" t="s">
        <v>1506</v>
      </c>
      <c r="C247" s="114" t="s">
        <v>1507</v>
      </c>
      <c r="D247" s="114"/>
      <c r="E247" s="115" t="s">
        <v>1508</v>
      </c>
      <c r="F247" s="114" t="s">
        <v>1509</v>
      </c>
      <c r="G247" s="114" t="s">
        <v>1509</v>
      </c>
      <c r="H247" s="116" t="n">
        <v>0.0</v>
      </c>
      <c r="I247" s="116" t="n">
        <v>50.0</v>
      </c>
      <c r="J247" s="116" t="s">
        <v>103</v>
      </c>
      <c r="K247" s="116"/>
      <c r="L247" s="116"/>
      <c r="M247" s="116"/>
      <c r="N247" s="116"/>
      <c r="O247" s="116"/>
      <c r="P247" s="116"/>
      <c r="Q247" s="116"/>
      <c r="R247" s="116"/>
      <c r="S247" s="116"/>
      <c r="T247" s="116"/>
      <c r="U247" s="116" t="s">
        <v>104</v>
      </c>
      <c r="V247" s="118" t="s">
        <v>1510</v>
      </c>
      <c r="W247" s="116" t="s">
        <v>106</v>
      </c>
      <c r="X247" s="116" t="s">
        <v>143</v>
      </c>
      <c r="Y247" s="116" t="s">
        <v>152</v>
      </c>
      <c r="Z247" s="114">
        <f>IF(INDIRECT("Y247")="Clássico","12.5%",IF(INDIRECT("Y247")="Premium","17.5%","-"))</f>
      </c>
      <c r="AA247" s="116" t="s">
        <v>1357</v>
      </c>
      <c r="AB247" s="116" t="s">
        <v>110</v>
      </c>
      <c r="AC247" s="116" t="n">
        <v>3.0</v>
      </c>
      <c r="AD247" s="116" t="s">
        <v>121</v>
      </c>
      <c r="AE247" s="117" t="s">
        <v>112</v>
      </c>
      <c r="AF247" s="114" t="s">
        <v>1511</v>
      </c>
      <c r="AG247" s="116" t="n">
        <v>29.0</v>
      </c>
      <c r="AH247" s="116" t="n">
        <v>19.0</v>
      </c>
      <c r="AI247" s="116" t="n">
        <v>10.0</v>
      </c>
      <c r="AJ247" s="116" t="n">
        <v>0.22</v>
      </c>
    </row>
    <row r="248" ht="50.0" customHeight="true">
      <c r="A248" s="114" t="s">
        <v>1512</v>
      </c>
      <c r="B248" s="114" t="s">
        <v>1513</v>
      </c>
      <c r="C248" s="114" t="s">
        <v>1514</v>
      </c>
      <c r="D248" s="114"/>
      <c r="E248" s="115" t="s">
        <v>1515</v>
      </c>
      <c r="F248" s="114" t="s">
        <v>1516</v>
      </c>
      <c r="G248" s="114" t="s">
        <v>1516</v>
      </c>
      <c r="H248" s="116" t="n">
        <v>0.0</v>
      </c>
      <c r="I248" s="116" t="n">
        <v>68.0</v>
      </c>
      <c r="J248" s="116" t="s">
        <v>103</v>
      </c>
      <c r="K248" s="116"/>
      <c r="L248" s="116"/>
      <c r="M248" s="116"/>
      <c r="N248" s="116"/>
      <c r="O248" s="116"/>
      <c r="P248" s="116"/>
      <c r="Q248" s="116"/>
      <c r="R248" s="116"/>
      <c r="S248" s="116"/>
      <c r="T248" s="116"/>
      <c r="U248" s="114" t="s">
        <v>104</v>
      </c>
      <c r="V248" s="118" t="s">
        <v>1517</v>
      </c>
      <c r="W248" s="116" t="s">
        <v>106</v>
      </c>
      <c r="X248" s="116" t="s">
        <v>143</v>
      </c>
      <c r="Y248" s="116" t="s">
        <v>108</v>
      </c>
      <c r="Z248" s="114">
        <f>IF(INDIRECT("Y248")="Clássico","11.5%",IF(INDIRECT("Y248")="Premium","16.5%","-"))</f>
      </c>
      <c r="AA248" s="116" t="s">
        <v>1357</v>
      </c>
      <c r="AB248" s="116" t="s">
        <v>110</v>
      </c>
      <c r="AC248" s="116" t="n">
        <v>3.0</v>
      </c>
      <c r="AD248" s="116" t="s">
        <v>121</v>
      </c>
      <c r="AE248" s="117" t="s">
        <v>112</v>
      </c>
      <c r="AF248" s="114" t="s">
        <v>1504</v>
      </c>
      <c r="AG248" s="116" t="n">
        <v>29.0</v>
      </c>
      <c r="AH248" s="116" t="n">
        <v>6.0</v>
      </c>
      <c r="AI248" s="116" t="n">
        <v>5.0</v>
      </c>
      <c r="AJ248" s="116" t="n">
        <v>1.07</v>
      </c>
    </row>
    <row r="249" ht="50.0" customHeight="true">
      <c r="A249" s="114" t="s">
        <v>1518</v>
      </c>
      <c r="B249" s="114" t="s">
        <v>1519</v>
      </c>
      <c r="C249" s="114" t="s">
        <v>1520</v>
      </c>
      <c r="D249" s="114"/>
      <c r="E249" s="115" t="s">
        <v>335</v>
      </c>
      <c r="F249" s="114" t="s">
        <v>1521</v>
      </c>
      <c r="G249" s="114" t="s">
        <v>1521</v>
      </c>
      <c r="H249" s="116" t="n">
        <v>0.0</v>
      </c>
      <c r="I249" s="116" t="n">
        <v>38.9</v>
      </c>
      <c r="J249" s="116" t="s">
        <v>103</v>
      </c>
      <c r="K249" s="116" t="n">
        <v>34.0</v>
      </c>
      <c r="L249" s="116" t="n">
        <v>5.0</v>
      </c>
      <c r="M249" s="116"/>
      <c r="N249" s="116"/>
      <c r="O249" s="116"/>
      <c r="P249" s="116"/>
      <c r="Q249" s="116"/>
      <c r="R249" s="116"/>
      <c r="S249" s="116"/>
      <c r="T249" s="116"/>
      <c r="U249" s="116" t="s">
        <v>104</v>
      </c>
      <c r="V249" s="118" t="s">
        <v>1522</v>
      </c>
      <c r="W249" s="116" t="s">
        <v>106</v>
      </c>
      <c r="X249" s="116" t="s">
        <v>107</v>
      </c>
      <c r="Y249" s="116" t="s">
        <v>108</v>
      </c>
      <c r="Z249" s="114">
        <f>IF(INDIRECT("Y249")="Clássico","12%",IF(INDIRECT("Y249")="Premium","17%","-"))</f>
      </c>
      <c r="AA249" s="116" t="s">
        <v>1357</v>
      </c>
      <c r="AB249" s="116" t="s">
        <v>110</v>
      </c>
      <c r="AC249" s="116" t="n">
        <v>3.0</v>
      </c>
      <c r="AD249" s="116" t="s">
        <v>121</v>
      </c>
      <c r="AE249" s="117" t="s">
        <v>112</v>
      </c>
      <c r="AF249" s="114" t="s">
        <v>144</v>
      </c>
      <c r="AG249" s="116" t="n">
        <v>22.0</v>
      </c>
      <c r="AH249" s="116" t="n">
        <v>15.0</v>
      </c>
      <c r="AI249" s="116" t="n">
        <v>8.0</v>
      </c>
      <c r="AJ249" s="116" t="n">
        <v>0.35</v>
      </c>
    </row>
    <row r="250" ht="50.0" customHeight="true">
      <c r="A250" s="114" t="s">
        <v>1523</v>
      </c>
      <c r="B250" s="114" t="s">
        <v>1524</v>
      </c>
      <c r="C250" s="114" t="s">
        <v>1525</v>
      </c>
      <c r="D250" s="114"/>
      <c r="E250" s="115" t="s">
        <v>210</v>
      </c>
      <c r="F250" s="114" t="s">
        <v>1526</v>
      </c>
      <c r="G250" s="114" t="s">
        <v>128</v>
      </c>
      <c r="H250" s="116" t="n">
        <v>0.0</v>
      </c>
      <c r="I250" s="116" t="n">
        <v>249.9</v>
      </c>
      <c r="J250" s="116" t="s">
        <v>103</v>
      </c>
      <c r="K250" s="116" t="n">
        <v>229.0</v>
      </c>
      <c r="L250" s="116" t="n">
        <v>5.0</v>
      </c>
      <c r="M250" s="116"/>
      <c r="N250" s="116"/>
      <c r="O250" s="116"/>
      <c r="P250" s="116"/>
      <c r="Q250" s="116"/>
      <c r="R250" s="116"/>
      <c r="S250" s="116"/>
      <c r="T250" s="116"/>
      <c r="U250" s="116" t="s">
        <v>104</v>
      </c>
      <c r="V250" s="118" t="s">
        <v>1527</v>
      </c>
      <c r="W250" s="116" t="s">
        <v>130</v>
      </c>
      <c r="X250" s="116" t="s">
        <v>107</v>
      </c>
      <c r="Y250" s="116" t="s">
        <v>152</v>
      </c>
      <c r="Z250" s="114">
        <f>IF(INDIRECT("Y250")="Clássico","12%",IF(INDIRECT("Y250")="Premium","17%","-"))</f>
      </c>
      <c r="AA250" s="116" t="s">
        <v>1357</v>
      </c>
      <c r="AB250" s="116" t="s">
        <v>120</v>
      </c>
      <c r="AC250" s="116" t="n">
        <v>3.0</v>
      </c>
      <c r="AD250" s="116" t="s">
        <v>121</v>
      </c>
      <c r="AE250" s="117" t="s">
        <v>112</v>
      </c>
      <c r="AF250" s="114" t="s">
        <v>213</v>
      </c>
      <c r="AG250" s="116" t="n">
        <v>48.0</v>
      </c>
      <c r="AH250" s="116" t="n">
        <v>42.0</v>
      </c>
      <c r="AI250" s="116" t="n">
        <v>7.0</v>
      </c>
      <c r="AJ250" s="116" t="n">
        <v>3.85</v>
      </c>
    </row>
    <row r="251" ht="50.0" customHeight="true">
      <c r="A251" s="114" t="s">
        <v>604</v>
      </c>
      <c r="B251" s="114" t="s">
        <v>1528</v>
      </c>
      <c r="C251" s="114" t="s">
        <v>1529</v>
      </c>
      <c r="D251" s="114"/>
      <c r="E251" s="115" t="s">
        <v>1530</v>
      </c>
      <c r="F251" s="114" t="s">
        <v>608</v>
      </c>
      <c r="G251" s="114" t="s">
        <v>1531</v>
      </c>
      <c r="H251" s="116" t="n">
        <v>0.0</v>
      </c>
      <c r="I251" s="116" t="n">
        <v>55.0</v>
      </c>
      <c r="J251" s="116" t="s">
        <v>103</v>
      </c>
      <c r="K251" s="116"/>
      <c r="L251" s="116"/>
      <c r="M251" s="116"/>
      <c r="N251" s="116"/>
      <c r="O251" s="116"/>
      <c r="P251" s="116"/>
      <c r="Q251" s="116"/>
      <c r="R251" s="116"/>
      <c r="S251" s="116"/>
      <c r="T251" s="116"/>
      <c r="U251" s="116" t="s">
        <v>104</v>
      </c>
      <c r="V251" s="118" t="s">
        <v>610</v>
      </c>
      <c r="W251" s="116" t="s">
        <v>106</v>
      </c>
      <c r="X251" s="116" t="s">
        <v>107</v>
      </c>
      <c r="Y251" s="116" t="s">
        <v>152</v>
      </c>
      <c r="Z251" s="114">
        <f>IF(INDIRECT("Y251")="Clássico","12%",IF(INDIRECT("Y251")="Premium","17%","-"))</f>
      </c>
      <c r="AA251" s="116" t="s">
        <v>1357</v>
      </c>
      <c r="AB251" s="116" t="s">
        <v>110</v>
      </c>
      <c r="AC251" s="116" t="n">
        <v>30.0</v>
      </c>
      <c r="AD251" s="116" t="s">
        <v>111</v>
      </c>
      <c r="AE251" s="117" t="s">
        <v>112</v>
      </c>
      <c r="AF251" s="114" t="s">
        <v>611</v>
      </c>
      <c r="AG251" s="116" t="n">
        <v>20.0</v>
      </c>
      <c r="AH251" s="116" t="n">
        <v>18.0</v>
      </c>
      <c r="AI251" s="116" t="n">
        <v>17.0</v>
      </c>
      <c r="AJ251" s="116" t="n">
        <v>0.58</v>
      </c>
    </row>
    <row r="252" ht="50.0" customHeight="true">
      <c r="A252" s="114" t="s">
        <v>1532</v>
      </c>
      <c r="B252" s="114" t="s">
        <v>1533</v>
      </c>
      <c r="C252" s="114" t="s">
        <v>1534</v>
      </c>
      <c r="D252" s="114"/>
      <c r="E252" s="115" t="s">
        <v>1535</v>
      </c>
      <c r="F252" s="114" t="s">
        <v>1536</v>
      </c>
      <c r="G252" s="114" t="s">
        <v>1537</v>
      </c>
      <c r="H252" s="116" t="n">
        <v>985.0</v>
      </c>
      <c r="I252" s="116" t="n">
        <v>32.0</v>
      </c>
      <c r="J252" s="116" t="s">
        <v>103</v>
      </c>
      <c r="K252" s="116" t="n">
        <v>30.0</v>
      </c>
      <c r="L252" s="116" t="n">
        <v>5.0</v>
      </c>
      <c r="M252" s="116"/>
      <c r="N252" s="116"/>
      <c r="O252" s="116"/>
      <c r="P252" s="116"/>
      <c r="Q252" s="116"/>
      <c r="R252" s="116"/>
      <c r="S252" s="116"/>
      <c r="T252" s="116"/>
      <c r="U252" s="116" t="s">
        <v>104</v>
      </c>
      <c r="V252" s="118" t="s">
        <v>1538</v>
      </c>
      <c r="W252" s="116" t="s">
        <v>106</v>
      </c>
      <c r="X252" s="116" t="s">
        <v>143</v>
      </c>
      <c r="Y252" s="116" t="s">
        <v>108</v>
      </c>
      <c r="Z252" s="114">
        <f>IF(INDIRECT("Y252")="Clássico","14%",IF(INDIRECT("Y252")="Premium","19%","-"))</f>
      </c>
      <c r="AA252" s="116" t="s">
        <v>1357</v>
      </c>
      <c r="AB252" s="116" t="s">
        <v>110</v>
      </c>
      <c r="AC252" s="116" t="n">
        <v>30.0</v>
      </c>
      <c r="AD252" s="116" t="s">
        <v>111</v>
      </c>
      <c r="AE252" s="117" t="s">
        <v>112</v>
      </c>
      <c r="AF252" s="114" t="s">
        <v>113</v>
      </c>
      <c r="AG252" s="116" t="n">
        <v>20.0</v>
      </c>
      <c r="AH252" s="116" t="n">
        <v>13.0</v>
      </c>
      <c r="AI252" s="116" t="n">
        <v>5.0</v>
      </c>
      <c r="AJ252" s="116" t="n">
        <v>0.3</v>
      </c>
    </row>
    <row r="253" ht="50.0" customHeight="true">
      <c r="A253" s="114" t="s">
        <v>1539</v>
      </c>
      <c r="B253" s="114" t="s">
        <v>1540</v>
      </c>
      <c r="C253" s="114" t="s">
        <v>1541</v>
      </c>
      <c r="D253" s="114"/>
      <c r="E253" s="115" t="s">
        <v>1542</v>
      </c>
      <c r="F253" s="114" t="s">
        <v>1543</v>
      </c>
      <c r="G253" s="114" t="s">
        <v>1543</v>
      </c>
      <c r="H253" s="116" t="n">
        <v>13.0</v>
      </c>
      <c r="I253" s="116" t="n">
        <v>36.0</v>
      </c>
      <c r="J253" s="116" t="s">
        <v>103</v>
      </c>
      <c r="K253" s="116" t="n">
        <v>32.0</v>
      </c>
      <c r="L253" s="116" t="n">
        <v>2.0</v>
      </c>
      <c r="M253" s="116" t="n">
        <v>29.9</v>
      </c>
      <c r="N253" s="116" t="n">
        <v>4.0</v>
      </c>
      <c r="O253" s="116"/>
      <c r="P253" s="116"/>
      <c r="Q253" s="116"/>
      <c r="R253" s="116"/>
      <c r="S253" s="116"/>
      <c r="T253" s="116"/>
      <c r="U253" s="116" t="s">
        <v>104</v>
      </c>
      <c r="V253" s="118" t="s">
        <v>1544</v>
      </c>
      <c r="W253" s="116" t="s">
        <v>106</v>
      </c>
      <c r="X253" s="116" t="s">
        <v>107</v>
      </c>
      <c r="Y253" s="116" t="s">
        <v>152</v>
      </c>
      <c r="Z253" s="114">
        <f>IF(INDIRECT("Y253")="Clássico","12%",IF(INDIRECT("Y253")="Premium","17%","-"))</f>
      </c>
      <c r="AA253" s="116" t="s">
        <v>1357</v>
      </c>
      <c r="AB253" s="116" t="s">
        <v>110</v>
      </c>
      <c r="AC253" s="116" t="n">
        <v>30.0</v>
      </c>
      <c r="AD253" s="116" t="s">
        <v>111</v>
      </c>
      <c r="AE253" s="117" t="s">
        <v>112</v>
      </c>
      <c r="AF253" s="114" t="s">
        <v>200</v>
      </c>
      <c r="AG253" s="116" t="n">
        <v>18.0</v>
      </c>
      <c r="AH253" s="116" t="n">
        <v>9.0</v>
      </c>
      <c r="AI253" s="116" t="n">
        <v>6.0</v>
      </c>
      <c r="AJ253" s="116" t="n">
        <v>0.08</v>
      </c>
    </row>
    <row r="254" ht="50.0" customHeight="true">
      <c r="A254" s="114" t="s">
        <v>1545</v>
      </c>
      <c r="B254" s="114" t="s">
        <v>1546</v>
      </c>
      <c r="C254" s="114" t="s">
        <v>1547</v>
      </c>
      <c r="D254" s="114"/>
      <c r="E254" s="115" t="s">
        <v>1548</v>
      </c>
      <c r="F254" s="114" t="s">
        <v>1549</v>
      </c>
      <c r="G254" s="114" t="s">
        <v>1549</v>
      </c>
      <c r="H254" s="116" t="n">
        <v>48.0</v>
      </c>
      <c r="I254" s="116" t="n">
        <v>60.0</v>
      </c>
      <c r="J254" s="116" t="s">
        <v>103</v>
      </c>
      <c r="K254" s="116" t="n">
        <v>58.9</v>
      </c>
      <c r="L254" s="116" t="n">
        <v>2.0</v>
      </c>
      <c r="M254" s="116"/>
      <c r="N254" s="116"/>
      <c r="O254" s="116"/>
      <c r="P254" s="116"/>
      <c r="Q254" s="116"/>
      <c r="R254" s="116"/>
      <c r="S254" s="116"/>
      <c r="T254" s="116"/>
      <c r="U254" s="116" t="s">
        <v>104</v>
      </c>
      <c r="V254" s="118" t="s">
        <v>1550</v>
      </c>
      <c r="W254" s="116" t="s">
        <v>106</v>
      </c>
      <c r="X254" s="116" t="s">
        <v>107</v>
      </c>
      <c r="Y254" s="116" t="s">
        <v>108</v>
      </c>
      <c r="Z254" s="114">
        <f>IF(INDIRECT("Y254")="Clássico","12%",IF(INDIRECT("Y254")="Premium","17%","-"))</f>
      </c>
      <c r="AA254" s="116" t="s">
        <v>1357</v>
      </c>
      <c r="AB254" s="116" t="s">
        <v>110</v>
      </c>
      <c r="AC254" s="116" t="n">
        <v>30.0</v>
      </c>
      <c r="AD254" s="116" t="s">
        <v>111</v>
      </c>
      <c r="AE254" s="117" t="s">
        <v>112</v>
      </c>
      <c r="AF254" s="114" t="s">
        <v>200</v>
      </c>
      <c r="AG254" s="116" t="n">
        <v>20.0</v>
      </c>
      <c r="AH254" s="116" t="n">
        <v>10.0</v>
      </c>
      <c r="AI254" s="116" t="n">
        <v>6.0</v>
      </c>
      <c r="AJ254" s="116" t="n">
        <v>0.28</v>
      </c>
    </row>
    <row r="255" ht="50.0" customHeight="true">
      <c r="A255" s="114" t="s">
        <v>1551</v>
      </c>
      <c r="B255" s="114" t="s">
        <v>1552</v>
      </c>
      <c r="C255" s="114" t="s">
        <v>1553</v>
      </c>
      <c r="D255" s="114"/>
      <c r="E255" s="115" t="s">
        <v>1554</v>
      </c>
      <c r="F255" s="114" t="s">
        <v>1489</v>
      </c>
      <c r="G255" s="114" t="s">
        <v>1490</v>
      </c>
      <c r="H255" s="116" t="n">
        <v>2.0</v>
      </c>
      <c r="I255" s="116" t="n">
        <v>189.9</v>
      </c>
      <c r="J255" s="116" t="s">
        <v>103</v>
      </c>
      <c r="K255" s="116" t="n">
        <v>185.0</v>
      </c>
      <c r="L255" s="116" t="n">
        <v>5.0</v>
      </c>
      <c r="M255" s="116" t="n">
        <v>183.0</v>
      </c>
      <c r="N255" s="116" t="n">
        <v>10.0</v>
      </c>
      <c r="O255" s="116"/>
      <c r="P255" s="116"/>
      <c r="Q255" s="116"/>
      <c r="R255" s="116"/>
      <c r="S255" s="116"/>
      <c r="T255" s="116"/>
      <c r="U255" s="116" t="s">
        <v>104</v>
      </c>
      <c r="V255" s="118" t="s">
        <v>1555</v>
      </c>
      <c r="W255" s="116" t="s">
        <v>130</v>
      </c>
      <c r="X255" s="116" t="s">
        <v>143</v>
      </c>
      <c r="Y255" s="116" t="s">
        <v>108</v>
      </c>
      <c r="Z255" s="114">
        <f>IF(INDIRECT("Y255")="Clássico","12%",IF(INDIRECT("Y255")="Premium","17%","-"))</f>
      </c>
      <c r="AA255" s="116" t="s">
        <v>1357</v>
      </c>
      <c r="AB255" s="116" t="s">
        <v>110</v>
      </c>
      <c r="AC255" s="116" t="n">
        <v>30.0</v>
      </c>
      <c r="AD255" s="116" t="s">
        <v>111</v>
      </c>
      <c r="AE255" s="117" t="s">
        <v>112</v>
      </c>
      <c r="AF255" s="114" t="s">
        <v>1492</v>
      </c>
      <c r="AG255" s="116" t="n">
        <v>27.0</v>
      </c>
      <c r="AH255" s="116" t="n">
        <v>25.0</v>
      </c>
      <c r="AI255" s="116" t="n">
        <v>8.0</v>
      </c>
      <c r="AJ255" s="116" t="n">
        <v>1.0</v>
      </c>
    </row>
    <row r="256" ht="50.0" customHeight="true">
      <c r="A256" s="114" t="s">
        <v>1556</v>
      </c>
      <c r="B256" s="114" t="s">
        <v>1557</v>
      </c>
      <c r="C256" s="114" t="s">
        <v>1558</v>
      </c>
      <c r="D256" s="114"/>
      <c r="E256" s="115" t="s">
        <v>1559</v>
      </c>
      <c r="F256" s="114" t="s">
        <v>1560</v>
      </c>
      <c r="G256" s="114" t="s">
        <v>1560</v>
      </c>
      <c r="H256" s="116" t="n">
        <v>0.0</v>
      </c>
      <c r="I256" s="116" t="n">
        <v>19.9</v>
      </c>
      <c r="J256" s="116" t="s">
        <v>103</v>
      </c>
      <c r="K256" s="116"/>
      <c r="L256" s="116"/>
      <c r="M256" s="116"/>
      <c r="N256" s="116"/>
      <c r="O256" s="116"/>
      <c r="P256" s="116"/>
      <c r="Q256" s="116"/>
      <c r="R256" s="116"/>
      <c r="S256" s="116"/>
      <c r="T256" s="116"/>
      <c r="U256" s="116" t="s">
        <v>104</v>
      </c>
      <c r="V256" s="118" t="s">
        <v>433</v>
      </c>
      <c r="W256" s="116" t="s">
        <v>106</v>
      </c>
      <c r="X256" s="116" t="s">
        <v>143</v>
      </c>
      <c r="Y256" s="116" t="s">
        <v>152</v>
      </c>
      <c r="Z256" s="114">
        <f>IF(INDIRECT("Y256")="Clássico","12%",IF(INDIRECT("Y256")="Premium","17%","-"))</f>
      </c>
      <c r="AA256" s="116" t="s">
        <v>1357</v>
      </c>
      <c r="AB256" s="116" t="s">
        <v>110</v>
      </c>
      <c r="AC256" s="116" t="n">
        <v>3.0</v>
      </c>
      <c r="AD256" s="116" t="s">
        <v>121</v>
      </c>
      <c r="AE256" s="117" t="s">
        <v>112</v>
      </c>
      <c r="AF256" s="114" t="s">
        <v>658</v>
      </c>
      <c r="AG256" s="116" t="n">
        <v>21.0</v>
      </c>
      <c r="AH256" s="116" t="n">
        <v>10.0</v>
      </c>
      <c r="AI256" s="116" t="n">
        <v>3.0</v>
      </c>
      <c r="AJ256" s="116" t="n">
        <v>0.1</v>
      </c>
    </row>
    <row r="257" ht="50.0" customHeight="true">
      <c r="A257" s="114" t="s">
        <v>1561</v>
      </c>
      <c r="B257" s="114" t="s">
        <v>1562</v>
      </c>
      <c r="C257" s="114" t="s">
        <v>1563</v>
      </c>
      <c r="D257" s="114"/>
      <c r="E257" s="115" t="s">
        <v>1564</v>
      </c>
      <c r="F257" s="114" t="s">
        <v>1565</v>
      </c>
      <c r="G257" s="114" t="s">
        <v>1565</v>
      </c>
      <c r="H257" s="116" t="n">
        <v>3.0</v>
      </c>
      <c r="I257" s="116" t="n">
        <v>19.9</v>
      </c>
      <c r="J257" s="116" t="s">
        <v>103</v>
      </c>
      <c r="K257" s="116"/>
      <c r="L257" s="116"/>
      <c r="M257" s="116"/>
      <c r="N257" s="116"/>
      <c r="O257" s="116"/>
      <c r="P257" s="116"/>
      <c r="Q257" s="116"/>
      <c r="R257" s="116"/>
      <c r="S257" s="116"/>
      <c r="T257" s="116"/>
      <c r="U257" s="116" t="s">
        <v>104</v>
      </c>
      <c r="V257" s="118" t="s">
        <v>433</v>
      </c>
      <c r="W257" s="116" t="s">
        <v>106</v>
      </c>
      <c r="X257" s="116" t="s">
        <v>143</v>
      </c>
      <c r="Y257" s="116" t="s">
        <v>152</v>
      </c>
      <c r="Z257" s="114">
        <f>IF(INDIRECT("Y257")="Clássico","12%",IF(INDIRECT("Y257")="Premium","17%","-"))</f>
      </c>
      <c r="AA257" s="116" t="s">
        <v>1357</v>
      </c>
      <c r="AB257" s="116" t="s">
        <v>110</v>
      </c>
      <c r="AC257" s="116" t="n">
        <v>30.0</v>
      </c>
      <c r="AD257" s="116" t="s">
        <v>111</v>
      </c>
      <c r="AE257" s="117" t="s">
        <v>112</v>
      </c>
      <c r="AF257" s="114" t="s">
        <v>122</v>
      </c>
      <c r="AG257" s="116" t="n">
        <v>65.0</v>
      </c>
      <c r="AH257" s="116" t="n">
        <v>36.0</v>
      </c>
      <c r="AI257" s="116" t="n">
        <v>11.0</v>
      </c>
      <c r="AJ257" s="116" t="n">
        <v>0.06</v>
      </c>
    </row>
    <row r="258" ht="50.0" customHeight="true">
      <c r="A258" s="114" t="s">
        <v>1566</v>
      </c>
      <c r="B258" s="114" t="s">
        <v>1567</v>
      </c>
      <c r="C258" s="114" t="s">
        <v>1568</v>
      </c>
      <c r="D258" s="114"/>
      <c r="E258" s="115" t="s">
        <v>1569</v>
      </c>
      <c r="F258" s="114" t="s">
        <v>1570</v>
      </c>
      <c r="G258" s="114" t="s">
        <v>1570</v>
      </c>
      <c r="H258" s="116" t="n">
        <v>0.0</v>
      </c>
      <c r="I258" s="116" t="n">
        <v>2600.0</v>
      </c>
      <c r="J258" s="116" t="s">
        <v>103</v>
      </c>
      <c r="K258" s="116" t="n">
        <v>2500.0</v>
      </c>
      <c r="L258" s="116" t="n">
        <v>2.0</v>
      </c>
      <c r="M258" s="116"/>
      <c r="N258" s="116"/>
      <c r="O258" s="116"/>
      <c r="P258" s="116"/>
      <c r="Q258" s="116"/>
      <c r="R258" s="116"/>
      <c r="S258" s="116"/>
      <c r="T258" s="116"/>
      <c r="U258" s="116" t="s">
        <v>104</v>
      </c>
      <c r="V258" s="118" t="s">
        <v>1571</v>
      </c>
      <c r="W258" s="116" t="s">
        <v>130</v>
      </c>
      <c r="X258" s="116" t="s">
        <v>143</v>
      </c>
      <c r="Y258" s="116" t="s">
        <v>152</v>
      </c>
      <c r="Z258" s="114">
        <f>IF(INDIRECT("Y258")="Clássico","12%",IF(INDIRECT("Y258")="Premium","17%","-"))</f>
      </c>
      <c r="AA258" s="116" t="s">
        <v>1357</v>
      </c>
      <c r="AB258" s="116" t="s">
        <v>110</v>
      </c>
      <c r="AC258" s="116" t="n">
        <v>30.0</v>
      </c>
      <c r="AD258" s="116" t="s">
        <v>111</v>
      </c>
      <c r="AE258" s="117" t="s">
        <v>112</v>
      </c>
      <c r="AF258" s="114" t="s">
        <v>1572</v>
      </c>
      <c r="AG258" s="116" t="n">
        <v>39.0</v>
      </c>
      <c r="AH258" s="116" t="n">
        <v>20.0</v>
      </c>
      <c r="AI258" s="116" t="n">
        <v>10.0</v>
      </c>
      <c r="AJ258" s="116" t="n">
        <v>0.54</v>
      </c>
    </row>
    <row r="259" ht="50.0" customHeight="true">
      <c r="A259" s="114" t="s">
        <v>1573</v>
      </c>
      <c r="B259" s="114" t="s">
        <v>1574</v>
      </c>
      <c r="C259" s="114" t="s">
        <v>1575</v>
      </c>
      <c r="D259" s="114"/>
      <c r="E259" s="115" t="s">
        <v>1576</v>
      </c>
      <c r="F259" s="114" t="s">
        <v>1577</v>
      </c>
      <c r="G259" s="114" t="s">
        <v>192</v>
      </c>
      <c r="H259" s="116" t="n">
        <v>43.0</v>
      </c>
      <c r="I259" s="116" t="n">
        <v>59.0</v>
      </c>
      <c r="J259" s="116" t="s">
        <v>103</v>
      </c>
      <c r="K259" s="116" t="n">
        <v>38.0</v>
      </c>
      <c r="L259" s="116" t="n">
        <v>2.0</v>
      </c>
      <c r="M259" s="116"/>
      <c r="N259" s="116"/>
      <c r="O259" s="116"/>
      <c r="P259" s="116"/>
      <c r="Q259" s="116"/>
      <c r="R259" s="116"/>
      <c r="S259" s="116"/>
      <c r="T259" s="116"/>
      <c r="U259" s="116" t="s">
        <v>104</v>
      </c>
      <c r="V259" s="118" t="s">
        <v>1578</v>
      </c>
      <c r="W259" s="116" t="s">
        <v>106</v>
      </c>
      <c r="X259" s="116" t="s">
        <v>143</v>
      </c>
      <c r="Y259" s="116" t="s">
        <v>152</v>
      </c>
      <c r="Z259" s="114">
        <f>IF(INDIRECT("Y259")="Clássico","11.5%",IF(INDIRECT("Y259")="Premium","16.5%","-"))</f>
      </c>
      <c r="AA259" s="116" t="s">
        <v>1357</v>
      </c>
      <c r="AB259" s="116" t="s">
        <v>110</v>
      </c>
      <c r="AC259" s="116" t="n">
        <v>30.0</v>
      </c>
      <c r="AD259" s="116" t="s">
        <v>111</v>
      </c>
      <c r="AE259" s="117" t="s">
        <v>112</v>
      </c>
      <c r="AF259" s="114" t="s">
        <v>1579</v>
      </c>
      <c r="AG259" s="116" t="n">
        <v>36.0</v>
      </c>
      <c r="AH259" s="116" t="n">
        <v>23.0</v>
      </c>
      <c r="AI259" s="116" t="n">
        <v>8.0</v>
      </c>
      <c r="AJ259" s="116" t="n">
        <v>0.7</v>
      </c>
    </row>
    <row r="260" ht="50.0" customHeight="true">
      <c r="A260" s="114" t="s">
        <v>1580</v>
      </c>
      <c r="B260" s="114" t="s">
        <v>1581</v>
      </c>
      <c r="C260" s="114" t="s">
        <v>1582</v>
      </c>
      <c r="D260" s="114"/>
      <c r="E260" s="115" t="s">
        <v>1583</v>
      </c>
      <c r="F260" s="114" t="s">
        <v>1584</v>
      </c>
      <c r="G260" s="114" t="s">
        <v>1585</v>
      </c>
      <c r="H260" s="116" t="n">
        <v>0.0</v>
      </c>
      <c r="I260" s="116" t="n">
        <v>149.9</v>
      </c>
      <c r="J260" s="116" t="s">
        <v>103</v>
      </c>
      <c r="K260" s="116"/>
      <c r="L260" s="116"/>
      <c r="M260" s="116"/>
      <c r="N260" s="116"/>
      <c r="O260" s="116"/>
      <c r="P260" s="116"/>
      <c r="Q260" s="116"/>
      <c r="R260" s="116"/>
      <c r="S260" s="116"/>
      <c r="T260" s="116"/>
      <c r="U260" s="116" t="s">
        <v>104</v>
      </c>
      <c r="V260" s="118" t="s">
        <v>1586</v>
      </c>
      <c r="W260" s="116" t="s">
        <v>130</v>
      </c>
      <c r="X260" s="116" t="s">
        <v>143</v>
      </c>
      <c r="Y260" s="116" t="s">
        <v>152</v>
      </c>
      <c r="Z260" s="114">
        <f>IF(INDIRECT("Y260")="Clássico","12%",IF(INDIRECT("Y260")="Premium","17%","-"))</f>
      </c>
      <c r="AA260" s="116" t="s">
        <v>1357</v>
      </c>
      <c r="AB260" s="116" t="s">
        <v>110</v>
      </c>
      <c r="AC260" s="116" t="n">
        <v>3.0</v>
      </c>
      <c r="AD260" s="116" t="s">
        <v>121</v>
      </c>
      <c r="AE260" s="117" t="s">
        <v>112</v>
      </c>
      <c r="AF260" s="114" t="s">
        <v>1587</v>
      </c>
      <c r="AG260" s="116" t="n">
        <v>17.0</v>
      </c>
      <c r="AH260" s="116" t="n">
        <v>12.0</v>
      </c>
      <c r="AI260" s="116" t="n">
        <v>7.0</v>
      </c>
      <c r="AJ260" s="116" t="n">
        <v>0.24</v>
      </c>
    </row>
    <row r="261" ht="50.0" customHeight="true">
      <c r="A261" s="114" t="s">
        <v>1588</v>
      </c>
      <c r="B261" s="114" t="s">
        <v>1589</v>
      </c>
      <c r="C261" s="114" t="s">
        <v>1590</v>
      </c>
      <c r="D261" s="114"/>
      <c r="E261" s="115" t="s">
        <v>1591</v>
      </c>
      <c r="F261" s="114" t="s">
        <v>1592</v>
      </c>
      <c r="G261" s="114" t="s">
        <v>574</v>
      </c>
      <c r="H261" s="116" t="n">
        <v>0.0</v>
      </c>
      <c r="I261" s="116" t="n">
        <v>42.9</v>
      </c>
      <c r="J261" s="116" t="s">
        <v>103</v>
      </c>
      <c r="K261" s="116"/>
      <c r="L261" s="116"/>
      <c r="M261" s="116"/>
      <c r="N261" s="116"/>
      <c r="O261" s="116"/>
      <c r="P261" s="116"/>
      <c r="Q261" s="116"/>
      <c r="R261" s="116"/>
      <c r="S261" s="116"/>
      <c r="T261" s="116"/>
      <c r="U261" s="116" t="s">
        <v>104</v>
      </c>
      <c r="V261" s="118" t="s">
        <v>1593</v>
      </c>
      <c r="W261" s="116" t="s">
        <v>106</v>
      </c>
      <c r="X261" s="116" t="s">
        <v>143</v>
      </c>
      <c r="Y261" s="116" t="s">
        <v>108</v>
      </c>
      <c r="Z261" s="114">
        <f>IF(INDIRECT("Y261")="Clássico","12.5%",IF(INDIRECT("Y261")="Premium","17.5%","-"))</f>
      </c>
      <c r="AA261" s="116" t="s">
        <v>1357</v>
      </c>
      <c r="AB261" s="116" t="s">
        <v>110</v>
      </c>
      <c r="AC261" s="116" t="n">
        <v>30.0</v>
      </c>
      <c r="AD261" s="116" t="s">
        <v>111</v>
      </c>
      <c r="AE261" s="117" t="s">
        <v>112</v>
      </c>
      <c r="AF261" s="114" t="s">
        <v>280</v>
      </c>
      <c r="AG261" s="116" t="n">
        <v>27.0</v>
      </c>
      <c r="AH261" s="116" t="n">
        <v>24.0</v>
      </c>
      <c r="AI261" s="116" t="n">
        <v>3.0</v>
      </c>
      <c r="AJ261" s="116" t="n">
        <v>0.83</v>
      </c>
    </row>
    <row r="262" ht="50.0" customHeight="true">
      <c r="A262" s="114" t="s">
        <v>1594</v>
      </c>
      <c r="B262" s="114" t="s">
        <v>1595</v>
      </c>
      <c r="C262" s="114" t="s">
        <v>1596</v>
      </c>
      <c r="D262" s="114"/>
      <c r="E262" s="115" t="s">
        <v>1597</v>
      </c>
      <c r="F262" s="114" t="s">
        <v>1598</v>
      </c>
      <c r="G262" s="114" t="s">
        <v>1599</v>
      </c>
      <c r="H262" s="116" t="n">
        <v>0.0</v>
      </c>
      <c r="I262" s="116" t="n">
        <v>50.0</v>
      </c>
      <c r="J262" s="116" t="s">
        <v>103</v>
      </c>
      <c r="K262" s="116"/>
      <c r="L262" s="116"/>
      <c r="M262" s="116"/>
      <c r="N262" s="116"/>
      <c r="O262" s="116"/>
      <c r="P262" s="116"/>
      <c r="Q262" s="116"/>
      <c r="R262" s="116"/>
      <c r="S262" s="116"/>
      <c r="T262" s="116"/>
      <c r="U262" s="116" t="s">
        <v>104</v>
      </c>
      <c r="V262" s="118" t="s">
        <v>1600</v>
      </c>
      <c r="W262" s="116" t="s">
        <v>106</v>
      </c>
      <c r="X262" s="116" t="s">
        <v>143</v>
      </c>
      <c r="Y262" s="116" t="s">
        <v>108</v>
      </c>
      <c r="Z262" s="114">
        <f>IF(INDIRECT("Y262")="Clássico","11.5%",IF(INDIRECT("Y262")="Premium","16.5%","-"))</f>
      </c>
      <c r="AA262" s="116" t="s">
        <v>1357</v>
      </c>
      <c r="AB262" s="116" t="s">
        <v>110</v>
      </c>
      <c r="AC262" s="116" t="n">
        <v>30.0</v>
      </c>
      <c r="AD262" s="116" t="s">
        <v>111</v>
      </c>
      <c r="AE262" s="117" t="s">
        <v>112</v>
      </c>
      <c r="AF262" s="114" t="s">
        <v>1601</v>
      </c>
      <c r="AG262" s="116" t="n">
        <v>31.0</v>
      </c>
      <c r="AH262" s="116" t="n">
        <v>18.0</v>
      </c>
      <c r="AI262" s="116" t="n">
        <v>12.0</v>
      </c>
      <c r="AJ262" s="116" t="n">
        <v>1.35</v>
      </c>
    </row>
    <row r="263" ht="50.0" customHeight="true">
      <c r="A263" s="114" t="s">
        <v>1602</v>
      </c>
      <c r="B263" s="114" t="s">
        <v>1603</v>
      </c>
      <c r="C263" s="114" t="s">
        <v>1604</v>
      </c>
      <c r="D263" s="114"/>
      <c r="E263" s="115" t="s">
        <v>1605</v>
      </c>
      <c r="F263" s="114" t="s">
        <v>1606</v>
      </c>
      <c r="G263" s="114" t="s">
        <v>1606</v>
      </c>
      <c r="H263" s="116" t="n">
        <v>190.0</v>
      </c>
      <c r="I263" s="116" t="n">
        <v>120.0</v>
      </c>
      <c r="J263" s="116" t="s">
        <v>103</v>
      </c>
      <c r="K263" s="116"/>
      <c r="L263" s="116"/>
      <c r="M263" s="116"/>
      <c r="N263" s="116"/>
      <c r="O263" s="116"/>
      <c r="P263" s="116"/>
      <c r="Q263" s="116"/>
      <c r="R263" s="116"/>
      <c r="S263" s="116"/>
      <c r="T263" s="116"/>
      <c r="U263" s="116" t="s">
        <v>104</v>
      </c>
      <c r="V263" s="118" t="s">
        <v>1607</v>
      </c>
      <c r="W263" s="116" t="s">
        <v>130</v>
      </c>
      <c r="X263" s="116" t="s">
        <v>143</v>
      </c>
      <c r="Y263" s="116" t="s">
        <v>108</v>
      </c>
      <c r="Z263" s="114">
        <f>IF(INDIRECT("Y263")="Clássico","12%",IF(INDIRECT("Y263")="Premium","17%","-"))</f>
      </c>
      <c r="AA263" s="116" t="s">
        <v>1357</v>
      </c>
      <c r="AB263" s="116" t="s">
        <v>110</v>
      </c>
      <c r="AC263" s="116" t="n">
        <v>30.0</v>
      </c>
      <c r="AD263" s="116" t="s">
        <v>111</v>
      </c>
      <c r="AE263" s="117" t="s">
        <v>112</v>
      </c>
      <c r="AF263" s="114" t="s">
        <v>200</v>
      </c>
      <c r="AG263" s="116" t="n">
        <v>18.0</v>
      </c>
      <c r="AH263" s="116" t="n">
        <v>12.0</v>
      </c>
      <c r="AI263" s="116" t="n">
        <v>9.0</v>
      </c>
      <c r="AJ263" s="116" t="n">
        <v>0.31</v>
      </c>
    </row>
    <row r="264" ht="50.0" customHeight="true">
      <c r="A264" s="114" t="s">
        <v>1608</v>
      </c>
      <c r="B264" s="114" t="s">
        <v>1609</v>
      </c>
      <c r="C264" s="114" t="s">
        <v>1610</v>
      </c>
      <c r="D264" s="114"/>
      <c r="E264" s="115" t="s">
        <v>1611</v>
      </c>
      <c r="F264" s="114" t="s">
        <v>1612</v>
      </c>
      <c r="G264" s="114" t="s">
        <v>1612</v>
      </c>
      <c r="H264" s="116" t="n">
        <v>0.0</v>
      </c>
      <c r="I264" s="116" t="n">
        <v>300.0</v>
      </c>
      <c r="J264" s="116" t="s">
        <v>103</v>
      </c>
      <c r="K264" s="116" t="n">
        <v>289.9</v>
      </c>
      <c r="L264" s="116" t="n">
        <v>2.0</v>
      </c>
      <c r="M264" s="116"/>
      <c r="N264" s="116"/>
      <c r="O264" s="116"/>
      <c r="P264" s="116"/>
      <c r="Q264" s="116"/>
      <c r="R264" s="116"/>
      <c r="S264" s="116"/>
      <c r="T264" s="116"/>
      <c r="U264" s="116" t="s">
        <v>104</v>
      </c>
      <c r="V264" s="118" t="s">
        <v>1613</v>
      </c>
      <c r="W264" s="116" t="s">
        <v>130</v>
      </c>
      <c r="X264" s="116" t="s">
        <v>107</v>
      </c>
      <c r="Y264" s="116" t="s">
        <v>152</v>
      </c>
      <c r="Z264" s="114">
        <f>IF(INDIRECT("Y264")="Clássico","13%",IF(INDIRECT("Y264")="Premium","18%","-"))</f>
      </c>
      <c r="AA264" s="116" t="s">
        <v>1357</v>
      </c>
      <c r="AB264" s="116" t="s">
        <v>110</v>
      </c>
      <c r="AC264" s="116" t="n">
        <v>30.0</v>
      </c>
      <c r="AD264" s="116" t="s">
        <v>111</v>
      </c>
      <c r="AE264" s="117" t="s">
        <v>112</v>
      </c>
      <c r="AF264" s="114" t="s">
        <v>624</v>
      </c>
      <c r="AG264" s="116" t="n">
        <v>18.0</v>
      </c>
      <c r="AH264" s="116" t="n">
        <v>11.0</v>
      </c>
      <c r="AI264" s="116" t="n">
        <v>5.0</v>
      </c>
      <c r="AJ264" s="116" t="n">
        <v>0.09</v>
      </c>
    </row>
    <row r="265" ht="50.0" customHeight="true">
      <c r="A265" s="114" t="s">
        <v>1614</v>
      </c>
      <c r="B265" s="114" t="s">
        <v>1615</v>
      </c>
      <c r="C265" s="114" t="s">
        <v>1616</v>
      </c>
      <c r="D265" s="114"/>
      <c r="E265" s="115" t="s">
        <v>1617</v>
      </c>
      <c r="F265" s="114" t="s">
        <v>1618</v>
      </c>
      <c r="G265" s="114" t="s">
        <v>1618</v>
      </c>
      <c r="H265" s="116" t="n">
        <v>1.0</v>
      </c>
      <c r="I265" s="116" t="n">
        <v>19.9</v>
      </c>
      <c r="J265" s="116" t="s">
        <v>103</v>
      </c>
      <c r="K265" s="116"/>
      <c r="L265" s="116"/>
      <c r="M265" s="116"/>
      <c r="N265" s="116"/>
      <c r="O265" s="116"/>
      <c r="P265" s="116"/>
      <c r="Q265" s="116"/>
      <c r="R265" s="116"/>
      <c r="S265" s="116"/>
      <c r="T265" s="116"/>
      <c r="U265" s="116" t="s">
        <v>104</v>
      </c>
      <c r="V265" s="118" t="s">
        <v>433</v>
      </c>
      <c r="W265" s="116" t="s">
        <v>106</v>
      </c>
      <c r="X265" s="116" t="s">
        <v>143</v>
      </c>
      <c r="Y265" s="116" t="s">
        <v>152</v>
      </c>
      <c r="Z265" s="114">
        <f>IF(INDIRECT("Y265")="Clássico","12%",IF(INDIRECT("Y265")="Premium","17%","-"))</f>
      </c>
      <c r="AA265" s="116" t="s">
        <v>1357</v>
      </c>
      <c r="AB265" s="116" t="s">
        <v>110</v>
      </c>
      <c r="AC265" s="116" t="n">
        <v>3.0</v>
      </c>
      <c r="AD265" s="116" t="s">
        <v>121</v>
      </c>
      <c r="AE265" s="117" t="s">
        <v>112</v>
      </c>
      <c r="AF265" s="114" t="s">
        <v>122</v>
      </c>
      <c r="AG265" s="116" t="n">
        <v>30.0</v>
      </c>
      <c r="AH265" s="116" t="n">
        <v>10.0</v>
      </c>
      <c r="AI265" s="116" t="n">
        <v>4.0</v>
      </c>
      <c r="AJ265" s="116" t="n">
        <v>0.15</v>
      </c>
    </row>
    <row r="266" ht="50.0" customHeight="true">
      <c r="A266" s="114" t="s">
        <v>1619</v>
      </c>
      <c r="B266" s="114" t="s">
        <v>1620</v>
      </c>
      <c r="C266" s="114" t="s">
        <v>1621</v>
      </c>
      <c r="D266" s="114"/>
      <c r="E266" s="115" t="s">
        <v>699</v>
      </c>
      <c r="F266" s="114" t="s">
        <v>1622</v>
      </c>
      <c r="G266" s="114" t="s">
        <v>1623</v>
      </c>
      <c r="H266" s="116" t="n">
        <v>479.0</v>
      </c>
      <c r="I266" s="116" t="n">
        <v>60.0</v>
      </c>
      <c r="J266" s="116" t="s">
        <v>103</v>
      </c>
      <c r="K266" s="116" t="n">
        <v>48.0</v>
      </c>
      <c r="L266" s="116" t="n">
        <v>2.0</v>
      </c>
      <c r="M266" s="116"/>
      <c r="N266" s="116"/>
      <c r="O266" s="116"/>
      <c r="P266" s="116"/>
      <c r="Q266" s="116"/>
      <c r="R266" s="116"/>
      <c r="S266" s="116"/>
      <c r="T266" s="116"/>
      <c r="U266" s="116" t="s">
        <v>104</v>
      </c>
      <c r="V266" s="118" t="s">
        <v>1624</v>
      </c>
      <c r="W266" s="116" t="s">
        <v>106</v>
      </c>
      <c r="X266" s="116" t="s">
        <v>107</v>
      </c>
      <c r="Y266" s="116" t="s">
        <v>108</v>
      </c>
      <c r="Z266" s="114">
        <f>IF(INDIRECT("Y266")="Clássico","14%",IF(INDIRECT("Y266")="Premium","19%","-"))</f>
      </c>
      <c r="AA266" s="116" t="s">
        <v>1357</v>
      </c>
      <c r="AB266" s="116" t="s">
        <v>110</v>
      </c>
      <c r="AC266" s="116" t="n">
        <v>30.0</v>
      </c>
      <c r="AD266" s="116" t="s">
        <v>111</v>
      </c>
      <c r="AE266" s="117" t="s">
        <v>112</v>
      </c>
      <c r="AF266" s="114" t="s">
        <v>113</v>
      </c>
      <c r="AG266" s="116" t="n">
        <v>25.0</v>
      </c>
      <c r="AH266" s="116" t="n">
        <v>21.0</v>
      </c>
      <c r="AI266" s="116" t="n">
        <v>6.0</v>
      </c>
      <c r="AJ266" s="116" t="n">
        <v>0.2</v>
      </c>
    </row>
    <row r="267" ht="50.0" customHeight="true">
      <c r="A267" s="114" t="s">
        <v>1625</v>
      </c>
      <c r="B267" s="114" t="s">
        <v>1626</v>
      </c>
      <c r="C267" s="114" t="s">
        <v>1627</v>
      </c>
      <c r="D267" s="114"/>
      <c r="E267" s="115" t="s">
        <v>1628</v>
      </c>
      <c r="F267" s="114" t="s">
        <v>1629</v>
      </c>
      <c r="G267" s="114" t="s">
        <v>315</v>
      </c>
      <c r="H267" s="116" t="n">
        <v>0.0</v>
      </c>
      <c r="I267" s="116" t="n">
        <v>200.0</v>
      </c>
      <c r="J267" s="116" t="s">
        <v>103</v>
      </c>
      <c r="K267" s="116" t="n">
        <v>130.0</v>
      </c>
      <c r="L267" s="116" t="n">
        <v>2.0</v>
      </c>
      <c r="M267" s="116"/>
      <c r="N267" s="116"/>
      <c r="O267" s="116"/>
      <c r="P267" s="116"/>
      <c r="Q267" s="116"/>
      <c r="R267" s="116"/>
      <c r="S267" s="116"/>
      <c r="T267" s="116"/>
      <c r="U267" s="116" t="s">
        <v>104</v>
      </c>
      <c r="V267" s="118" t="s">
        <v>1630</v>
      </c>
      <c r="W267" s="116" t="s">
        <v>130</v>
      </c>
      <c r="X267" s="116" t="s">
        <v>143</v>
      </c>
      <c r="Y267" s="116" t="s">
        <v>152</v>
      </c>
      <c r="Z267" s="114">
        <f>IF(INDIRECT("Y267")="Clássico","11.5%",IF(INDIRECT("Y267")="Premium","16.5%","-"))</f>
      </c>
      <c r="AA267" s="116" t="s">
        <v>1357</v>
      </c>
      <c r="AB267" s="116" t="s">
        <v>110</v>
      </c>
      <c r="AC267" s="116" t="n">
        <v>30.0</v>
      </c>
      <c r="AD267" s="116" t="s">
        <v>111</v>
      </c>
      <c r="AE267" s="117" t="s">
        <v>112</v>
      </c>
      <c r="AF267" s="114" t="s">
        <v>1631</v>
      </c>
      <c r="AG267" s="116" t="n">
        <v>23.0</v>
      </c>
      <c r="AH267" s="116" t="n">
        <v>17.0</v>
      </c>
      <c r="AI267" s="116" t="n">
        <v>3.0</v>
      </c>
      <c r="AJ267" s="116" t="n">
        <v>0.08</v>
      </c>
    </row>
    <row r="268" ht="50.0" customHeight="true">
      <c r="A268" s="114" t="s">
        <v>1632</v>
      </c>
      <c r="B268" s="114" t="s">
        <v>1633</v>
      </c>
      <c r="C268" s="114" t="s">
        <v>1634</v>
      </c>
      <c r="D268" s="114"/>
      <c r="E268" s="115" t="s">
        <v>1635</v>
      </c>
      <c r="F268" s="114" t="s">
        <v>1636</v>
      </c>
      <c r="G268" s="114" t="s">
        <v>1636</v>
      </c>
      <c r="H268" s="116" t="n">
        <v>0.0</v>
      </c>
      <c r="I268" s="116" t="n">
        <v>69.9</v>
      </c>
      <c r="J268" s="116" t="s">
        <v>103</v>
      </c>
      <c r="K268" s="116" t="n">
        <v>48.0</v>
      </c>
      <c r="L268" s="116" t="n">
        <v>2.0</v>
      </c>
      <c r="M268" s="116"/>
      <c r="N268" s="116"/>
      <c r="O268" s="116"/>
      <c r="P268" s="116"/>
      <c r="Q268" s="116"/>
      <c r="R268" s="116"/>
      <c r="S268" s="116"/>
      <c r="T268" s="116"/>
      <c r="U268" s="116" t="s">
        <v>104</v>
      </c>
      <c r="V268" s="118" t="s">
        <v>1637</v>
      </c>
      <c r="W268" s="116" t="s">
        <v>106</v>
      </c>
      <c r="X268" s="116" t="s">
        <v>107</v>
      </c>
      <c r="Y268" s="116" t="s">
        <v>152</v>
      </c>
      <c r="Z268" s="114">
        <f>IF(INDIRECT("Y268")="Clássico","11%",IF(INDIRECT("Y268")="Premium","16%","-"))</f>
      </c>
      <c r="AA268" s="116" t="s">
        <v>1357</v>
      </c>
      <c r="AB268" s="116" t="s">
        <v>110</v>
      </c>
      <c r="AC268" s="116" t="n">
        <v>30.0</v>
      </c>
      <c r="AD268" s="116" t="s">
        <v>111</v>
      </c>
      <c r="AE268" s="117" t="s">
        <v>112</v>
      </c>
      <c r="AF268" s="114" t="s">
        <v>1638</v>
      </c>
      <c r="AG268" s="116" t="n">
        <v>19.0</v>
      </c>
      <c r="AH268" s="116" t="n">
        <v>12.0</v>
      </c>
      <c r="AI268" s="116" t="n">
        <v>4.0</v>
      </c>
      <c r="AJ268" s="116" t="n">
        <v>0.1</v>
      </c>
    </row>
    <row r="269" ht="50.0" customHeight="true">
      <c r="A269" s="114" t="s">
        <v>1639</v>
      </c>
      <c r="B269" s="114" t="s">
        <v>1640</v>
      </c>
      <c r="C269" s="114" t="s">
        <v>1641</v>
      </c>
      <c r="D269" s="114"/>
      <c r="E269" s="115"/>
      <c r="F269" s="114" t="s">
        <v>1642</v>
      </c>
      <c r="G269" s="114" t="s">
        <v>102</v>
      </c>
      <c r="H269" s="116" t="n">
        <v>0.0</v>
      </c>
      <c r="I269" s="114" t="s">
        <v>22</v>
      </c>
      <c r="J269" s="116" t="s">
        <v>103</v>
      </c>
      <c r="K269" s="116"/>
      <c r="L269" s="116"/>
      <c r="M269" s="116"/>
      <c r="N269" s="116"/>
      <c r="O269" s="116"/>
      <c r="P269" s="116"/>
      <c r="Q269" s="116"/>
      <c r="R269" s="116"/>
      <c r="S269" s="116"/>
      <c r="T269" s="116"/>
      <c r="U269" s="114" t="s">
        <v>104</v>
      </c>
      <c r="V269" s="114" t="s">
        <v>1643</v>
      </c>
      <c r="W269" s="116" t="s">
        <v>130</v>
      </c>
      <c r="X269" s="116" t="s">
        <v>107</v>
      </c>
      <c r="Y269" s="116" t="s">
        <v>152</v>
      </c>
      <c r="Z269" s="114">
        <f>IF(INDIRECT("Y269")="Clássico","12.5%",IF(INDIRECT("Y269")="Premium","17.5%","-"))</f>
      </c>
      <c r="AA269" s="116" t="s">
        <v>1357</v>
      </c>
      <c r="AB269" s="116" t="s">
        <v>110</v>
      </c>
      <c r="AC269" s="116" t="n">
        <v>3.0</v>
      </c>
      <c r="AD269" s="116" t="s">
        <v>121</v>
      </c>
      <c r="AE269" s="117" t="s">
        <v>112</v>
      </c>
      <c r="AF269" s="114" t="s">
        <v>1644</v>
      </c>
      <c r="AG269" s="116" t="n">
        <v>13.0</v>
      </c>
      <c r="AH269" s="116" t="n">
        <v>13.0</v>
      </c>
      <c r="AI269" s="116" t="n">
        <v>8.0</v>
      </c>
      <c r="AJ269" s="116" t="n">
        <v>0.21</v>
      </c>
    </row>
    <row r="270" ht="50.0" customHeight="true">
      <c r="A270" s="114" t="s">
        <v>1645</v>
      </c>
      <c r="B270" s="114" t="s">
        <v>1646</v>
      </c>
      <c r="C270" s="114" t="s">
        <v>1647</v>
      </c>
      <c r="D270" s="114"/>
      <c r="E270" s="115" t="s">
        <v>1648</v>
      </c>
      <c r="F270" s="114" t="s">
        <v>1649</v>
      </c>
      <c r="G270" s="114" t="s">
        <v>419</v>
      </c>
      <c r="H270" s="116" t="n">
        <v>0.0</v>
      </c>
      <c r="I270" s="116" t="n">
        <v>34.99</v>
      </c>
      <c r="J270" s="116" t="s">
        <v>103</v>
      </c>
      <c r="K270" s="116"/>
      <c r="L270" s="116"/>
      <c r="M270" s="116"/>
      <c r="N270" s="116"/>
      <c r="O270" s="116"/>
      <c r="P270" s="116"/>
      <c r="Q270" s="116"/>
      <c r="R270" s="116"/>
      <c r="S270" s="116"/>
      <c r="T270" s="116"/>
      <c r="U270" s="116" t="s">
        <v>104</v>
      </c>
      <c r="V270" s="118" t="s">
        <v>1650</v>
      </c>
      <c r="W270" s="116" t="s">
        <v>106</v>
      </c>
      <c r="X270" s="116" t="s">
        <v>107</v>
      </c>
      <c r="Y270" s="116" t="s">
        <v>152</v>
      </c>
      <c r="Z270" s="114">
        <f>IF(INDIRECT("Y270")="Clássico","12%",IF(INDIRECT("Y270")="Premium","17%","-"))</f>
      </c>
      <c r="AA270" s="116" t="s">
        <v>1357</v>
      </c>
      <c r="AB270" s="116" t="s">
        <v>110</v>
      </c>
      <c r="AC270" s="116" t="n">
        <v>3.0</v>
      </c>
      <c r="AD270" s="116" t="s">
        <v>121</v>
      </c>
      <c r="AE270" s="117" t="s">
        <v>112</v>
      </c>
      <c r="AF270" s="114" t="s">
        <v>1651</v>
      </c>
      <c r="AG270" s="116" t="n">
        <v>33.0</v>
      </c>
      <c r="AH270" s="116" t="n">
        <v>24.0</v>
      </c>
      <c r="AI270" s="116" t="n">
        <v>10.0</v>
      </c>
      <c r="AJ270" s="116" t="n">
        <v>0.34</v>
      </c>
    </row>
    <row r="271" ht="50.0" customHeight="true">
      <c r="A271" s="114" t="s">
        <v>1652</v>
      </c>
      <c r="B271" s="114" t="s">
        <v>1653</v>
      </c>
      <c r="C271" s="114" t="s">
        <v>1654</v>
      </c>
      <c r="D271" s="114"/>
      <c r="E271" s="115" t="s">
        <v>1655</v>
      </c>
      <c r="F271" s="114" t="s">
        <v>1656</v>
      </c>
      <c r="G271" s="114" t="s">
        <v>1656</v>
      </c>
      <c r="H271" s="116" t="n">
        <v>0.0</v>
      </c>
      <c r="I271" s="116" t="n">
        <v>44.9</v>
      </c>
      <c r="J271" s="116" t="s">
        <v>103</v>
      </c>
      <c r="K271" s="116" t="n">
        <v>43.9</v>
      </c>
      <c r="L271" s="116" t="n">
        <v>2.0</v>
      </c>
      <c r="M271" s="116"/>
      <c r="N271" s="116"/>
      <c r="O271" s="116"/>
      <c r="P271" s="116"/>
      <c r="Q271" s="116"/>
      <c r="R271" s="116"/>
      <c r="S271" s="116"/>
      <c r="T271" s="116"/>
      <c r="U271" s="116" t="s">
        <v>104</v>
      </c>
      <c r="V271" s="118" t="s">
        <v>1657</v>
      </c>
      <c r="W271" s="116" t="s">
        <v>106</v>
      </c>
      <c r="X271" s="116" t="s">
        <v>143</v>
      </c>
      <c r="Y271" s="116" t="s">
        <v>108</v>
      </c>
      <c r="Z271" s="114">
        <f>IF(INDIRECT("Y271")="Clássico","12%",IF(INDIRECT("Y271")="Premium","17%","-"))</f>
      </c>
      <c r="AA271" s="116" t="s">
        <v>1357</v>
      </c>
      <c r="AB271" s="116" t="s">
        <v>110</v>
      </c>
      <c r="AC271" s="116" t="n">
        <v>30.0</v>
      </c>
      <c r="AD271" s="116" t="s">
        <v>111</v>
      </c>
      <c r="AE271" s="117" t="s">
        <v>112</v>
      </c>
      <c r="AF271" s="114" t="s">
        <v>144</v>
      </c>
      <c r="AG271" s="116" t="n">
        <v>21.0</v>
      </c>
      <c r="AH271" s="116" t="n">
        <v>14.0</v>
      </c>
      <c r="AI271" s="116" t="n">
        <v>8.0</v>
      </c>
      <c r="AJ271" s="116" t="n">
        <v>0.54</v>
      </c>
    </row>
    <row r="272" ht="50.0" customHeight="true">
      <c r="A272" s="114" t="s">
        <v>1658</v>
      </c>
      <c r="B272" s="114" t="s">
        <v>1659</v>
      </c>
      <c r="C272" s="114" t="s">
        <v>1660</v>
      </c>
      <c r="D272" s="114"/>
      <c r="E272" s="115"/>
      <c r="F272" s="114" t="s">
        <v>1661</v>
      </c>
      <c r="G272" s="114" t="s">
        <v>1661</v>
      </c>
      <c r="H272" s="116" t="n">
        <v>18.0</v>
      </c>
      <c r="I272" s="116" t="n">
        <v>1450.0</v>
      </c>
      <c r="J272" s="116" t="s">
        <v>103</v>
      </c>
      <c r="K272" s="116"/>
      <c r="L272" s="116"/>
      <c r="M272" s="116"/>
      <c r="N272" s="116"/>
      <c r="O272" s="116"/>
      <c r="P272" s="116"/>
      <c r="Q272" s="116"/>
      <c r="R272" s="116"/>
      <c r="S272" s="116"/>
      <c r="T272" s="116"/>
      <c r="U272" s="116" t="s">
        <v>104</v>
      </c>
      <c r="V272" s="118" t="s">
        <v>1662</v>
      </c>
      <c r="W272" s="116" t="s">
        <v>130</v>
      </c>
      <c r="X272" s="116" t="s">
        <v>143</v>
      </c>
      <c r="Y272" s="116" t="s">
        <v>108</v>
      </c>
      <c r="Z272" s="114">
        <f>IF(INDIRECT("Y272")="Clássico","12%",IF(INDIRECT("Y272")="Premium","17%","-"))</f>
      </c>
      <c r="AA272" s="116" t="s">
        <v>1357</v>
      </c>
      <c r="AB272" s="116" t="s">
        <v>120</v>
      </c>
      <c r="AC272" s="116" t="n">
        <v>3.0</v>
      </c>
      <c r="AD272" s="116" t="s">
        <v>121</v>
      </c>
      <c r="AE272" s="117" t="s">
        <v>112</v>
      </c>
      <c r="AF272" s="114" t="s">
        <v>1663</v>
      </c>
      <c r="AG272" s="116" t="n">
        <v>56.0</v>
      </c>
      <c r="AH272" s="116" t="n">
        <v>38.0</v>
      </c>
      <c r="AI272" s="116" t="n">
        <v>21.0</v>
      </c>
      <c r="AJ272" s="116" t="n">
        <v>10.02</v>
      </c>
    </row>
    <row r="273" ht="50.0" customHeight="true">
      <c r="A273" s="114" t="s">
        <v>1664</v>
      </c>
      <c r="B273" s="114" t="s">
        <v>1665</v>
      </c>
      <c r="C273" s="114" t="s">
        <v>1666</v>
      </c>
      <c r="D273" s="114"/>
      <c r="E273" s="115" t="s">
        <v>1667</v>
      </c>
      <c r="F273" s="114" t="s">
        <v>1668</v>
      </c>
      <c r="G273" s="114" t="s">
        <v>419</v>
      </c>
      <c r="H273" s="116" t="n">
        <v>0.0</v>
      </c>
      <c r="I273" s="116" t="n">
        <v>45.0</v>
      </c>
      <c r="J273" s="116" t="s">
        <v>103</v>
      </c>
      <c r="K273" s="116" t="n">
        <v>43.0</v>
      </c>
      <c r="L273" s="116" t="n">
        <v>2.0</v>
      </c>
      <c r="M273" s="116"/>
      <c r="N273" s="116"/>
      <c r="O273" s="116"/>
      <c r="P273" s="116"/>
      <c r="Q273" s="116"/>
      <c r="R273" s="116"/>
      <c r="S273" s="116"/>
      <c r="T273" s="116"/>
      <c r="U273" s="116" t="s">
        <v>104</v>
      </c>
      <c r="V273" s="118" t="s">
        <v>1669</v>
      </c>
      <c r="W273" s="116" t="s">
        <v>106</v>
      </c>
      <c r="X273" s="116" t="s">
        <v>143</v>
      </c>
      <c r="Y273" s="116" t="s">
        <v>108</v>
      </c>
      <c r="Z273" s="114">
        <f>IF(INDIRECT("Y273")="Clássico","12%",IF(INDIRECT("Y273")="Premium","17%","-"))</f>
      </c>
      <c r="AA273" s="116" t="s">
        <v>1357</v>
      </c>
      <c r="AB273" s="116" t="s">
        <v>110</v>
      </c>
      <c r="AC273" s="116" t="n">
        <v>3.0</v>
      </c>
      <c r="AD273" s="116" t="s">
        <v>121</v>
      </c>
      <c r="AE273" s="117" t="s">
        <v>112</v>
      </c>
      <c r="AF273" s="114" t="s">
        <v>1670</v>
      </c>
      <c r="AG273" s="116" t="n">
        <v>23.0</v>
      </c>
      <c r="AH273" s="116" t="n">
        <v>20.0</v>
      </c>
      <c r="AI273" s="116" t="n">
        <v>11.0</v>
      </c>
      <c r="AJ273" s="116" t="n">
        <v>0.2</v>
      </c>
    </row>
    <row r="274" ht="50.0" customHeight="true">
      <c r="A274" s="114" t="s">
        <v>1671</v>
      </c>
      <c r="B274" s="114" t="s">
        <v>1672</v>
      </c>
      <c r="C274" s="114" t="s">
        <v>1673</v>
      </c>
      <c r="D274" s="114"/>
      <c r="E274" s="115" t="s">
        <v>140</v>
      </c>
      <c r="F274" s="114" t="s">
        <v>1674</v>
      </c>
      <c r="G274" s="114" t="s">
        <v>192</v>
      </c>
      <c r="H274" s="116" t="n">
        <v>0.0</v>
      </c>
      <c r="I274" s="116" t="n">
        <v>125.0</v>
      </c>
      <c r="J274" s="116" t="s">
        <v>103</v>
      </c>
      <c r="K274" s="116"/>
      <c r="L274" s="116"/>
      <c r="M274" s="116"/>
      <c r="N274" s="116"/>
      <c r="O274" s="116"/>
      <c r="P274" s="116"/>
      <c r="Q274" s="116"/>
      <c r="R274" s="116"/>
      <c r="S274" s="116"/>
      <c r="T274" s="116"/>
      <c r="U274" s="116" t="s">
        <v>104</v>
      </c>
      <c r="V274" s="118" t="s">
        <v>1675</v>
      </c>
      <c r="W274" s="116" t="s">
        <v>130</v>
      </c>
      <c r="X274" s="116" t="s">
        <v>143</v>
      </c>
      <c r="Y274" s="116" t="s">
        <v>108</v>
      </c>
      <c r="Z274" s="114">
        <f>IF(INDIRECT("Y274")="Clássico","12%",IF(INDIRECT("Y274")="Premium","17%","-"))</f>
      </c>
      <c r="AA274" s="116" t="s">
        <v>1357</v>
      </c>
      <c r="AB274" s="116" t="s">
        <v>110</v>
      </c>
      <c r="AC274" s="116" t="n">
        <v>3.0</v>
      </c>
      <c r="AD274" s="116" t="s">
        <v>121</v>
      </c>
      <c r="AE274" s="117" t="s">
        <v>112</v>
      </c>
      <c r="AF274" s="114" t="s">
        <v>144</v>
      </c>
      <c r="AG274" s="116" t="n">
        <v>18.0</v>
      </c>
      <c r="AH274" s="116" t="n">
        <v>14.0</v>
      </c>
      <c r="AI274" s="116" t="n">
        <v>9.0</v>
      </c>
      <c r="AJ274" s="116" t="n">
        <v>0.55</v>
      </c>
    </row>
    <row r="275" ht="50.0" customHeight="true">
      <c r="A275" s="114" t="s">
        <v>1676</v>
      </c>
      <c r="B275" s="114" t="s">
        <v>1677</v>
      </c>
      <c r="C275" s="114" t="s">
        <v>1678</v>
      </c>
      <c r="D275" s="114"/>
      <c r="E275" s="115" t="s">
        <v>1679</v>
      </c>
      <c r="F275" s="114" t="s">
        <v>1680</v>
      </c>
      <c r="G275" s="114" t="s">
        <v>1680</v>
      </c>
      <c r="H275" s="116" t="n">
        <v>0.0</v>
      </c>
      <c r="I275" s="116" t="n">
        <v>32.9</v>
      </c>
      <c r="J275" s="116" t="s">
        <v>103</v>
      </c>
      <c r="K275" s="116"/>
      <c r="L275" s="116"/>
      <c r="M275" s="116"/>
      <c r="N275" s="116"/>
      <c r="O275" s="116"/>
      <c r="P275" s="116"/>
      <c r="Q275" s="116"/>
      <c r="R275" s="116"/>
      <c r="S275" s="116"/>
      <c r="T275" s="116"/>
      <c r="U275" s="116" t="s">
        <v>104</v>
      </c>
      <c r="V275" s="118" t="s">
        <v>1681</v>
      </c>
      <c r="W275" s="116" t="s">
        <v>106</v>
      </c>
      <c r="X275" s="116" t="s">
        <v>143</v>
      </c>
      <c r="Y275" s="116" t="s">
        <v>108</v>
      </c>
      <c r="Z275" s="114">
        <f>IF(INDIRECT("Y275")="Clássico","12%",IF(INDIRECT("Y275")="Premium","17%","-"))</f>
      </c>
      <c r="AA275" s="116" t="s">
        <v>1357</v>
      </c>
      <c r="AB275" s="116" t="s">
        <v>110</v>
      </c>
      <c r="AC275" s="116" t="n">
        <v>3.0</v>
      </c>
      <c r="AD275" s="116" t="s">
        <v>121</v>
      </c>
      <c r="AE275" s="117" t="s">
        <v>112</v>
      </c>
      <c r="AF275" s="114" t="s">
        <v>658</v>
      </c>
      <c r="AG275" s="116" t="n">
        <v>32.0</v>
      </c>
      <c r="AH275" s="116" t="n">
        <v>12.0</v>
      </c>
      <c r="AI275" s="116" t="n">
        <v>6.0</v>
      </c>
      <c r="AJ275" s="116" t="n">
        <v>0.3</v>
      </c>
    </row>
    <row r="276" ht="50.0" customHeight="true">
      <c r="A276" s="114" t="s">
        <v>1682</v>
      </c>
      <c r="B276" s="114" t="s">
        <v>1683</v>
      </c>
      <c r="C276" s="114" t="s">
        <v>1684</v>
      </c>
      <c r="D276" s="114"/>
      <c r="E276" s="115"/>
      <c r="F276" s="114" t="s">
        <v>1685</v>
      </c>
      <c r="G276" s="114" t="s">
        <v>128</v>
      </c>
      <c r="H276" s="116" t="n">
        <v>0.0</v>
      </c>
      <c r="I276" s="116" t="n">
        <v>300.0</v>
      </c>
      <c r="J276" s="116" t="s">
        <v>103</v>
      </c>
      <c r="K276" s="116"/>
      <c r="L276" s="116"/>
      <c r="M276" s="116"/>
      <c r="N276" s="116"/>
      <c r="O276" s="116"/>
      <c r="P276" s="116"/>
      <c r="Q276" s="116"/>
      <c r="R276" s="116"/>
      <c r="S276" s="116"/>
      <c r="T276" s="116"/>
      <c r="U276" s="116" t="s">
        <v>104</v>
      </c>
      <c r="V276" s="118" t="s">
        <v>1686</v>
      </c>
      <c r="W276" s="116" t="s">
        <v>130</v>
      </c>
      <c r="X276" s="116" t="s">
        <v>107</v>
      </c>
      <c r="Y276" s="116" t="s">
        <v>152</v>
      </c>
      <c r="Z276" s="114">
        <f>IF(INDIRECT("Y276")="Clássico","12%",IF(INDIRECT("Y276")="Premium","17%","-"))</f>
      </c>
      <c r="AA276" s="116" t="s">
        <v>1357</v>
      </c>
      <c r="AB276" s="116" t="s">
        <v>120</v>
      </c>
      <c r="AC276" s="116" t="n">
        <v>90.0</v>
      </c>
      <c r="AD276" s="116" t="s">
        <v>111</v>
      </c>
      <c r="AE276" s="117" t="s">
        <v>112</v>
      </c>
      <c r="AF276" s="114" t="s">
        <v>1687</v>
      </c>
      <c r="AG276" s="116" t="n">
        <v>27.0</v>
      </c>
      <c r="AH276" s="116" t="n">
        <v>25.0</v>
      </c>
      <c r="AI276" s="116" t="n">
        <v>23.0</v>
      </c>
      <c r="AJ276" s="116" t="n">
        <v>0.78</v>
      </c>
    </row>
    <row r="277" ht="50.0" customHeight="true">
      <c r="A277" s="114" t="s">
        <v>1688</v>
      </c>
      <c r="B277" s="114" t="s">
        <v>1689</v>
      </c>
      <c r="C277" s="114" t="s">
        <v>1690</v>
      </c>
      <c r="D277" s="114"/>
      <c r="E277" s="115" t="s">
        <v>1691</v>
      </c>
      <c r="F277" s="114" t="s">
        <v>1692</v>
      </c>
      <c r="G277" s="114" t="s">
        <v>761</v>
      </c>
      <c r="H277" s="116" t="n">
        <v>0.0</v>
      </c>
      <c r="I277" s="116" t="n">
        <v>160.0</v>
      </c>
      <c r="J277" s="116" t="s">
        <v>103</v>
      </c>
      <c r="K277" s="116"/>
      <c r="L277" s="116"/>
      <c r="M277" s="116"/>
      <c r="N277" s="116"/>
      <c r="O277" s="116"/>
      <c r="P277" s="116"/>
      <c r="Q277" s="116"/>
      <c r="R277" s="116"/>
      <c r="S277" s="116"/>
      <c r="T277" s="116"/>
      <c r="U277" s="116" t="s">
        <v>104</v>
      </c>
      <c r="V277" s="118" t="s">
        <v>1693</v>
      </c>
      <c r="W277" s="116" t="s">
        <v>130</v>
      </c>
      <c r="X277" s="116" t="s">
        <v>143</v>
      </c>
      <c r="Y277" s="116" t="s">
        <v>152</v>
      </c>
      <c r="Z277" s="114">
        <f>IF(INDIRECT("Y277")="Clássico","12%",IF(INDIRECT("Y277")="Premium","17%","-"))</f>
      </c>
      <c r="AA277" s="116" t="s">
        <v>1357</v>
      </c>
      <c r="AB277" s="116" t="s">
        <v>110</v>
      </c>
      <c r="AC277" s="116" t="n">
        <v>30.0</v>
      </c>
      <c r="AD277" s="116" t="s">
        <v>111</v>
      </c>
      <c r="AE277" s="117" t="s">
        <v>112</v>
      </c>
      <c r="AF277" s="114" t="s">
        <v>1587</v>
      </c>
      <c r="AG277" s="116" t="n">
        <v>14.0</v>
      </c>
      <c r="AH277" s="116" t="n">
        <v>12.0</v>
      </c>
      <c r="AI277" s="116" t="n">
        <v>9.0</v>
      </c>
      <c r="AJ277" s="116" t="n">
        <v>0.22</v>
      </c>
    </row>
    <row r="278" ht="50.0" customHeight="true">
      <c r="A278" s="114" t="s">
        <v>1694</v>
      </c>
      <c r="B278" s="114" t="s">
        <v>1695</v>
      </c>
      <c r="C278" s="114" t="s">
        <v>1696</v>
      </c>
      <c r="D278" s="114"/>
      <c r="E278" s="115" t="s">
        <v>1697</v>
      </c>
      <c r="F278" s="114" t="s">
        <v>1698</v>
      </c>
      <c r="G278" s="114" t="s">
        <v>1698</v>
      </c>
      <c r="H278" s="116" t="n">
        <v>0.0</v>
      </c>
      <c r="I278" s="116" t="n">
        <v>19.9</v>
      </c>
      <c r="J278" s="116" t="s">
        <v>103</v>
      </c>
      <c r="K278" s="116"/>
      <c r="L278" s="116"/>
      <c r="M278" s="116"/>
      <c r="N278" s="116"/>
      <c r="O278" s="116"/>
      <c r="P278" s="116"/>
      <c r="Q278" s="116"/>
      <c r="R278" s="116"/>
      <c r="S278" s="116"/>
      <c r="T278" s="116"/>
      <c r="U278" s="116" t="s">
        <v>104</v>
      </c>
      <c r="V278" s="118" t="s">
        <v>433</v>
      </c>
      <c r="W278" s="116" t="s">
        <v>106</v>
      </c>
      <c r="X278" s="116" t="s">
        <v>143</v>
      </c>
      <c r="Y278" s="116" t="s">
        <v>108</v>
      </c>
      <c r="Z278" s="114">
        <f>IF(INDIRECT("Y278")="Clássico","12%",IF(INDIRECT("Y278")="Premium","17%","-"))</f>
      </c>
      <c r="AA278" s="116" t="s">
        <v>1357</v>
      </c>
      <c r="AB278" s="116" t="s">
        <v>110</v>
      </c>
      <c r="AC278" s="116" t="n">
        <v>3.0</v>
      </c>
      <c r="AD278" s="116" t="s">
        <v>121</v>
      </c>
      <c r="AE278" s="117" t="s">
        <v>112</v>
      </c>
      <c r="AF278" s="114" t="s">
        <v>122</v>
      </c>
      <c r="AG278" s="116" t="n">
        <v>25.0</v>
      </c>
      <c r="AH278" s="116" t="n">
        <v>21.0</v>
      </c>
      <c r="AI278" s="116" t="n">
        <v>3.0</v>
      </c>
      <c r="AJ278" s="116" t="n">
        <v>0.23</v>
      </c>
    </row>
    <row r="279" ht="50.0" customHeight="true">
      <c r="A279" s="114" t="s">
        <v>1699</v>
      </c>
      <c r="B279" s="114" t="s">
        <v>1700</v>
      </c>
      <c r="C279" s="114" t="s">
        <v>1701</v>
      </c>
      <c r="D279" s="114"/>
      <c r="E279" s="115" t="s">
        <v>1702</v>
      </c>
      <c r="F279" s="114" t="s">
        <v>1703</v>
      </c>
      <c r="G279" s="114" t="s">
        <v>419</v>
      </c>
      <c r="H279" s="116" t="n">
        <v>0.0</v>
      </c>
      <c r="I279" s="116" t="n">
        <v>681.02</v>
      </c>
      <c r="J279" s="116" t="s">
        <v>103</v>
      </c>
      <c r="K279" s="116" t="n">
        <v>420.0</v>
      </c>
      <c r="L279" s="116" t="n">
        <v>2.0</v>
      </c>
      <c r="M279" s="116"/>
      <c r="N279" s="116"/>
      <c r="O279" s="116"/>
      <c r="P279" s="116"/>
      <c r="Q279" s="116"/>
      <c r="R279" s="116"/>
      <c r="S279" s="116"/>
      <c r="T279" s="116"/>
      <c r="U279" s="116" t="s">
        <v>104</v>
      </c>
      <c r="V279" s="118" t="s">
        <v>1704</v>
      </c>
      <c r="W279" s="116" t="s">
        <v>130</v>
      </c>
      <c r="X279" s="116" t="s">
        <v>107</v>
      </c>
      <c r="Y279" s="116" t="s">
        <v>152</v>
      </c>
      <c r="Z279" s="114">
        <f>IF(INDIRECT("Y279")="Clássico","10%",IF(INDIRECT("Y279")="Premium","15%","-"))</f>
      </c>
      <c r="AA279" s="116" t="s">
        <v>1357</v>
      </c>
      <c r="AB279" s="116" t="s">
        <v>686</v>
      </c>
      <c r="AC279" s="116" t="n">
        <v>0.0</v>
      </c>
      <c r="AD279" s="116" t="s">
        <v>22</v>
      </c>
      <c r="AE279" s="117" t="s">
        <v>112</v>
      </c>
      <c r="AF279" s="114" t="s">
        <v>1705</v>
      </c>
      <c r="AG279" s="116" t="n">
        <v>34.0</v>
      </c>
      <c r="AH279" s="116" t="n">
        <v>32.0</v>
      </c>
      <c r="AI279" s="116" t="n">
        <v>24.0</v>
      </c>
      <c r="AJ279" s="116" t="n">
        <v>3.62</v>
      </c>
    </row>
    <row r="280" ht="50.0" customHeight="true">
      <c r="A280" s="114" t="s">
        <v>1706</v>
      </c>
      <c r="B280" s="114" t="s">
        <v>1707</v>
      </c>
      <c r="C280" s="114" t="s">
        <v>1708</v>
      </c>
      <c r="D280" s="114"/>
      <c r="E280" s="115"/>
      <c r="F280" s="114" t="s">
        <v>1709</v>
      </c>
      <c r="G280" s="114" t="s">
        <v>1709</v>
      </c>
      <c r="H280" s="116" t="n">
        <v>0.0</v>
      </c>
      <c r="I280" s="116" t="n">
        <v>67.0</v>
      </c>
      <c r="J280" s="116" t="s">
        <v>103</v>
      </c>
      <c r="K280" s="116" t="n">
        <v>55.0</v>
      </c>
      <c r="L280" s="116" t="n">
        <v>2.0</v>
      </c>
      <c r="M280" s="116"/>
      <c r="N280" s="116"/>
      <c r="O280" s="116"/>
      <c r="P280" s="116"/>
      <c r="Q280" s="116"/>
      <c r="R280" s="116"/>
      <c r="S280" s="116"/>
      <c r="T280" s="116"/>
      <c r="U280" s="116" t="s">
        <v>104</v>
      </c>
      <c r="V280" s="118" t="s">
        <v>1710</v>
      </c>
      <c r="W280" s="116" t="s">
        <v>106</v>
      </c>
      <c r="X280" s="116" t="s">
        <v>107</v>
      </c>
      <c r="Y280" s="116" t="s">
        <v>108</v>
      </c>
      <c r="Z280" s="114">
        <f>IF(INDIRECT("Y280")="Clássico","11.5%",IF(INDIRECT("Y280")="Premium","16.5%","-"))</f>
      </c>
      <c r="AA280" s="116" t="s">
        <v>1357</v>
      </c>
      <c r="AB280" s="116" t="s">
        <v>110</v>
      </c>
      <c r="AC280" s="116" t="n">
        <v>30.0</v>
      </c>
      <c r="AD280" s="116" t="s">
        <v>111</v>
      </c>
      <c r="AE280" s="117" t="s">
        <v>112</v>
      </c>
      <c r="AF280" s="114" t="s">
        <v>756</v>
      </c>
      <c r="AG280" s="116" t="n">
        <v>22.0</v>
      </c>
      <c r="AH280" s="116" t="n">
        <v>15.0</v>
      </c>
      <c r="AI280" s="116" t="n">
        <v>12.0</v>
      </c>
      <c r="AJ280" s="116" t="n">
        <v>0.32</v>
      </c>
    </row>
    <row r="281" ht="50.0" customHeight="true">
      <c r="A281" s="114" t="s">
        <v>1711</v>
      </c>
      <c r="B281" s="114" t="s">
        <v>1712</v>
      </c>
      <c r="C281" s="114" t="s">
        <v>1713</v>
      </c>
      <c r="D281" s="114"/>
      <c r="E281" s="115" t="s">
        <v>1714</v>
      </c>
      <c r="F281" s="114" t="s">
        <v>1715</v>
      </c>
      <c r="G281" s="114" t="s">
        <v>1389</v>
      </c>
      <c r="H281" s="116" t="n">
        <v>0.0</v>
      </c>
      <c r="I281" s="116" t="n">
        <v>110.0</v>
      </c>
      <c r="J281" s="116" t="s">
        <v>103</v>
      </c>
      <c r="K281" s="116" t="n">
        <v>99.9</v>
      </c>
      <c r="L281" s="116" t="n">
        <v>2.0</v>
      </c>
      <c r="M281" s="116"/>
      <c r="N281" s="116"/>
      <c r="O281" s="116"/>
      <c r="P281" s="116"/>
      <c r="Q281" s="116"/>
      <c r="R281" s="116"/>
      <c r="S281" s="116"/>
      <c r="T281" s="116"/>
      <c r="U281" s="116" t="s">
        <v>104</v>
      </c>
      <c r="V281" s="118" t="s">
        <v>1716</v>
      </c>
      <c r="W281" s="116" t="s">
        <v>130</v>
      </c>
      <c r="X281" s="116" t="s">
        <v>143</v>
      </c>
      <c r="Y281" s="116" t="s">
        <v>108</v>
      </c>
      <c r="Z281" s="114">
        <f>IF(INDIRECT("Y281")="Clássico","12%",IF(INDIRECT("Y281")="Premium","17%","-"))</f>
      </c>
      <c r="AA281" s="116" t="s">
        <v>1357</v>
      </c>
      <c r="AB281" s="116" t="s">
        <v>110</v>
      </c>
      <c r="AC281" s="116" t="n">
        <v>30.0</v>
      </c>
      <c r="AD281" s="116" t="s">
        <v>111</v>
      </c>
      <c r="AE281" s="117" t="s">
        <v>112</v>
      </c>
      <c r="AF281" s="114" t="s">
        <v>1492</v>
      </c>
      <c r="AG281" s="116" t="n">
        <v>5.0</v>
      </c>
      <c r="AH281" s="116" t="n">
        <v>30.0</v>
      </c>
      <c r="AI281" s="116" t="n">
        <v>30.0</v>
      </c>
      <c r="AJ281" s="116" t="n">
        <v>0.6</v>
      </c>
    </row>
    <row r="282" ht="50.0" customHeight="true">
      <c r="A282" s="114" t="s">
        <v>1717</v>
      </c>
      <c r="B282" s="114" t="s">
        <v>1718</v>
      </c>
      <c r="C282" s="114" t="s">
        <v>1719</v>
      </c>
      <c r="D282" s="114"/>
      <c r="E282" s="115" t="s">
        <v>1720</v>
      </c>
      <c r="F282" s="114" t="s">
        <v>426</v>
      </c>
      <c r="G282" s="114" t="s">
        <v>426</v>
      </c>
      <c r="H282" s="116" t="n">
        <v>4.0</v>
      </c>
      <c r="I282" s="116" t="n">
        <v>19.9</v>
      </c>
      <c r="J282" s="116" t="s">
        <v>103</v>
      </c>
      <c r="K282" s="116"/>
      <c r="L282" s="116"/>
      <c r="M282" s="116"/>
      <c r="N282" s="116"/>
      <c r="O282" s="116"/>
      <c r="P282" s="116"/>
      <c r="Q282" s="116"/>
      <c r="R282" s="116"/>
      <c r="S282" s="116"/>
      <c r="T282" s="116"/>
      <c r="U282" s="116" t="s">
        <v>104</v>
      </c>
      <c r="V282" s="118" t="s">
        <v>1721</v>
      </c>
      <c r="W282" s="116" t="s">
        <v>106</v>
      </c>
      <c r="X282" s="116" t="s">
        <v>143</v>
      </c>
      <c r="Y282" s="116" t="s">
        <v>108</v>
      </c>
      <c r="Z282" s="114">
        <f>IF(INDIRECT("Y282")="Clássico","12%",IF(INDIRECT("Y282")="Premium","17%","-"))</f>
      </c>
      <c r="AA282" s="116" t="s">
        <v>1357</v>
      </c>
      <c r="AB282" s="116" t="s">
        <v>120</v>
      </c>
      <c r="AC282" s="116" t="n">
        <v>3.0</v>
      </c>
      <c r="AD282" s="116" t="s">
        <v>121</v>
      </c>
      <c r="AE282" s="117" t="s">
        <v>112</v>
      </c>
      <c r="AF282" s="114" t="s">
        <v>122</v>
      </c>
      <c r="AG282" s="116" t="n">
        <v>31.0</v>
      </c>
      <c r="AH282" s="116" t="n">
        <v>23.0</v>
      </c>
      <c r="AI282" s="116" t="n">
        <v>3.0</v>
      </c>
      <c r="AJ282" s="116" t="n">
        <v>0.3</v>
      </c>
    </row>
    <row r="283" ht="50.0" customHeight="true">
      <c r="A283" s="114" t="s">
        <v>1722</v>
      </c>
      <c r="B283" s="114" t="s">
        <v>1723</v>
      </c>
      <c r="C283" s="114" t="s">
        <v>1724</v>
      </c>
      <c r="D283" s="114"/>
      <c r="E283" s="115" t="s">
        <v>1725</v>
      </c>
      <c r="F283" s="114" t="s">
        <v>1726</v>
      </c>
      <c r="G283" s="114" t="s">
        <v>1726</v>
      </c>
      <c r="H283" s="116" t="n">
        <v>2.0</v>
      </c>
      <c r="I283" s="116" t="n">
        <v>19.9</v>
      </c>
      <c r="J283" s="116" t="s">
        <v>103</v>
      </c>
      <c r="K283" s="116"/>
      <c r="L283" s="116"/>
      <c r="M283" s="116"/>
      <c r="N283" s="116"/>
      <c r="O283" s="116"/>
      <c r="P283" s="116"/>
      <c r="Q283" s="116"/>
      <c r="R283" s="116"/>
      <c r="S283" s="116"/>
      <c r="T283" s="116"/>
      <c r="U283" s="116" t="s">
        <v>104</v>
      </c>
      <c r="V283" s="118" t="s">
        <v>1727</v>
      </c>
      <c r="W283" s="116" t="s">
        <v>106</v>
      </c>
      <c r="X283" s="116" t="s">
        <v>143</v>
      </c>
      <c r="Y283" s="116" t="s">
        <v>108</v>
      </c>
      <c r="Z283" s="114">
        <f>IF(INDIRECT("Y283")="Clássico","12%",IF(INDIRECT("Y283")="Premium","17%","-"))</f>
      </c>
      <c r="AA283" s="116" t="s">
        <v>1357</v>
      </c>
      <c r="AB283" s="116" t="s">
        <v>110</v>
      </c>
      <c r="AC283" s="116" t="n">
        <v>3.0</v>
      </c>
      <c r="AD283" s="116" t="s">
        <v>121</v>
      </c>
      <c r="AE283" s="117" t="s">
        <v>112</v>
      </c>
      <c r="AF283" s="114" t="s">
        <v>122</v>
      </c>
      <c r="AG283" s="116" t="n">
        <v>31.0</v>
      </c>
      <c r="AH283" s="116" t="n">
        <v>23.0</v>
      </c>
      <c r="AI283" s="116" t="n">
        <v>3.0</v>
      </c>
      <c r="AJ283" s="116" t="n">
        <v>0.26</v>
      </c>
    </row>
    <row r="284" ht="50.0" customHeight="true">
      <c r="A284" s="114" t="s">
        <v>1728</v>
      </c>
      <c r="B284" s="114" t="s">
        <v>1729</v>
      </c>
      <c r="C284" s="114" t="s">
        <v>1730</v>
      </c>
      <c r="D284" s="114"/>
      <c r="E284" s="115" t="s">
        <v>1731</v>
      </c>
      <c r="F284" s="114" t="s">
        <v>1732</v>
      </c>
      <c r="G284" s="114" t="s">
        <v>1732</v>
      </c>
      <c r="H284" s="116" t="n">
        <v>2.0</v>
      </c>
      <c r="I284" s="116" t="n">
        <v>19.9</v>
      </c>
      <c r="J284" s="116" t="s">
        <v>103</v>
      </c>
      <c r="K284" s="116"/>
      <c r="L284" s="116"/>
      <c r="M284" s="116"/>
      <c r="N284" s="116"/>
      <c r="O284" s="116"/>
      <c r="P284" s="116"/>
      <c r="Q284" s="116"/>
      <c r="R284" s="116"/>
      <c r="S284" s="116"/>
      <c r="T284" s="116"/>
      <c r="U284" s="116" t="s">
        <v>104</v>
      </c>
      <c r="V284" s="118" t="s">
        <v>433</v>
      </c>
      <c r="W284" s="116" t="s">
        <v>106</v>
      </c>
      <c r="X284" s="116" t="s">
        <v>143</v>
      </c>
      <c r="Y284" s="116" t="s">
        <v>152</v>
      </c>
      <c r="Z284" s="114">
        <f>IF(INDIRECT("Y284")="Clássico","12%",IF(INDIRECT("Y284")="Premium","17%","-"))</f>
      </c>
      <c r="AA284" s="116" t="s">
        <v>1357</v>
      </c>
      <c r="AB284" s="116" t="s">
        <v>110</v>
      </c>
      <c r="AC284" s="116" t="n">
        <v>3.0</v>
      </c>
      <c r="AD284" s="116" t="s">
        <v>121</v>
      </c>
      <c r="AE284" s="117" t="s">
        <v>289</v>
      </c>
      <c r="AF284" s="114" t="s">
        <v>658</v>
      </c>
      <c r="AG284" s="116" t="n">
        <v>24.0</v>
      </c>
      <c r="AH284" s="116" t="n">
        <v>20.0</v>
      </c>
      <c r="AI284" s="116" t="n">
        <v>7.0</v>
      </c>
      <c r="AJ284" s="116" t="n">
        <v>0.3</v>
      </c>
    </row>
    <row r="285" ht="50.0" customHeight="true">
      <c r="A285" s="114" t="s">
        <v>1733</v>
      </c>
      <c r="B285" s="114" t="s">
        <v>1734</v>
      </c>
      <c r="C285" s="114" t="s">
        <v>1735</v>
      </c>
      <c r="D285" s="114"/>
      <c r="E285" s="115" t="s">
        <v>1736</v>
      </c>
      <c r="F285" s="114" t="s">
        <v>1737</v>
      </c>
      <c r="G285" s="114" t="s">
        <v>1737</v>
      </c>
      <c r="H285" s="116" t="n">
        <v>0.0</v>
      </c>
      <c r="I285" s="116" t="n">
        <v>19.9</v>
      </c>
      <c r="J285" s="116" t="s">
        <v>103</v>
      </c>
      <c r="K285" s="116"/>
      <c r="L285" s="116"/>
      <c r="M285" s="116"/>
      <c r="N285" s="116"/>
      <c r="O285" s="116"/>
      <c r="P285" s="116"/>
      <c r="Q285" s="116"/>
      <c r="R285" s="116"/>
      <c r="S285" s="116"/>
      <c r="T285" s="116"/>
      <c r="U285" s="116" t="s">
        <v>104</v>
      </c>
      <c r="V285" s="118" t="s">
        <v>433</v>
      </c>
      <c r="W285" s="116" t="s">
        <v>106</v>
      </c>
      <c r="X285" s="116" t="s">
        <v>143</v>
      </c>
      <c r="Y285" s="116" t="s">
        <v>152</v>
      </c>
      <c r="Z285" s="114">
        <f>IF(INDIRECT("Y285")="Clássico","12%",IF(INDIRECT("Y285")="Premium","17%","-"))</f>
      </c>
      <c r="AA285" s="116" t="s">
        <v>1357</v>
      </c>
      <c r="AB285" s="116" t="s">
        <v>110</v>
      </c>
      <c r="AC285" s="116" t="n">
        <v>3.0</v>
      </c>
      <c r="AD285" s="116" t="s">
        <v>121</v>
      </c>
      <c r="AE285" s="117" t="s">
        <v>112</v>
      </c>
      <c r="AF285" s="114" t="s">
        <v>122</v>
      </c>
      <c r="AG285" s="116" t="n">
        <v>32.0</v>
      </c>
      <c r="AH285" s="116" t="n">
        <v>11.0</v>
      </c>
      <c r="AI285" s="116" t="n">
        <v>6.0</v>
      </c>
      <c r="AJ285" s="116" t="n">
        <v>0.15</v>
      </c>
    </row>
    <row r="286" ht="50.0" customHeight="true">
      <c r="A286" s="114" t="s">
        <v>1738</v>
      </c>
      <c r="B286" s="114" t="s">
        <v>1739</v>
      </c>
      <c r="C286" s="114" t="s">
        <v>1740</v>
      </c>
      <c r="D286" s="114"/>
      <c r="E286" s="115" t="s">
        <v>1741</v>
      </c>
      <c r="F286" s="114" t="s">
        <v>1742</v>
      </c>
      <c r="G286" s="114" t="s">
        <v>1742</v>
      </c>
      <c r="H286" s="116" t="n">
        <v>2.0</v>
      </c>
      <c r="I286" s="116" t="n">
        <v>19.9</v>
      </c>
      <c r="J286" s="116" t="s">
        <v>103</v>
      </c>
      <c r="K286" s="116"/>
      <c r="L286" s="116"/>
      <c r="M286" s="116"/>
      <c r="N286" s="116"/>
      <c r="O286" s="116"/>
      <c r="P286" s="116"/>
      <c r="Q286" s="116"/>
      <c r="R286" s="116"/>
      <c r="S286" s="116"/>
      <c r="T286" s="116"/>
      <c r="U286" s="116" t="s">
        <v>104</v>
      </c>
      <c r="V286" s="118" t="s">
        <v>433</v>
      </c>
      <c r="W286" s="116" t="s">
        <v>106</v>
      </c>
      <c r="X286" s="116" t="s">
        <v>143</v>
      </c>
      <c r="Y286" s="116" t="s">
        <v>152</v>
      </c>
      <c r="Z286" s="114">
        <f>IF(INDIRECT("Y286")="Clássico","12%",IF(INDIRECT("Y286")="Premium","17%","-"))</f>
      </c>
      <c r="AA286" s="116" t="s">
        <v>1357</v>
      </c>
      <c r="AB286" s="116" t="s">
        <v>110</v>
      </c>
      <c r="AC286" s="116" t="n">
        <v>3.0</v>
      </c>
      <c r="AD286" s="116" t="s">
        <v>121</v>
      </c>
      <c r="AE286" s="117" t="s">
        <v>112</v>
      </c>
      <c r="AF286" s="114" t="s">
        <v>122</v>
      </c>
      <c r="AG286" s="116" t="n">
        <v>31.0</v>
      </c>
      <c r="AH286" s="116" t="n">
        <v>23.0</v>
      </c>
      <c r="AI286" s="116" t="n">
        <v>3.0</v>
      </c>
      <c r="AJ286" s="116" t="n">
        <v>0.06</v>
      </c>
    </row>
    <row r="287" ht="50.0" customHeight="true">
      <c r="A287" s="114" t="s">
        <v>1743</v>
      </c>
      <c r="B287" s="114" t="s">
        <v>1744</v>
      </c>
      <c r="C287" s="114" t="s">
        <v>1745</v>
      </c>
      <c r="D287" s="114"/>
      <c r="E287" s="115" t="s">
        <v>1746</v>
      </c>
      <c r="F287" s="114" t="s">
        <v>1747</v>
      </c>
      <c r="G287" s="114" t="s">
        <v>419</v>
      </c>
      <c r="H287" s="116" t="n">
        <v>1.0</v>
      </c>
      <c r="I287" s="116" t="n">
        <v>79.9</v>
      </c>
      <c r="J287" s="116" t="s">
        <v>103</v>
      </c>
      <c r="K287" s="116" t="n">
        <v>49.9</v>
      </c>
      <c r="L287" s="116" t="n">
        <v>2.0</v>
      </c>
      <c r="M287" s="116"/>
      <c r="N287" s="116"/>
      <c r="O287" s="116"/>
      <c r="P287" s="116"/>
      <c r="Q287" s="116"/>
      <c r="R287" s="116"/>
      <c r="S287" s="116"/>
      <c r="T287" s="116"/>
      <c r="U287" s="116" t="s">
        <v>104</v>
      </c>
      <c r="V287" s="118" t="s">
        <v>1748</v>
      </c>
      <c r="W287" s="116" t="s">
        <v>130</v>
      </c>
      <c r="X287" s="116" t="s">
        <v>107</v>
      </c>
      <c r="Y287" s="116" t="s">
        <v>108</v>
      </c>
      <c r="Z287" s="114">
        <f>IF(INDIRECT("Y287")="Clássico","12%",IF(INDIRECT("Y287")="Premium","17%","-"))</f>
      </c>
      <c r="AA287" s="116" t="s">
        <v>1357</v>
      </c>
      <c r="AB287" s="116" t="s">
        <v>110</v>
      </c>
      <c r="AC287" s="116" t="n">
        <v>30.0</v>
      </c>
      <c r="AD287" s="116" t="s">
        <v>111</v>
      </c>
      <c r="AE287" s="117" t="s">
        <v>112</v>
      </c>
      <c r="AF287" s="114" t="s">
        <v>1749</v>
      </c>
      <c r="AG287" s="116" t="n">
        <v>35.0</v>
      </c>
      <c r="AH287" s="116" t="n">
        <v>22.0</v>
      </c>
      <c r="AI287" s="116" t="n">
        <v>13.0</v>
      </c>
      <c r="AJ287" s="116" t="n">
        <v>0.2</v>
      </c>
    </row>
    <row r="288" ht="50.0" customHeight="true">
      <c r="A288" s="114" t="s">
        <v>1750</v>
      </c>
      <c r="B288" s="114" t="s">
        <v>1751</v>
      </c>
      <c r="C288" s="114" t="s">
        <v>1752</v>
      </c>
      <c r="D288" s="114"/>
      <c r="E288" s="115" t="s">
        <v>1753</v>
      </c>
      <c r="F288" s="114" t="s">
        <v>1565</v>
      </c>
      <c r="G288" s="114" t="s">
        <v>1565</v>
      </c>
      <c r="H288" s="116" t="n">
        <v>1.0</v>
      </c>
      <c r="I288" s="116" t="n">
        <v>19.9</v>
      </c>
      <c r="J288" s="116" t="s">
        <v>103</v>
      </c>
      <c r="K288" s="116"/>
      <c r="L288" s="116"/>
      <c r="M288" s="116"/>
      <c r="N288" s="116"/>
      <c r="O288" s="116"/>
      <c r="P288" s="116"/>
      <c r="Q288" s="116"/>
      <c r="R288" s="116"/>
      <c r="S288" s="116"/>
      <c r="T288" s="116"/>
      <c r="U288" s="116" t="s">
        <v>104</v>
      </c>
      <c r="V288" s="118" t="s">
        <v>22</v>
      </c>
      <c r="W288" s="116" t="s">
        <v>106</v>
      </c>
      <c r="X288" s="116" t="s">
        <v>107</v>
      </c>
      <c r="Y288" s="116" t="s">
        <v>108</v>
      </c>
      <c r="Z288" s="114">
        <f>IF(INDIRECT("Y288")="Clássico","12%",IF(INDIRECT("Y288")="Premium","17%","-"))</f>
      </c>
      <c r="AA288" s="116" t="s">
        <v>1357</v>
      </c>
      <c r="AB288" s="116" t="s">
        <v>120</v>
      </c>
      <c r="AC288" s="116" t="n">
        <v>3.0</v>
      </c>
      <c r="AD288" s="116" t="s">
        <v>121</v>
      </c>
      <c r="AE288" s="117" t="s">
        <v>112</v>
      </c>
      <c r="AF288" s="114" t="s">
        <v>122</v>
      </c>
      <c r="AG288" s="116" t="n">
        <v>25.0</v>
      </c>
      <c r="AH288" s="116" t="n">
        <v>21.0</v>
      </c>
      <c r="AI288" s="116" t="n">
        <v>3.0</v>
      </c>
      <c r="AJ288" s="116" t="n">
        <v>0.23</v>
      </c>
    </row>
    <row r="289" ht="50.0" customHeight="true">
      <c r="A289" s="114" t="s">
        <v>1754</v>
      </c>
      <c r="B289" s="114" t="s">
        <v>1755</v>
      </c>
      <c r="C289" s="114" t="s">
        <v>1756</v>
      </c>
      <c r="D289" s="114"/>
      <c r="E289" s="115" t="s">
        <v>1757</v>
      </c>
      <c r="F289" s="114" t="s">
        <v>1758</v>
      </c>
      <c r="G289" s="114" t="s">
        <v>315</v>
      </c>
      <c r="H289" s="116" t="n">
        <v>0.0</v>
      </c>
      <c r="I289" s="116" t="n">
        <v>199.0</v>
      </c>
      <c r="J289" s="116" t="s">
        <v>103</v>
      </c>
      <c r="K289" s="116" t="n">
        <v>180.0</v>
      </c>
      <c r="L289" s="116" t="n">
        <v>2.0</v>
      </c>
      <c r="M289" s="116"/>
      <c r="N289" s="116"/>
      <c r="O289" s="116"/>
      <c r="P289" s="116"/>
      <c r="Q289" s="116"/>
      <c r="R289" s="116"/>
      <c r="S289" s="116"/>
      <c r="T289" s="116"/>
      <c r="U289" s="116" t="s">
        <v>104</v>
      </c>
      <c r="V289" s="118" t="s">
        <v>1759</v>
      </c>
      <c r="W289" s="116" t="s">
        <v>130</v>
      </c>
      <c r="X289" s="116" t="s">
        <v>107</v>
      </c>
      <c r="Y289" s="116" t="s">
        <v>152</v>
      </c>
      <c r="Z289" s="114">
        <f>IF(INDIRECT("Y289")="Clássico","11.5%",IF(INDIRECT("Y289")="Premium","16.5%","-"))</f>
      </c>
      <c r="AA289" s="116" t="s">
        <v>1357</v>
      </c>
      <c r="AB289" s="116" t="s">
        <v>110</v>
      </c>
      <c r="AC289" s="116" t="n">
        <v>30.0</v>
      </c>
      <c r="AD289" s="116" t="s">
        <v>111</v>
      </c>
      <c r="AE289" s="117" t="s">
        <v>112</v>
      </c>
      <c r="AF289" s="114" t="s">
        <v>1631</v>
      </c>
      <c r="AG289" s="116" t="n">
        <v>22.0</v>
      </c>
      <c r="AH289" s="116" t="n">
        <v>16.0</v>
      </c>
      <c r="AI289" s="116" t="n">
        <v>4.0</v>
      </c>
      <c r="AJ289" s="116" t="n">
        <v>0.08</v>
      </c>
    </row>
    <row r="290" ht="50.0" customHeight="true">
      <c r="A290" s="114" t="s">
        <v>1639</v>
      </c>
      <c r="B290" s="114" t="s">
        <v>1760</v>
      </c>
      <c r="C290" s="114" t="s">
        <v>1641</v>
      </c>
      <c r="D290" s="114"/>
      <c r="E290" s="115"/>
      <c r="F290" s="114" t="s">
        <v>1761</v>
      </c>
      <c r="G290" s="114" t="s">
        <v>1761</v>
      </c>
      <c r="H290" s="116" t="n">
        <v>0.0</v>
      </c>
      <c r="I290" s="116" t="n">
        <v>89.9</v>
      </c>
      <c r="J290" s="116" t="s">
        <v>103</v>
      </c>
      <c r="K290" s="116"/>
      <c r="L290" s="116"/>
      <c r="M290" s="116"/>
      <c r="N290" s="116"/>
      <c r="O290" s="116"/>
      <c r="P290" s="116"/>
      <c r="Q290" s="116"/>
      <c r="R290" s="116"/>
      <c r="S290" s="116"/>
      <c r="T290" s="116"/>
      <c r="U290" s="116" t="s">
        <v>104</v>
      </c>
      <c r="V290" s="118" t="s">
        <v>1762</v>
      </c>
      <c r="W290" s="116" t="s">
        <v>130</v>
      </c>
      <c r="X290" s="116" t="s">
        <v>107</v>
      </c>
      <c r="Y290" s="116" t="s">
        <v>152</v>
      </c>
      <c r="Z290" s="114">
        <f>IF(INDIRECT("Y290")="Clássico","12.5%",IF(INDIRECT("Y290")="Premium","17.5%","-"))</f>
      </c>
      <c r="AA290" s="116" t="s">
        <v>1357</v>
      </c>
      <c r="AB290" s="116" t="s">
        <v>110</v>
      </c>
      <c r="AC290" s="116" t="n">
        <v>3.0</v>
      </c>
      <c r="AD290" s="116" t="s">
        <v>121</v>
      </c>
      <c r="AE290" s="117" t="s">
        <v>112</v>
      </c>
      <c r="AF290" s="114" t="s">
        <v>1644</v>
      </c>
      <c r="AG290" s="116" t="n">
        <v>13.0</v>
      </c>
      <c r="AH290" s="116" t="n">
        <v>13.0</v>
      </c>
      <c r="AI290" s="116" t="n">
        <v>8.0</v>
      </c>
      <c r="AJ290" s="116" t="n">
        <v>0.21</v>
      </c>
    </row>
    <row r="291" ht="50.0" customHeight="true">
      <c r="A291" s="114" t="s">
        <v>1763</v>
      </c>
      <c r="B291" s="114" t="s">
        <v>1764</v>
      </c>
      <c r="C291" s="114" t="s">
        <v>1765</v>
      </c>
      <c r="D291" s="114"/>
      <c r="E291" s="115" t="s">
        <v>1766</v>
      </c>
      <c r="F291" s="114" t="s">
        <v>1767</v>
      </c>
      <c r="G291" s="114" t="s">
        <v>1767</v>
      </c>
      <c r="H291" s="116" t="n">
        <v>0.0</v>
      </c>
      <c r="I291" s="116" t="n">
        <v>430.0</v>
      </c>
      <c r="J291" s="116" t="s">
        <v>103</v>
      </c>
      <c r="K291" s="116" t="n">
        <v>330.0</v>
      </c>
      <c r="L291" s="116" t="n">
        <v>2.0</v>
      </c>
      <c r="M291" s="116"/>
      <c r="N291" s="116"/>
      <c r="O291" s="116"/>
      <c r="P291" s="116"/>
      <c r="Q291" s="116"/>
      <c r="R291" s="116"/>
      <c r="S291" s="116"/>
      <c r="T291" s="116"/>
      <c r="U291" s="116" t="s">
        <v>104</v>
      </c>
      <c r="V291" s="118" t="s">
        <v>1768</v>
      </c>
      <c r="W291" s="116" t="s">
        <v>130</v>
      </c>
      <c r="X291" s="116" t="s">
        <v>107</v>
      </c>
      <c r="Y291" s="116" t="s">
        <v>152</v>
      </c>
      <c r="Z291" s="114">
        <f>IF(INDIRECT("Y291")="Clássico","12%",IF(INDIRECT("Y291")="Premium","17%","-"))</f>
      </c>
      <c r="AA291" s="116" t="s">
        <v>1357</v>
      </c>
      <c r="AB291" s="116" t="s">
        <v>110</v>
      </c>
      <c r="AC291" s="116" t="n">
        <v>15.0</v>
      </c>
      <c r="AD291" s="116" t="s">
        <v>111</v>
      </c>
      <c r="AE291" s="117" t="s">
        <v>112</v>
      </c>
      <c r="AF291" s="114" t="s">
        <v>1769</v>
      </c>
      <c r="AG291" s="116" t="n">
        <v>21.0</v>
      </c>
      <c r="AH291" s="116" t="n">
        <v>15.0</v>
      </c>
      <c r="AI291" s="116" t="n">
        <v>8.0</v>
      </c>
      <c r="AJ291" s="116" t="n">
        <v>0.06</v>
      </c>
    </row>
    <row r="292" ht="50.0" customHeight="true">
      <c r="A292" s="114" t="s">
        <v>1770</v>
      </c>
      <c r="B292" s="114" t="s">
        <v>1771</v>
      </c>
      <c r="C292" s="114" t="s">
        <v>1772</v>
      </c>
      <c r="D292" s="114"/>
      <c r="E292" s="115" t="s">
        <v>1773</v>
      </c>
      <c r="F292" s="114" t="s">
        <v>1774</v>
      </c>
      <c r="G292" s="114" t="s">
        <v>254</v>
      </c>
      <c r="H292" s="116" t="n">
        <v>1.0</v>
      </c>
      <c r="I292" s="116" t="n">
        <v>110.0</v>
      </c>
      <c r="J292" s="116" t="s">
        <v>103</v>
      </c>
      <c r="K292" s="116" t="n">
        <v>89.9</v>
      </c>
      <c r="L292" s="116" t="n">
        <v>2.0</v>
      </c>
      <c r="M292" s="116"/>
      <c r="N292" s="116"/>
      <c r="O292" s="116"/>
      <c r="P292" s="116"/>
      <c r="Q292" s="116"/>
      <c r="R292" s="116"/>
      <c r="S292" s="116"/>
      <c r="T292" s="116"/>
      <c r="U292" s="116" t="s">
        <v>104</v>
      </c>
      <c r="V292" s="118" t="s">
        <v>1775</v>
      </c>
      <c r="W292" s="116" t="s">
        <v>130</v>
      </c>
      <c r="X292" s="116" t="s">
        <v>107</v>
      </c>
      <c r="Y292" s="116" t="s">
        <v>152</v>
      </c>
      <c r="Z292" s="114">
        <f>IF(INDIRECT("Y292")="Clássico","11.5%",IF(INDIRECT("Y292")="Premium","16.5%","-"))</f>
      </c>
      <c r="AA292" s="116" t="s">
        <v>1357</v>
      </c>
      <c r="AB292" s="116" t="s">
        <v>110</v>
      </c>
      <c r="AC292" s="116" t="n">
        <v>30.0</v>
      </c>
      <c r="AD292" s="116" t="s">
        <v>111</v>
      </c>
      <c r="AE292" s="117" t="s">
        <v>112</v>
      </c>
      <c r="AF292" s="114" t="s">
        <v>1776</v>
      </c>
      <c r="AG292" s="116" t="n">
        <v>34.0</v>
      </c>
      <c r="AH292" s="116" t="n">
        <v>27.0</v>
      </c>
      <c r="AI292" s="116" t="n">
        <v>22.0</v>
      </c>
      <c r="AJ292" s="116" t="n">
        <v>5.44</v>
      </c>
    </row>
    <row r="293" ht="50.0" customHeight="true">
      <c r="A293" s="114" t="s">
        <v>1777</v>
      </c>
      <c r="B293" s="114" t="s">
        <v>1778</v>
      </c>
      <c r="C293" s="114" t="s">
        <v>1779</v>
      </c>
      <c r="D293" s="114"/>
      <c r="E293" s="115" t="s">
        <v>1780</v>
      </c>
      <c r="F293" s="114" t="s">
        <v>1781</v>
      </c>
      <c r="G293" s="114" t="s">
        <v>1782</v>
      </c>
      <c r="H293" s="116" t="n">
        <v>0.0</v>
      </c>
      <c r="I293" s="116" t="n">
        <v>130.0</v>
      </c>
      <c r="J293" s="116" t="s">
        <v>103</v>
      </c>
      <c r="K293" s="116"/>
      <c r="L293" s="116"/>
      <c r="M293" s="116"/>
      <c r="N293" s="116"/>
      <c r="O293" s="116"/>
      <c r="P293" s="116"/>
      <c r="Q293" s="116"/>
      <c r="R293" s="116"/>
      <c r="S293" s="116"/>
      <c r="T293" s="116"/>
      <c r="U293" s="116" t="s">
        <v>104</v>
      </c>
      <c r="V293" s="118" t="s">
        <v>1783</v>
      </c>
      <c r="W293" s="116" t="s">
        <v>130</v>
      </c>
      <c r="X293" s="116" t="s">
        <v>107</v>
      </c>
      <c r="Y293" s="116" t="s">
        <v>152</v>
      </c>
      <c r="Z293" s="114">
        <f>IF(INDIRECT("Y293")="Clássico","12%",IF(INDIRECT("Y293")="Premium","17%","-"))</f>
      </c>
      <c r="AA293" s="116" t="s">
        <v>1357</v>
      </c>
      <c r="AB293" s="116" t="s">
        <v>110</v>
      </c>
      <c r="AC293" s="116" t="n">
        <v>30.0</v>
      </c>
      <c r="AD293" s="116" t="s">
        <v>111</v>
      </c>
      <c r="AE293" s="117" t="s">
        <v>112</v>
      </c>
      <c r="AF293" s="114" t="s">
        <v>1784</v>
      </c>
      <c r="AG293" s="116" t="n">
        <v>27.0</v>
      </c>
      <c r="AH293" s="116" t="n">
        <v>23.0</v>
      </c>
      <c r="AI293" s="116" t="n">
        <v>9.0</v>
      </c>
      <c r="AJ293" s="116" t="n">
        <v>0.47</v>
      </c>
    </row>
    <row r="294" ht="50.0" customHeight="true">
      <c r="A294" s="114" t="s">
        <v>1785</v>
      </c>
      <c r="B294" s="114" t="s">
        <v>1786</v>
      </c>
      <c r="C294" s="114" t="s">
        <v>1787</v>
      </c>
      <c r="D294" s="114"/>
      <c r="E294" s="115" t="s">
        <v>1788</v>
      </c>
      <c r="F294" s="114" t="s">
        <v>1789</v>
      </c>
      <c r="G294" s="114" t="s">
        <v>102</v>
      </c>
      <c r="H294" s="116" t="n">
        <v>0.0</v>
      </c>
      <c r="I294" s="116" t="n">
        <v>42.0</v>
      </c>
      <c r="J294" s="116" t="s">
        <v>103</v>
      </c>
      <c r="K294" s="116" t="n">
        <v>37.0</v>
      </c>
      <c r="L294" s="116" t="n">
        <v>2.0</v>
      </c>
      <c r="M294" s="116"/>
      <c r="N294" s="116"/>
      <c r="O294" s="116"/>
      <c r="P294" s="116"/>
      <c r="Q294" s="116"/>
      <c r="R294" s="116"/>
      <c r="S294" s="116"/>
      <c r="T294" s="116"/>
      <c r="U294" s="114" t="s">
        <v>104</v>
      </c>
      <c r="V294" s="114" t="s">
        <v>1790</v>
      </c>
      <c r="W294" s="116" t="s">
        <v>106</v>
      </c>
      <c r="X294" s="116" t="s">
        <v>107</v>
      </c>
      <c r="Y294" s="116" t="s">
        <v>152</v>
      </c>
      <c r="Z294" s="114">
        <f>IF(INDIRECT("Y294")="Clássico","12%",IF(INDIRECT("Y294")="Premium","17%","-"))</f>
      </c>
      <c r="AA294" s="116" t="s">
        <v>1357</v>
      </c>
      <c r="AB294" s="116" t="s">
        <v>110</v>
      </c>
      <c r="AC294" s="116" t="n">
        <v>30.0</v>
      </c>
      <c r="AD294" s="116" t="s">
        <v>111</v>
      </c>
      <c r="AE294" s="117" t="s">
        <v>112</v>
      </c>
      <c r="AF294" s="114" t="s">
        <v>611</v>
      </c>
      <c r="AG294" s="116" t="n">
        <v>19.0</v>
      </c>
      <c r="AH294" s="116" t="n">
        <v>17.0</v>
      </c>
      <c r="AI294" s="116" t="n">
        <v>15.0</v>
      </c>
      <c r="AJ294" s="116" t="n">
        <v>0.35</v>
      </c>
    </row>
    <row r="295" ht="50.0" customHeight="true">
      <c r="A295" s="114" t="s">
        <v>1791</v>
      </c>
      <c r="B295" s="114" t="s">
        <v>1792</v>
      </c>
      <c r="C295" s="114" t="s">
        <v>1793</v>
      </c>
      <c r="D295" s="114"/>
      <c r="E295" s="115" t="s">
        <v>1794</v>
      </c>
      <c r="F295" s="114" t="s">
        <v>1795</v>
      </c>
      <c r="G295" s="114" t="s">
        <v>1795</v>
      </c>
      <c r="H295" s="116" t="n">
        <v>0.0</v>
      </c>
      <c r="I295" s="116" t="n">
        <v>3290.0</v>
      </c>
      <c r="J295" s="116" t="s">
        <v>103</v>
      </c>
      <c r="K295" s="116" t="n">
        <v>1850.0</v>
      </c>
      <c r="L295" s="116" t="n">
        <v>2.0</v>
      </c>
      <c r="M295" s="116"/>
      <c r="N295" s="116"/>
      <c r="O295" s="116"/>
      <c r="P295" s="116"/>
      <c r="Q295" s="116"/>
      <c r="R295" s="116"/>
      <c r="S295" s="116"/>
      <c r="T295" s="116"/>
      <c r="U295" s="114" t="s">
        <v>104</v>
      </c>
      <c r="V295" s="118" t="s">
        <v>1796</v>
      </c>
      <c r="W295" s="116" t="s">
        <v>130</v>
      </c>
      <c r="X295" s="116" t="s">
        <v>107</v>
      </c>
      <c r="Y295" s="116" t="s">
        <v>152</v>
      </c>
      <c r="Z295" s="114">
        <f>IF(INDIRECT("Y295")="Clássico","13%",IF(INDIRECT("Y295")="Premium","18%","-"))</f>
      </c>
      <c r="AA295" s="116" t="s">
        <v>1357</v>
      </c>
      <c r="AB295" s="116" t="s">
        <v>110</v>
      </c>
      <c r="AC295" s="116" t="n">
        <v>30.0</v>
      </c>
      <c r="AD295" s="116" t="s">
        <v>111</v>
      </c>
      <c r="AE295" s="117" t="s">
        <v>112</v>
      </c>
      <c r="AF295" s="114" t="s">
        <v>1797</v>
      </c>
      <c r="AG295" s="116" t="n">
        <v>15.0</v>
      </c>
      <c r="AH295" s="116" t="n">
        <v>13.0</v>
      </c>
      <c r="AI295" s="116" t="n">
        <v>7.0</v>
      </c>
      <c r="AJ295" s="116" t="n">
        <v>0.25</v>
      </c>
    </row>
    <row r="296" ht="50.0" customHeight="true">
      <c r="A296" s="114" t="s">
        <v>1798</v>
      </c>
      <c r="B296" s="114" t="s">
        <v>1799</v>
      </c>
      <c r="C296" s="114" t="s">
        <v>1800</v>
      </c>
      <c r="D296" s="114"/>
      <c r="E296" s="115" t="s">
        <v>1801</v>
      </c>
      <c r="F296" s="114" t="s">
        <v>1802</v>
      </c>
      <c r="G296" s="114" t="s">
        <v>1803</v>
      </c>
      <c r="H296" s="116" t="n">
        <v>1.0</v>
      </c>
      <c r="I296" s="116" t="n">
        <v>130.0</v>
      </c>
      <c r="J296" s="116" t="s">
        <v>103</v>
      </c>
      <c r="K296" s="116"/>
      <c r="L296" s="116"/>
      <c r="M296" s="116"/>
      <c r="N296" s="116"/>
      <c r="O296" s="116"/>
      <c r="P296" s="116"/>
      <c r="Q296" s="116"/>
      <c r="R296" s="116"/>
      <c r="S296" s="116"/>
      <c r="T296" s="116"/>
      <c r="U296" s="116" t="s">
        <v>104</v>
      </c>
      <c r="V296" s="118" t="s">
        <v>1804</v>
      </c>
      <c r="W296" s="116" t="s">
        <v>130</v>
      </c>
      <c r="X296" s="116" t="s">
        <v>143</v>
      </c>
      <c r="Y296" s="116" t="s">
        <v>152</v>
      </c>
      <c r="Z296" s="114">
        <f>IF(INDIRECT("Y296")="Clássico","12%",IF(INDIRECT("Y296")="Premium","17%","-"))</f>
      </c>
      <c r="AA296" s="116" t="s">
        <v>1357</v>
      </c>
      <c r="AB296" s="116" t="s">
        <v>110</v>
      </c>
      <c r="AC296" s="116" t="n">
        <v>30.0</v>
      </c>
      <c r="AD296" s="116" t="s">
        <v>111</v>
      </c>
      <c r="AE296" s="117" t="s">
        <v>112</v>
      </c>
      <c r="AF296" s="114" t="s">
        <v>132</v>
      </c>
      <c r="AG296" s="116" t="n">
        <v>30.0</v>
      </c>
      <c r="AH296" s="116" t="n">
        <v>13.0</v>
      </c>
      <c r="AI296" s="116" t="n">
        <v>15.0</v>
      </c>
      <c r="AJ296" s="116" t="n">
        <v>0.4</v>
      </c>
    </row>
    <row r="297" ht="50.0" customHeight="true">
      <c r="A297" s="114" t="s">
        <v>1805</v>
      </c>
      <c r="B297" s="114" t="s">
        <v>1806</v>
      </c>
      <c r="C297" s="114" t="s">
        <v>1807</v>
      </c>
      <c r="D297" s="114"/>
      <c r="E297" s="115" t="s">
        <v>515</v>
      </c>
      <c r="F297" s="114" t="s">
        <v>1808</v>
      </c>
      <c r="G297" s="114" t="s">
        <v>1809</v>
      </c>
      <c r="H297" s="116" t="n">
        <v>27.0</v>
      </c>
      <c r="I297" s="116" t="n">
        <v>32.0</v>
      </c>
      <c r="J297" s="116" t="s">
        <v>103</v>
      </c>
      <c r="K297" s="116" t="n">
        <v>28.0</v>
      </c>
      <c r="L297" s="116" t="n">
        <v>2.0</v>
      </c>
      <c r="M297" s="116" t="n">
        <v>27.0</v>
      </c>
      <c r="N297" s="116" t="n">
        <v>4.0</v>
      </c>
      <c r="O297" s="116"/>
      <c r="P297" s="116"/>
      <c r="Q297" s="116"/>
      <c r="R297" s="116"/>
      <c r="S297" s="116"/>
      <c r="T297" s="116"/>
      <c r="U297" s="116" t="s">
        <v>104</v>
      </c>
      <c r="V297" s="118" t="s">
        <v>1810</v>
      </c>
      <c r="W297" s="116" t="s">
        <v>106</v>
      </c>
      <c r="X297" s="116" t="s">
        <v>143</v>
      </c>
      <c r="Y297" s="116" t="s">
        <v>108</v>
      </c>
      <c r="Z297" s="114">
        <f>IF(INDIRECT("Y297")="Clássico","14%",IF(INDIRECT("Y297")="Premium","19%","-"))</f>
      </c>
      <c r="AA297" s="116" t="s">
        <v>1357</v>
      </c>
      <c r="AB297" s="116" t="s">
        <v>110</v>
      </c>
      <c r="AC297" s="116" t="n">
        <v>30.0</v>
      </c>
      <c r="AD297" s="116" t="s">
        <v>111</v>
      </c>
      <c r="AE297" s="117" t="s">
        <v>112</v>
      </c>
      <c r="AF297" s="114" t="s">
        <v>113</v>
      </c>
      <c r="AG297" s="116" t="n">
        <v>13.0</v>
      </c>
      <c r="AH297" s="116" t="n">
        <v>15.0</v>
      </c>
      <c r="AI297" s="116" t="n">
        <v>6.0</v>
      </c>
      <c r="AJ297" s="116" t="n">
        <v>0.3</v>
      </c>
    </row>
    <row r="298" ht="50.0" customHeight="true">
      <c r="A298" s="114" t="s">
        <v>1811</v>
      </c>
      <c r="B298" s="114" t="s">
        <v>1812</v>
      </c>
      <c r="C298" s="114" t="s">
        <v>1813</v>
      </c>
      <c r="D298" s="114"/>
      <c r="E298" s="115" t="s">
        <v>1814</v>
      </c>
      <c r="F298" s="114" t="s">
        <v>1815</v>
      </c>
      <c r="G298" s="114" t="s">
        <v>102</v>
      </c>
      <c r="H298" s="116" t="n">
        <v>2.0</v>
      </c>
      <c r="I298" s="116" t="n">
        <v>201.0</v>
      </c>
      <c r="J298" s="116" t="s">
        <v>103</v>
      </c>
      <c r="K298" s="116" t="n">
        <v>179.0</v>
      </c>
      <c r="L298" s="116" t="n">
        <v>2.0</v>
      </c>
      <c r="M298" s="116"/>
      <c r="N298" s="116"/>
      <c r="O298" s="116"/>
      <c r="P298" s="116"/>
      <c r="Q298" s="116"/>
      <c r="R298" s="116"/>
      <c r="S298" s="116"/>
      <c r="T298" s="116"/>
      <c r="U298" s="114" t="s">
        <v>104</v>
      </c>
      <c r="V298" s="114" t="s">
        <v>1816</v>
      </c>
      <c r="W298" s="116" t="s">
        <v>130</v>
      </c>
      <c r="X298" s="116" t="s">
        <v>143</v>
      </c>
      <c r="Y298" s="116" t="s">
        <v>108</v>
      </c>
      <c r="Z298" s="114">
        <f>IF(INDIRECT("Y298")="Clássico","11.5%",IF(INDIRECT("Y298")="Premium","16.5%","-"))</f>
      </c>
      <c r="AA298" s="116" t="s">
        <v>1357</v>
      </c>
      <c r="AB298" s="116" t="s">
        <v>110</v>
      </c>
      <c r="AC298" s="116" t="n">
        <v>30.0</v>
      </c>
      <c r="AD298" s="116" t="s">
        <v>111</v>
      </c>
      <c r="AE298" s="117" t="s">
        <v>112</v>
      </c>
      <c r="AF298" s="114" t="s">
        <v>1817</v>
      </c>
      <c r="AG298" s="116" t="n">
        <v>8.0</v>
      </c>
      <c r="AH298" s="116" t="n">
        <v>53.0</v>
      </c>
      <c r="AI298" s="116" t="n">
        <v>23.0</v>
      </c>
      <c r="AJ298" s="116" t="n">
        <v>2.0</v>
      </c>
    </row>
    <row r="299" ht="50.0" customHeight="true">
      <c r="A299" s="114" t="s">
        <v>1818</v>
      </c>
      <c r="B299" s="114" t="s">
        <v>1819</v>
      </c>
      <c r="C299" s="114" t="s">
        <v>1820</v>
      </c>
      <c r="D299" s="114"/>
      <c r="E299" s="115" t="s">
        <v>1176</v>
      </c>
      <c r="F299" s="114" t="s">
        <v>1821</v>
      </c>
      <c r="G299" s="114" t="s">
        <v>1821</v>
      </c>
      <c r="H299" s="116" t="n">
        <v>0.0</v>
      </c>
      <c r="I299" s="116" t="n">
        <v>630.0</v>
      </c>
      <c r="J299" s="116" t="s">
        <v>103</v>
      </c>
      <c r="K299" s="116"/>
      <c r="L299" s="116"/>
      <c r="M299" s="116"/>
      <c r="N299" s="116"/>
      <c r="O299" s="116"/>
      <c r="P299" s="116"/>
      <c r="Q299" s="116"/>
      <c r="R299" s="116"/>
      <c r="S299" s="116"/>
      <c r="T299" s="116"/>
      <c r="U299" s="116" t="s">
        <v>104</v>
      </c>
      <c r="V299" s="118" t="s">
        <v>1822</v>
      </c>
      <c r="W299" s="116" t="s">
        <v>130</v>
      </c>
      <c r="X299" s="116" t="s">
        <v>143</v>
      </c>
      <c r="Y299" s="116" t="s">
        <v>108</v>
      </c>
      <c r="Z299" s="114">
        <f>IF(INDIRECT("Y299")="Clássico","12%",IF(INDIRECT("Y299")="Premium","17%","-"))</f>
      </c>
      <c r="AA299" s="116" t="s">
        <v>1357</v>
      </c>
      <c r="AB299" s="116" t="s">
        <v>110</v>
      </c>
      <c r="AC299" s="116" t="n">
        <v>30.0</v>
      </c>
      <c r="AD299" s="116" t="s">
        <v>111</v>
      </c>
      <c r="AE299" s="117" t="s">
        <v>112</v>
      </c>
      <c r="AF299" s="114" t="s">
        <v>543</v>
      </c>
      <c r="AG299" s="116" t="n">
        <v>6.0</v>
      </c>
      <c r="AH299" s="116" t="n">
        <v>17.0</v>
      </c>
      <c r="AI299" s="116" t="n">
        <v>16.0</v>
      </c>
      <c r="AJ299" s="116" t="n">
        <v>4.3</v>
      </c>
    </row>
    <row r="300" ht="50.0" customHeight="true">
      <c r="A300" s="114" t="s">
        <v>1823</v>
      </c>
      <c r="B300" s="114" t="s">
        <v>1824</v>
      </c>
      <c r="C300" s="114" t="s">
        <v>1825</v>
      </c>
      <c r="D300" s="114"/>
      <c r="E300" s="115" t="s">
        <v>1826</v>
      </c>
      <c r="F300" s="114" t="s">
        <v>1827</v>
      </c>
      <c r="G300" s="114" t="s">
        <v>1827</v>
      </c>
      <c r="H300" s="116" t="n">
        <v>1.0</v>
      </c>
      <c r="I300" s="116" t="n">
        <v>19.9</v>
      </c>
      <c r="J300" s="116" t="s">
        <v>103</v>
      </c>
      <c r="K300" s="116"/>
      <c r="L300" s="116"/>
      <c r="M300" s="116"/>
      <c r="N300" s="116"/>
      <c r="O300" s="116"/>
      <c r="P300" s="116"/>
      <c r="Q300" s="116"/>
      <c r="R300" s="116"/>
      <c r="S300" s="116"/>
      <c r="T300" s="116"/>
      <c r="U300" s="116" t="s">
        <v>104</v>
      </c>
      <c r="V300" s="118" t="s">
        <v>433</v>
      </c>
      <c r="W300" s="116" t="s">
        <v>106</v>
      </c>
      <c r="X300" s="116" t="s">
        <v>107</v>
      </c>
      <c r="Y300" s="116" t="s">
        <v>152</v>
      </c>
      <c r="Z300" s="114">
        <f>IF(INDIRECT("Y300")="Clássico","12%",IF(INDIRECT("Y300")="Premium","17%","-"))</f>
      </c>
      <c r="AA300" s="116" t="s">
        <v>1357</v>
      </c>
      <c r="AB300" s="116" t="s">
        <v>110</v>
      </c>
      <c r="AC300" s="116" t="n">
        <v>30.0</v>
      </c>
      <c r="AD300" s="116" t="s">
        <v>111</v>
      </c>
      <c r="AE300" s="117" t="s">
        <v>112</v>
      </c>
      <c r="AF300" s="114" t="s">
        <v>122</v>
      </c>
      <c r="AG300" s="116" t="n">
        <v>29.0</v>
      </c>
      <c r="AH300" s="116" t="n">
        <v>11.0</v>
      </c>
      <c r="AI300" s="116" t="n">
        <v>5.0</v>
      </c>
      <c r="AJ300" s="116" t="n">
        <v>0.17</v>
      </c>
    </row>
    <row r="301" ht="50.0" customHeight="true">
      <c r="A301" s="114" t="s">
        <v>1828</v>
      </c>
      <c r="B301" s="114" t="s">
        <v>1829</v>
      </c>
      <c r="C301" s="114" t="s">
        <v>1830</v>
      </c>
      <c r="D301" s="114"/>
      <c r="E301" s="115" t="s">
        <v>1831</v>
      </c>
      <c r="F301" s="114" t="s">
        <v>1832</v>
      </c>
      <c r="G301" s="114" t="s">
        <v>1832</v>
      </c>
      <c r="H301" s="116" t="n">
        <v>1.0</v>
      </c>
      <c r="I301" s="116" t="n">
        <v>19.9</v>
      </c>
      <c r="J301" s="116" t="s">
        <v>103</v>
      </c>
      <c r="K301" s="116" t="n">
        <v>19.5</v>
      </c>
      <c r="L301" s="116" t="n">
        <v>2.0</v>
      </c>
      <c r="M301" s="116"/>
      <c r="N301" s="116"/>
      <c r="O301" s="116"/>
      <c r="P301" s="116"/>
      <c r="Q301" s="116"/>
      <c r="R301" s="116"/>
      <c r="S301" s="116"/>
      <c r="T301" s="116"/>
      <c r="U301" s="116" t="s">
        <v>104</v>
      </c>
      <c r="V301" s="118" t="s">
        <v>433</v>
      </c>
      <c r="W301" s="116" t="s">
        <v>106</v>
      </c>
      <c r="X301" s="116" t="s">
        <v>143</v>
      </c>
      <c r="Y301" s="116" t="s">
        <v>108</v>
      </c>
      <c r="Z301" s="114">
        <f>IF(INDIRECT("Y301")="Clássico","12%",IF(INDIRECT("Y301")="Premium","17%","-"))</f>
      </c>
      <c r="AA301" s="116" t="s">
        <v>1357</v>
      </c>
      <c r="AB301" s="116" t="s">
        <v>110</v>
      </c>
      <c r="AC301" s="116" t="n">
        <v>3.0</v>
      </c>
      <c r="AD301" s="116" t="s">
        <v>121</v>
      </c>
      <c r="AE301" s="117" t="s">
        <v>112</v>
      </c>
      <c r="AF301" s="114" t="s">
        <v>658</v>
      </c>
      <c r="AG301" s="116" t="n">
        <v>20.0</v>
      </c>
      <c r="AH301" s="116" t="n">
        <v>19.0</v>
      </c>
      <c r="AI301" s="116" t="n">
        <v>4.0</v>
      </c>
      <c r="AJ301" s="116" t="n">
        <v>0.21</v>
      </c>
    </row>
    <row r="302" ht="50.0" customHeight="true">
      <c r="A302" s="114" t="s">
        <v>1833</v>
      </c>
      <c r="B302" s="114" t="s">
        <v>1834</v>
      </c>
      <c r="C302" s="114" t="s">
        <v>1835</v>
      </c>
      <c r="D302" s="114"/>
      <c r="E302" s="115"/>
      <c r="F302" s="114" t="s">
        <v>1836</v>
      </c>
      <c r="G302" s="114" t="s">
        <v>128</v>
      </c>
      <c r="H302" s="116" t="n">
        <v>0.0</v>
      </c>
      <c r="I302" s="116" t="n">
        <v>24.9</v>
      </c>
      <c r="J302" s="116" t="s">
        <v>103</v>
      </c>
      <c r="K302" s="116"/>
      <c r="L302" s="116"/>
      <c r="M302" s="116"/>
      <c r="N302" s="116"/>
      <c r="O302" s="116"/>
      <c r="P302" s="116"/>
      <c r="Q302" s="116"/>
      <c r="R302" s="116"/>
      <c r="S302" s="116"/>
      <c r="T302" s="116"/>
      <c r="U302" s="116" t="s">
        <v>104</v>
      </c>
      <c r="V302" s="118" t="s">
        <v>1837</v>
      </c>
      <c r="W302" s="116" t="s">
        <v>106</v>
      </c>
      <c r="X302" s="116" t="s">
        <v>143</v>
      </c>
      <c r="Y302" s="116" t="s">
        <v>108</v>
      </c>
      <c r="Z302" s="114">
        <f>IF(INDIRECT("Y302")="Clássico","11.5%",IF(INDIRECT("Y302")="Premium","16.5%","-"))</f>
      </c>
      <c r="AA302" s="116" t="s">
        <v>1357</v>
      </c>
      <c r="AB302" s="116" t="s">
        <v>120</v>
      </c>
      <c r="AC302" s="116" t="n">
        <v>3.0</v>
      </c>
      <c r="AD302" s="116" t="s">
        <v>121</v>
      </c>
      <c r="AE302" s="117" t="s">
        <v>112</v>
      </c>
      <c r="AF302" s="114" t="s">
        <v>1838</v>
      </c>
      <c r="AG302" s="116" t="n">
        <v>25.0</v>
      </c>
      <c r="AH302" s="116" t="n">
        <v>16.0</v>
      </c>
      <c r="AI302" s="116" t="n">
        <v>5.0</v>
      </c>
      <c r="AJ302" s="116" t="n">
        <v>0.18</v>
      </c>
    </row>
    <row r="303" ht="50.0" customHeight="true">
      <c r="A303" s="114" t="s">
        <v>1839</v>
      </c>
      <c r="B303" s="114" t="s">
        <v>1840</v>
      </c>
      <c r="C303" s="114" t="s">
        <v>1841</v>
      </c>
      <c r="D303" s="114"/>
      <c r="E303" s="115" t="s">
        <v>1842</v>
      </c>
      <c r="F303" s="114" t="s">
        <v>1843</v>
      </c>
      <c r="G303" s="114" t="s">
        <v>574</v>
      </c>
      <c r="H303" s="116" t="n">
        <v>48.0</v>
      </c>
      <c r="I303" s="116" t="n">
        <v>63.0</v>
      </c>
      <c r="J303" s="116" t="s">
        <v>103</v>
      </c>
      <c r="K303" s="116" t="n">
        <v>50.0</v>
      </c>
      <c r="L303" s="116" t="n">
        <v>5.0</v>
      </c>
      <c r="M303" s="116" t="n">
        <v>48.0</v>
      </c>
      <c r="N303" s="116" t="n">
        <v>10.0</v>
      </c>
      <c r="O303" s="116"/>
      <c r="P303" s="116"/>
      <c r="Q303" s="116"/>
      <c r="R303" s="116"/>
      <c r="S303" s="116"/>
      <c r="T303" s="116"/>
      <c r="U303" s="116" t="s">
        <v>104</v>
      </c>
      <c r="V303" s="118" t="s">
        <v>1844</v>
      </c>
      <c r="W303" s="116" t="s">
        <v>106</v>
      </c>
      <c r="X303" s="116" t="s">
        <v>143</v>
      </c>
      <c r="Y303" s="116" t="s">
        <v>152</v>
      </c>
      <c r="Z303" s="114">
        <f>IF(INDIRECT("Y303")="Clássico","12.5%",IF(INDIRECT("Y303")="Premium","17.5%","-"))</f>
      </c>
      <c r="AA303" s="116" t="s">
        <v>1357</v>
      </c>
      <c r="AB303" s="116" t="s">
        <v>110</v>
      </c>
      <c r="AC303" s="116" t="n">
        <v>30.0</v>
      </c>
      <c r="AD303" s="116" t="s">
        <v>111</v>
      </c>
      <c r="AE303" s="117" t="s">
        <v>112</v>
      </c>
      <c r="AF303" s="114" t="s">
        <v>280</v>
      </c>
      <c r="AG303" s="116" t="n">
        <v>35.0</v>
      </c>
      <c r="AH303" s="116" t="n">
        <v>27.0</v>
      </c>
      <c r="AI303" s="116" t="n">
        <v>10.0</v>
      </c>
      <c r="AJ303" s="116" t="n">
        <v>1.5</v>
      </c>
    </row>
    <row r="304" ht="50.0" customHeight="true">
      <c r="A304" s="114" t="s">
        <v>1845</v>
      </c>
      <c r="B304" s="114" t="s">
        <v>1846</v>
      </c>
      <c r="C304" s="114" t="s">
        <v>1847</v>
      </c>
      <c r="D304" s="114"/>
      <c r="E304" s="115" t="s">
        <v>1848</v>
      </c>
      <c r="F304" s="114" t="s">
        <v>1849</v>
      </c>
      <c r="G304" s="114" t="s">
        <v>1849</v>
      </c>
      <c r="H304" s="116" t="n">
        <v>0.0</v>
      </c>
      <c r="I304" s="116" t="n">
        <v>142.0</v>
      </c>
      <c r="J304" s="116" t="s">
        <v>103</v>
      </c>
      <c r="K304" s="116"/>
      <c r="L304" s="116"/>
      <c r="M304" s="116"/>
      <c r="N304" s="116"/>
      <c r="O304" s="116"/>
      <c r="P304" s="116"/>
      <c r="Q304" s="116"/>
      <c r="R304" s="116"/>
      <c r="S304" s="116"/>
      <c r="T304" s="116"/>
      <c r="U304" s="114" t="s">
        <v>104</v>
      </c>
      <c r="V304" s="118" t="s">
        <v>1850</v>
      </c>
      <c r="W304" s="116" t="s">
        <v>130</v>
      </c>
      <c r="X304" s="116" t="s">
        <v>143</v>
      </c>
      <c r="Y304" s="116" t="s">
        <v>108</v>
      </c>
      <c r="Z304" s="114">
        <f>IF(INDIRECT("Y304")="Clássico","12%",IF(INDIRECT("Y304")="Premium","17%","-"))</f>
      </c>
      <c r="AA304" s="116" t="s">
        <v>1357</v>
      </c>
      <c r="AB304" s="116" t="s">
        <v>110</v>
      </c>
      <c r="AC304" s="116" t="n">
        <v>30.0</v>
      </c>
      <c r="AD304" s="116" t="s">
        <v>111</v>
      </c>
      <c r="AE304" s="117" t="s">
        <v>112</v>
      </c>
      <c r="AF304" s="114" t="s">
        <v>1851</v>
      </c>
      <c r="AG304" s="116" t="n">
        <v>22.0</v>
      </c>
      <c r="AH304" s="116" t="n">
        <v>14.0</v>
      </c>
      <c r="AI304" s="116" t="n">
        <v>14.0</v>
      </c>
      <c r="AJ304" s="116" t="n">
        <v>0.86</v>
      </c>
    </row>
    <row r="305" ht="50.0" customHeight="true">
      <c r="A305" s="114" t="s">
        <v>1852</v>
      </c>
      <c r="B305" s="114" t="s">
        <v>1853</v>
      </c>
      <c r="C305" s="114" t="s">
        <v>1854</v>
      </c>
      <c r="D305" s="114"/>
      <c r="E305" s="115" t="s">
        <v>1855</v>
      </c>
      <c r="F305" s="114" t="s">
        <v>1856</v>
      </c>
      <c r="G305" s="114" t="s">
        <v>1856</v>
      </c>
      <c r="H305" s="116" t="n">
        <v>1.0</v>
      </c>
      <c r="I305" s="116" t="n">
        <v>670.0</v>
      </c>
      <c r="J305" s="116" t="s">
        <v>103</v>
      </c>
      <c r="K305" s="116"/>
      <c r="L305" s="116"/>
      <c r="M305" s="116"/>
      <c r="N305" s="116"/>
      <c r="O305" s="116"/>
      <c r="P305" s="116"/>
      <c r="Q305" s="116"/>
      <c r="R305" s="116"/>
      <c r="S305" s="116"/>
      <c r="T305" s="116"/>
      <c r="U305" s="116" t="s">
        <v>104</v>
      </c>
      <c r="V305" s="118" t="s">
        <v>1857</v>
      </c>
      <c r="W305" s="116" t="s">
        <v>130</v>
      </c>
      <c r="X305" s="116" t="s">
        <v>107</v>
      </c>
      <c r="Y305" s="116" t="s">
        <v>108</v>
      </c>
      <c r="Z305" s="114">
        <f>IF(INDIRECT("Y305")="Clássico","10%",IF(INDIRECT("Y305")="Premium","15%","-"))</f>
      </c>
      <c r="AA305" s="116" t="s">
        <v>1357</v>
      </c>
      <c r="AB305" s="116" t="s">
        <v>686</v>
      </c>
      <c r="AC305" s="116" t="n">
        <v>0.0</v>
      </c>
      <c r="AD305" s="116" t="s">
        <v>22</v>
      </c>
      <c r="AE305" s="117" t="s">
        <v>112</v>
      </c>
      <c r="AF305" s="114" t="s">
        <v>1858</v>
      </c>
      <c r="AG305" s="116" t="n">
        <v>38.0</v>
      </c>
      <c r="AH305" s="116" t="n">
        <v>27.0</v>
      </c>
      <c r="AI305" s="116" t="n">
        <v>18.0</v>
      </c>
      <c r="AJ305" s="116" t="n">
        <v>2.95</v>
      </c>
    </row>
    <row r="306" ht="50.0" customHeight="true">
      <c r="A306" s="114" t="s">
        <v>1859</v>
      </c>
      <c r="B306" s="114" t="s">
        <v>1860</v>
      </c>
      <c r="C306" s="114" t="s">
        <v>1861</v>
      </c>
      <c r="D306" s="114"/>
      <c r="E306" s="115" t="s">
        <v>1862</v>
      </c>
      <c r="F306" s="114" t="s">
        <v>1863</v>
      </c>
      <c r="G306" s="114" t="s">
        <v>1863</v>
      </c>
      <c r="H306" s="116" t="n">
        <v>0.0</v>
      </c>
      <c r="I306" s="116" t="n">
        <v>19.9</v>
      </c>
      <c r="J306" s="116" t="s">
        <v>103</v>
      </c>
      <c r="K306" s="116"/>
      <c r="L306" s="116"/>
      <c r="M306" s="116"/>
      <c r="N306" s="116"/>
      <c r="O306" s="116"/>
      <c r="P306" s="116"/>
      <c r="Q306" s="116"/>
      <c r="R306" s="116"/>
      <c r="S306" s="116"/>
      <c r="T306" s="116"/>
      <c r="U306" s="116" t="s">
        <v>104</v>
      </c>
      <c r="V306" s="118" t="s">
        <v>433</v>
      </c>
      <c r="W306" s="116" t="s">
        <v>106</v>
      </c>
      <c r="X306" s="116" t="s">
        <v>143</v>
      </c>
      <c r="Y306" s="116" t="s">
        <v>152</v>
      </c>
      <c r="Z306" s="114">
        <f>IF(INDIRECT("Y306")="Clássico","12%",IF(INDIRECT("Y306")="Premium","17%","-"))</f>
      </c>
      <c r="AA306" s="116" t="s">
        <v>1357</v>
      </c>
      <c r="AB306" s="116" t="s">
        <v>110</v>
      </c>
      <c r="AC306" s="116" t="n">
        <v>3.0</v>
      </c>
      <c r="AD306" s="116" t="s">
        <v>121</v>
      </c>
      <c r="AE306" s="117" t="s">
        <v>112</v>
      </c>
      <c r="AF306" s="114" t="s">
        <v>122</v>
      </c>
      <c r="AG306" s="116" t="n">
        <v>25.0</v>
      </c>
      <c r="AH306" s="116" t="n">
        <v>21.0</v>
      </c>
      <c r="AI306" s="116" t="n">
        <v>3.0</v>
      </c>
      <c r="AJ306" s="116" t="n">
        <v>0.17</v>
      </c>
    </row>
    <row r="307" ht="50.0" customHeight="true">
      <c r="A307" s="114" t="s">
        <v>1864</v>
      </c>
      <c r="B307" s="114" t="s">
        <v>1865</v>
      </c>
      <c r="C307" s="114" t="s">
        <v>1866</v>
      </c>
      <c r="D307" s="114"/>
      <c r="E307" s="115" t="s">
        <v>1867</v>
      </c>
      <c r="F307" s="114" t="s">
        <v>1868</v>
      </c>
      <c r="G307" s="114" t="s">
        <v>128</v>
      </c>
      <c r="H307" s="116" t="n">
        <v>1.0</v>
      </c>
      <c r="I307" s="116" t="n">
        <v>199.0</v>
      </c>
      <c r="J307" s="116" t="s">
        <v>103</v>
      </c>
      <c r="K307" s="116"/>
      <c r="L307" s="116"/>
      <c r="M307" s="116"/>
      <c r="N307" s="116"/>
      <c r="O307" s="116"/>
      <c r="P307" s="116"/>
      <c r="Q307" s="116"/>
      <c r="R307" s="116"/>
      <c r="S307" s="116"/>
      <c r="T307" s="116"/>
      <c r="U307" s="116" t="s">
        <v>104</v>
      </c>
      <c r="V307" s="118" t="s">
        <v>1869</v>
      </c>
      <c r="W307" s="116" t="s">
        <v>130</v>
      </c>
      <c r="X307" s="116" t="s">
        <v>107</v>
      </c>
      <c r="Y307" s="116" t="s">
        <v>108</v>
      </c>
      <c r="Z307" s="114">
        <f>IF(INDIRECT("Y307")="Clássico","12%",IF(INDIRECT("Y307")="Premium","17%","-"))</f>
      </c>
      <c r="AA307" s="116" t="s">
        <v>1357</v>
      </c>
      <c r="AB307" s="116" t="s">
        <v>110</v>
      </c>
      <c r="AC307" s="116" t="n">
        <v>30.0</v>
      </c>
      <c r="AD307" s="116" t="s">
        <v>111</v>
      </c>
      <c r="AE307" s="117" t="s">
        <v>112</v>
      </c>
      <c r="AF307" s="114" t="s">
        <v>132</v>
      </c>
      <c r="AG307" s="116" t="n">
        <v>39.0</v>
      </c>
      <c r="AH307" s="116" t="n">
        <v>31.0</v>
      </c>
      <c r="AI307" s="116" t="n">
        <v>20.0</v>
      </c>
      <c r="AJ307" s="116" t="n">
        <v>2.03</v>
      </c>
    </row>
    <row r="308" ht="50.0" customHeight="true">
      <c r="A308" s="114" t="s">
        <v>1870</v>
      </c>
      <c r="B308" s="114" t="s">
        <v>1871</v>
      </c>
      <c r="C308" s="114" t="s">
        <v>1872</v>
      </c>
      <c r="D308" s="114"/>
      <c r="E308" s="115" t="s">
        <v>1873</v>
      </c>
      <c r="F308" s="114" t="s">
        <v>1874</v>
      </c>
      <c r="G308" s="114" t="s">
        <v>1875</v>
      </c>
      <c r="H308" s="116" t="n">
        <v>0.0</v>
      </c>
      <c r="I308" s="116" t="n">
        <v>2099.0</v>
      </c>
      <c r="J308" s="116" t="s">
        <v>103</v>
      </c>
      <c r="K308" s="116" t="n">
        <v>1200.0</v>
      </c>
      <c r="L308" s="116" t="n">
        <v>2.0</v>
      </c>
      <c r="M308" s="116"/>
      <c r="N308" s="116"/>
      <c r="O308" s="116"/>
      <c r="P308" s="116"/>
      <c r="Q308" s="116"/>
      <c r="R308" s="116"/>
      <c r="S308" s="116"/>
      <c r="T308" s="116"/>
      <c r="U308" s="116" t="s">
        <v>104</v>
      </c>
      <c r="V308" s="118" t="s">
        <v>1876</v>
      </c>
      <c r="W308" s="116" t="s">
        <v>130</v>
      </c>
      <c r="X308" s="116" t="s">
        <v>107</v>
      </c>
      <c r="Y308" s="116" t="s">
        <v>152</v>
      </c>
      <c r="Z308" s="114">
        <f>IF(INDIRECT("Y308")="Clássico","13%",IF(INDIRECT("Y308")="Premium","18%","-"))</f>
      </c>
      <c r="AA308" s="116" t="s">
        <v>1357</v>
      </c>
      <c r="AB308" s="116" t="s">
        <v>110</v>
      </c>
      <c r="AC308" s="116" t="n">
        <v>30.0</v>
      </c>
      <c r="AD308" s="116" t="s">
        <v>111</v>
      </c>
      <c r="AE308" s="117" t="s">
        <v>112</v>
      </c>
      <c r="AF308" s="114" t="s">
        <v>1877</v>
      </c>
      <c r="AG308" s="116" t="n">
        <v>63.0</v>
      </c>
      <c r="AH308" s="116" t="n">
        <v>39.0</v>
      </c>
      <c r="AI308" s="116" t="n">
        <v>25.0</v>
      </c>
      <c r="AJ308" s="116" t="n">
        <v>1.68</v>
      </c>
    </row>
    <row r="309" ht="50.0" customHeight="true">
      <c r="A309" s="114" t="s">
        <v>1878</v>
      </c>
      <c r="B309" s="114" t="s">
        <v>1879</v>
      </c>
      <c r="C309" s="114" t="s">
        <v>1880</v>
      </c>
      <c r="D309" s="114"/>
      <c r="E309" s="115" t="s">
        <v>1881</v>
      </c>
      <c r="F309" s="114" t="s">
        <v>1882</v>
      </c>
      <c r="G309" s="114" t="s">
        <v>254</v>
      </c>
      <c r="H309" s="116" t="n">
        <v>0.0</v>
      </c>
      <c r="I309" s="116" t="n">
        <v>150.0</v>
      </c>
      <c r="J309" s="116" t="s">
        <v>103</v>
      </c>
      <c r="K309" s="116"/>
      <c r="L309" s="116"/>
      <c r="M309" s="116"/>
      <c r="N309" s="116"/>
      <c r="O309" s="116"/>
      <c r="P309" s="116"/>
      <c r="Q309" s="116"/>
      <c r="R309" s="116"/>
      <c r="S309" s="116"/>
      <c r="T309" s="116"/>
      <c r="U309" s="116" t="s">
        <v>104</v>
      </c>
      <c r="V309" s="118" t="s">
        <v>1883</v>
      </c>
      <c r="W309" s="116" t="s">
        <v>130</v>
      </c>
      <c r="X309" s="116" t="s">
        <v>107</v>
      </c>
      <c r="Y309" s="116" t="s">
        <v>152</v>
      </c>
      <c r="Z309" s="114">
        <f>IF(INDIRECT("Y309")="Clássico","11.5%",IF(INDIRECT("Y309")="Premium","16.5%","-"))</f>
      </c>
      <c r="AA309" s="116" t="s">
        <v>1357</v>
      </c>
      <c r="AB309" s="116" t="s">
        <v>110</v>
      </c>
      <c r="AC309" s="116" t="n">
        <v>30.0</v>
      </c>
      <c r="AD309" s="116" t="s">
        <v>111</v>
      </c>
      <c r="AE309" s="117" t="s">
        <v>112</v>
      </c>
      <c r="AF309" s="114" t="s">
        <v>1776</v>
      </c>
      <c r="AG309" s="116" t="n">
        <v>18.0</v>
      </c>
      <c r="AH309" s="116" t="n">
        <v>22.0</v>
      </c>
      <c r="AI309" s="116" t="n">
        <v>22.0</v>
      </c>
      <c r="AJ309" s="116" t="n">
        <v>5.0</v>
      </c>
    </row>
    <row r="310" ht="50.0" customHeight="true">
      <c r="A310" s="114" t="s">
        <v>1884</v>
      </c>
      <c r="B310" s="114" t="s">
        <v>1885</v>
      </c>
      <c r="C310" s="114" t="s">
        <v>1886</v>
      </c>
      <c r="D310" s="114"/>
      <c r="E310" s="115" t="s">
        <v>553</v>
      </c>
      <c r="F310" s="114" t="s">
        <v>1887</v>
      </c>
      <c r="G310" s="114" t="s">
        <v>192</v>
      </c>
      <c r="H310" s="116" t="n">
        <v>0.0</v>
      </c>
      <c r="I310" s="116" t="n">
        <v>64.0</v>
      </c>
      <c r="J310" s="116" t="s">
        <v>103</v>
      </c>
      <c r="K310" s="116"/>
      <c r="L310" s="116"/>
      <c r="M310" s="116"/>
      <c r="N310" s="116"/>
      <c r="O310" s="116"/>
      <c r="P310" s="116"/>
      <c r="Q310" s="116"/>
      <c r="R310" s="116"/>
      <c r="S310" s="116"/>
      <c r="T310" s="116"/>
      <c r="U310" s="116" t="s">
        <v>104</v>
      </c>
      <c r="V310" s="118" t="s">
        <v>1888</v>
      </c>
      <c r="W310" s="116" t="s">
        <v>106</v>
      </c>
      <c r="X310" s="116" t="s">
        <v>143</v>
      </c>
      <c r="Y310" s="116" t="s">
        <v>152</v>
      </c>
      <c r="Z310" s="114">
        <f>IF(INDIRECT("Y310")="Clássico","12%",IF(INDIRECT("Y310")="Premium","17%","-"))</f>
      </c>
      <c r="AA310" s="116" t="s">
        <v>1357</v>
      </c>
      <c r="AB310" s="116" t="s">
        <v>110</v>
      </c>
      <c r="AC310" s="116" t="n">
        <v>3.0</v>
      </c>
      <c r="AD310" s="116" t="s">
        <v>121</v>
      </c>
      <c r="AE310" s="117" t="s">
        <v>112</v>
      </c>
      <c r="AF310" s="114" t="s">
        <v>144</v>
      </c>
      <c r="AG310" s="116"/>
      <c r="AH310" s="116"/>
      <c r="AI310" s="116"/>
      <c r="AJ310" s="116"/>
    </row>
    <row r="311" ht="50.0" customHeight="true">
      <c r="A311" s="114" t="s">
        <v>1889</v>
      </c>
      <c r="B311" s="114" t="s">
        <v>1890</v>
      </c>
      <c r="C311" s="114" t="s">
        <v>1891</v>
      </c>
      <c r="D311" s="114"/>
      <c r="E311" s="115" t="s">
        <v>1892</v>
      </c>
      <c r="F311" s="114" t="s">
        <v>1893</v>
      </c>
      <c r="G311" s="114" t="s">
        <v>176</v>
      </c>
      <c r="H311" s="116" t="n">
        <v>0.0</v>
      </c>
      <c r="I311" s="116" t="n">
        <v>190.0</v>
      </c>
      <c r="J311" s="116" t="s">
        <v>103</v>
      </c>
      <c r="K311" s="116"/>
      <c r="L311" s="116"/>
      <c r="M311" s="116"/>
      <c r="N311" s="116"/>
      <c r="O311" s="116"/>
      <c r="P311" s="116"/>
      <c r="Q311" s="116"/>
      <c r="R311" s="116"/>
      <c r="S311" s="116"/>
      <c r="T311" s="116"/>
      <c r="U311" s="116" t="s">
        <v>104</v>
      </c>
      <c r="V311" s="118" t="s">
        <v>1894</v>
      </c>
      <c r="W311" s="116" t="s">
        <v>130</v>
      </c>
      <c r="X311" s="116" t="s">
        <v>143</v>
      </c>
      <c r="Y311" s="116" t="s">
        <v>108</v>
      </c>
      <c r="Z311" s="114">
        <f>IF(INDIRECT("Y311")="Clássico","11.5%",IF(INDIRECT("Y311")="Premium","16.5%","-"))</f>
      </c>
      <c r="AA311" s="116" t="s">
        <v>1357</v>
      </c>
      <c r="AB311" s="116" t="s">
        <v>110</v>
      </c>
      <c r="AC311" s="116" t="n">
        <v>30.0</v>
      </c>
      <c r="AD311" s="116" t="s">
        <v>111</v>
      </c>
      <c r="AE311" s="117" t="s">
        <v>112</v>
      </c>
      <c r="AF311" s="114" t="s">
        <v>1895</v>
      </c>
      <c r="AG311" s="116" t="n">
        <v>32.0</v>
      </c>
      <c r="AH311" s="116" t="n">
        <v>25.0</v>
      </c>
      <c r="AI311" s="116" t="n">
        <v>7.0</v>
      </c>
      <c r="AJ311" s="116" t="n">
        <v>0.59</v>
      </c>
    </row>
    <row r="312" ht="50.0" customHeight="true">
      <c r="A312" s="114" t="s">
        <v>1896</v>
      </c>
      <c r="B312" s="114" t="s">
        <v>1897</v>
      </c>
      <c r="C312" s="114" t="s">
        <v>1898</v>
      </c>
      <c r="D312" s="114"/>
      <c r="E312" s="115" t="s">
        <v>1899</v>
      </c>
      <c r="F312" s="114" t="s">
        <v>1900</v>
      </c>
      <c r="G312" s="114" t="s">
        <v>1900</v>
      </c>
      <c r="H312" s="116" t="n">
        <v>0.0</v>
      </c>
      <c r="I312" s="116" t="n">
        <v>99.9</v>
      </c>
      <c r="J312" s="116" t="s">
        <v>103</v>
      </c>
      <c r="K312" s="116"/>
      <c r="L312" s="116"/>
      <c r="M312" s="116"/>
      <c r="N312" s="116"/>
      <c r="O312" s="116"/>
      <c r="P312" s="116"/>
      <c r="Q312" s="116"/>
      <c r="R312" s="116"/>
      <c r="S312" s="116"/>
      <c r="T312" s="116"/>
      <c r="U312" s="114" t="s">
        <v>104</v>
      </c>
      <c r="V312" s="118" t="s">
        <v>1901</v>
      </c>
      <c r="W312" s="116" t="s">
        <v>130</v>
      </c>
      <c r="X312" s="116" t="s">
        <v>143</v>
      </c>
      <c r="Y312" s="116" t="s">
        <v>152</v>
      </c>
      <c r="Z312" s="114">
        <f>IF(INDIRECT("Y312")="Clássico","12%",IF(INDIRECT("Y312")="Premium","17%","-"))</f>
      </c>
      <c r="AA312" s="116" t="s">
        <v>1357</v>
      </c>
      <c r="AB312" s="116" t="s">
        <v>110</v>
      </c>
      <c r="AC312" s="116" t="n">
        <v>30.0</v>
      </c>
      <c r="AD312" s="116" t="s">
        <v>111</v>
      </c>
      <c r="AE312" s="117" t="s">
        <v>112</v>
      </c>
      <c r="AF312" s="114" t="s">
        <v>1851</v>
      </c>
      <c r="AG312" s="116" t="n">
        <v>26.0</v>
      </c>
      <c r="AH312" s="116" t="n">
        <v>15.0</v>
      </c>
      <c r="AI312" s="116" t="n">
        <v>14.0</v>
      </c>
      <c r="AJ312" s="116" t="n">
        <v>0.74</v>
      </c>
    </row>
    <row r="313" ht="50.0" customHeight="true">
      <c r="A313" s="114" t="s">
        <v>1902</v>
      </c>
      <c r="B313" s="114" t="s">
        <v>1903</v>
      </c>
      <c r="C313" s="114" t="s">
        <v>1904</v>
      </c>
      <c r="D313" s="114"/>
      <c r="E313" s="115"/>
      <c r="F313" s="114" t="s">
        <v>1905</v>
      </c>
      <c r="G313" s="114" t="s">
        <v>192</v>
      </c>
      <c r="H313" s="116" t="n">
        <v>3.0</v>
      </c>
      <c r="I313" s="116" t="n">
        <v>79.9</v>
      </c>
      <c r="J313" s="116" t="s">
        <v>103</v>
      </c>
      <c r="K313" s="116"/>
      <c r="L313" s="116"/>
      <c r="M313" s="116"/>
      <c r="N313" s="116"/>
      <c r="O313" s="116"/>
      <c r="P313" s="116"/>
      <c r="Q313" s="116"/>
      <c r="R313" s="116"/>
      <c r="S313" s="116"/>
      <c r="T313" s="116"/>
      <c r="U313" s="116" t="s">
        <v>104</v>
      </c>
      <c r="V313" s="118" t="s">
        <v>1906</v>
      </c>
      <c r="W313" s="116" t="s">
        <v>130</v>
      </c>
      <c r="X313" s="116" t="s">
        <v>143</v>
      </c>
      <c r="Y313" s="116" t="s">
        <v>152</v>
      </c>
      <c r="Z313" s="114">
        <f>IF(INDIRECT("Y313")="Clássico","12%",IF(INDIRECT("Y313")="Premium","17%","-"))</f>
      </c>
      <c r="AA313" s="116" t="s">
        <v>1357</v>
      </c>
      <c r="AB313" s="116" t="s">
        <v>110</v>
      </c>
      <c r="AC313" s="116" t="n">
        <v>30.0</v>
      </c>
      <c r="AD313" s="116" t="s">
        <v>111</v>
      </c>
      <c r="AE313" s="117" t="s">
        <v>112</v>
      </c>
      <c r="AF313" s="114" t="s">
        <v>144</v>
      </c>
      <c r="AG313" s="116" t="n">
        <v>19.0</v>
      </c>
      <c r="AH313" s="116" t="n">
        <v>14.0</v>
      </c>
      <c r="AI313" s="116" t="n">
        <v>13.0</v>
      </c>
      <c r="AJ313" s="116" t="n">
        <v>0.58</v>
      </c>
    </row>
    <row r="314" ht="50.0" customHeight="true">
      <c r="A314" s="114" t="s">
        <v>1907</v>
      </c>
      <c r="B314" s="114" t="s">
        <v>1908</v>
      </c>
      <c r="C314" s="114" t="s">
        <v>1909</v>
      </c>
      <c r="D314" s="114"/>
      <c r="E314" s="115" t="s">
        <v>1910</v>
      </c>
      <c r="F314" s="114" t="s">
        <v>1911</v>
      </c>
      <c r="G314" s="114" t="s">
        <v>1911</v>
      </c>
      <c r="H314" s="116" t="n">
        <v>1.0</v>
      </c>
      <c r="I314" s="116" t="n">
        <v>79.9</v>
      </c>
      <c r="J314" s="116" t="s">
        <v>103</v>
      </c>
      <c r="K314" s="116" t="n">
        <v>50.0</v>
      </c>
      <c r="L314" s="116" t="n">
        <v>2.0</v>
      </c>
      <c r="M314" s="116"/>
      <c r="N314" s="116"/>
      <c r="O314" s="116"/>
      <c r="P314" s="116"/>
      <c r="Q314" s="116"/>
      <c r="R314" s="116"/>
      <c r="S314" s="116"/>
      <c r="T314" s="116"/>
      <c r="U314" s="116" t="s">
        <v>104</v>
      </c>
      <c r="V314" s="118" t="s">
        <v>1912</v>
      </c>
      <c r="W314" s="116" t="s">
        <v>130</v>
      </c>
      <c r="X314" s="116" t="s">
        <v>107</v>
      </c>
      <c r="Y314" s="116" t="s">
        <v>152</v>
      </c>
      <c r="Z314" s="114">
        <f>IF(INDIRECT("Y314")="Clássico","11%",IF(INDIRECT("Y314")="Premium","16%","-"))</f>
      </c>
      <c r="AA314" s="116" t="s">
        <v>1357</v>
      </c>
      <c r="AB314" s="116" t="s">
        <v>110</v>
      </c>
      <c r="AC314" s="116" t="n">
        <v>30.0</v>
      </c>
      <c r="AD314" s="116" t="s">
        <v>111</v>
      </c>
      <c r="AE314" s="117" t="s">
        <v>112</v>
      </c>
      <c r="AF314" s="114" t="s">
        <v>1638</v>
      </c>
      <c r="AG314" s="116" t="n">
        <v>13.0</v>
      </c>
      <c r="AH314" s="116" t="n">
        <v>11.0</v>
      </c>
      <c r="AI314" s="116" t="n">
        <v>3.0</v>
      </c>
      <c r="AJ314" s="116" t="n">
        <v>0.18</v>
      </c>
    </row>
    <row r="315" ht="50.0" customHeight="true">
      <c r="A315" s="114" t="s">
        <v>1913</v>
      </c>
      <c r="B315" s="114" t="s">
        <v>1914</v>
      </c>
      <c r="C315" s="114" t="s">
        <v>1915</v>
      </c>
      <c r="D315" s="114"/>
      <c r="E315" s="115" t="s">
        <v>1916</v>
      </c>
      <c r="F315" s="114" t="s">
        <v>1917</v>
      </c>
      <c r="G315" s="114" t="s">
        <v>192</v>
      </c>
      <c r="H315" s="116" t="n">
        <v>2.0</v>
      </c>
      <c r="I315" s="116" t="n">
        <v>115.0</v>
      </c>
      <c r="J315" s="116" t="s">
        <v>103</v>
      </c>
      <c r="K315" s="116" t="n">
        <v>70.0</v>
      </c>
      <c r="L315" s="116" t="n">
        <v>2.0</v>
      </c>
      <c r="M315" s="116"/>
      <c r="N315" s="116"/>
      <c r="O315" s="116"/>
      <c r="P315" s="116"/>
      <c r="Q315" s="116"/>
      <c r="R315" s="116"/>
      <c r="S315" s="116"/>
      <c r="T315" s="116"/>
      <c r="U315" s="116" t="s">
        <v>104</v>
      </c>
      <c r="V315" s="118" t="s">
        <v>1918</v>
      </c>
      <c r="W315" s="116" t="s">
        <v>130</v>
      </c>
      <c r="X315" s="116" t="s">
        <v>107</v>
      </c>
      <c r="Y315" s="116" t="s">
        <v>152</v>
      </c>
      <c r="Z315" s="114">
        <f>IF(INDIRECT("Y315")="Clássico","12%",IF(INDIRECT("Y315")="Premium","17%","-"))</f>
      </c>
      <c r="AA315" s="116" t="s">
        <v>1357</v>
      </c>
      <c r="AB315" s="116" t="s">
        <v>110</v>
      </c>
      <c r="AC315" s="116" t="n">
        <v>30.0</v>
      </c>
      <c r="AD315" s="116" t="s">
        <v>111</v>
      </c>
      <c r="AE315" s="117" t="s">
        <v>112</v>
      </c>
      <c r="AF315" s="114" t="s">
        <v>1749</v>
      </c>
      <c r="AG315" s="116" t="n">
        <v>28.0</v>
      </c>
      <c r="AH315" s="116" t="n">
        <v>23.0</v>
      </c>
      <c r="AI315" s="116" t="n">
        <v>14.0</v>
      </c>
      <c r="AJ315" s="116" t="n">
        <v>0.38</v>
      </c>
    </row>
    <row r="316" ht="50.0" customHeight="true">
      <c r="A316" s="114" t="s">
        <v>1919</v>
      </c>
      <c r="B316" s="114" t="s">
        <v>1920</v>
      </c>
      <c r="C316" s="114" t="s">
        <v>1921</v>
      </c>
      <c r="D316" s="114"/>
      <c r="E316" s="115" t="s">
        <v>1922</v>
      </c>
      <c r="F316" s="114" t="s">
        <v>1923</v>
      </c>
      <c r="G316" s="114" t="s">
        <v>1923</v>
      </c>
      <c r="H316" s="116" t="n">
        <v>0.0</v>
      </c>
      <c r="I316" s="116" t="n">
        <v>47.73</v>
      </c>
      <c r="J316" s="116" t="s">
        <v>103</v>
      </c>
      <c r="K316" s="116" t="n">
        <v>48.0</v>
      </c>
      <c r="L316" s="116" t="n">
        <v>2.0</v>
      </c>
      <c r="M316" s="116"/>
      <c r="N316" s="116"/>
      <c r="O316" s="116"/>
      <c r="P316" s="116"/>
      <c r="Q316" s="116"/>
      <c r="R316" s="116"/>
      <c r="S316" s="116"/>
      <c r="T316" s="116"/>
      <c r="U316" s="114" t="s">
        <v>104</v>
      </c>
      <c r="V316" s="118" t="s">
        <v>1924</v>
      </c>
      <c r="W316" s="116" t="s">
        <v>106</v>
      </c>
      <c r="X316" s="116" t="s">
        <v>107</v>
      </c>
      <c r="Y316" s="116" t="s">
        <v>152</v>
      </c>
      <c r="Z316" s="114">
        <f>IF(INDIRECT("Y316")="Clássico","12%",IF(INDIRECT("Y316")="Premium","17%","-"))</f>
      </c>
      <c r="AA316" s="116" t="s">
        <v>1357</v>
      </c>
      <c r="AB316" s="116" t="s">
        <v>110</v>
      </c>
      <c r="AC316" s="116" t="n">
        <v>30.0</v>
      </c>
      <c r="AD316" s="116" t="s">
        <v>111</v>
      </c>
      <c r="AE316" s="117" t="s">
        <v>112</v>
      </c>
      <c r="AF316" s="114" t="s">
        <v>1925</v>
      </c>
      <c r="AG316" s="116" t="n">
        <v>18.0</v>
      </c>
      <c r="AH316" s="116" t="n">
        <v>12.0</v>
      </c>
      <c r="AI316" s="116" t="n">
        <v>7.0</v>
      </c>
      <c r="AJ316" s="116" t="n">
        <v>0.09</v>
      </c>
    </row>
    <row r="317" ht="50.0" customHeight="true">
      <c r="A317" s="114" t="s">
        <v>1926</v>
      </c>
      <c r="B317" s="114" t="s">
        <v>1927</v>
      </c>
      <c r="C317" s="114" t="s">
        <v>1928</v>
      </c>
      <c r="D317" s="114"/>
      <c r="E317" s="115" t="s">
        <v>1801</v>
      </c>
      <c r="F317" s="114" t="s">
        <v>1929</v>
      </c>
      <c r="G317" s="114" t="s">
        <v>102</v>
      </c>
      <c r="H317" s="116" t="n">
        <v>0.0</v>
      </c>
      <c r="I317" s="116" t="n">
        <v>199.0</v>
      </c>
      <c r="J317" s="116" t="s">
        <v>103</v>
      </c>
      <c r="K317" s="116"/>
      <c r="L317" s="116"/>
      <c r="M317" s="116"/>
      <c r="N317" s="116"/>
      <c r="O317" s="116"/>
      <c r="P317" s="116"/>
      <c r="Q317" s="116"/>
      <c r="R317" s="116"/>
      <c r="S317" s="116"/>
      <c r="T317" s="116"/>
      <c r="U317" s="114" t="s">
        <v>104</v>
      </c>
      <c r="V317" s="114" t="s">
        <v>1930</v>
      </c>
      <c r="W317" s="116" t="s">
        <v>130</v>
      </c>
      <c r="X317" s="116" t="s">
        <v>107</v>
      </c>
      <c r="Y317" s="116" t="s">
        <v>152</v>
      </c>
      <c r="Z317" s="114">
        <f>IF(INDIRECT("Y317")="Clássico","13%",IF(INDIRECT("Y317")="Premium","18%","-"))</f>
      </c>
      <c r="AA317" s="116" t="s">
        <v>1357</v>
      </c>
      <c r="AB317" s="116" t="s">
        <v>686</v>
      </c>
      <c r="AC317" s="116" t="n">
        <v>0.0</v>
      </c>
      <c r="AD317" s="116" t="s">
        <v>22</v>
      </c>
      <c r="AE317" s="117" t="s">
        <v>112</v>
      </c>
      <c r="AF317" s="114" t="s">
        <v>1931</v>
      </c>
      <c r="AG317" s="116" t="n">
        <v>61.0</v>
      </c>
      <c r="AH317" s="116" t="n">
        <v>26.0</v>
      </c>
      <c r="AI317" s="116" t="n">
        <v>17.0</v>
      </c>
      <c r="AJ317" s="116" t="n">
        <v>1.48</v>
      </c>
    </row>
    <row r="318" ht="50.0" customHeight="true">
      <c r="A318" s="114" t="s">
        <v>1932</v>
      </c>
      <c r="B318" s="114" t="s">
        <v>1933</v>
      </c>
      <c r="C318" s="114" t="s">
        <v>1934</v>
      </c>
      <c r="D318" s="114"/>
      <c r="E318" s="115" t="s">
        <v>1935</v>
      </c>
      <c r="F318" s="114" t="s">
        <v>1936</v>
      </c>
      <c r="G318" s="114" t="s">
        <v>1936</v>
      </c>
      <c r="H318" s="116" t="n">
        <v>0.0</v>
      </c>
      <c r="I318" s="116" t="n">
        <v>189.9</v>
      </c>
      <c r="J318" s="116" t="s">
        <v>103</v>
      </c>
      <c r="K318" s="116" t="n">
        <v>179.9</v>
      </c>
      <c r="L318" s="116" t="n">
        <v>2.0</v>
      </c>
      <c r="M318" s="116"/>
      <c r="N318" s="116"/>
      <c r="O318" s="116"/>
      <c r="P318" s="116"/>
      <c r="Q318" s="116"/>
      <c r="R318" s="116"/>
      <c r="S318" s="116"/>
      <c r="T318" s="116"/>
      <c r="U318" s="116" t="s">
        <v>104</v>
      </c>
      <c r="V318" s="118" t="s">
        <v>1937</v>
      </c>
      <c r="W318" s="116" t="s">
        <v>130</v>
      </c>
      <c r="X318" s="116" t="s">
        <v>143</v>
      </c>
      <c r="Y318" s="116" t="s">
        <v>108</v>
      </c>
      <c r="Z318" s="114">
        <f>IF(INDIRECT("Y318")="Clássico","12%",IF(INDIRECT("Y318")="Premium","17%","-"))</f>
      </c>
      <c r="AA318" s="116" t="s">
        <v>1357</v>
      </c>
      <c r="AB318" s="116" t="s">
        <v>110</v>
      </c>
      <c r="AC318" s="116" t="n">
        <v>30.0</v>
      </c>
      <c r="AD318" s="116" t="s">
        <v>111</v>
      </c>
      <c r="AE318" s="117" t="s">
        <v>112</v>
      </c>
      <c r="AF318" s="114" t="s">
        <v>956</v>
      </c>
      <c r="AG318" s="116" t="n">
        <v>8.0</v>
      </c>
      <c r="AH318" s="116" t="n">
        <v>38.0</v>
      </c>
      <c r="AI318" s="116" t="n">
        <v>25.0</v>
      </c>
      <c r="AJ318" s="116" t="n">
        <v>1.6</v>
      </c>
    </row>
    <row r="319" ht="50.0" customHeight="true">
      <c r="A319" s="114" t="s">
        <v>1938</v>
      </c>
      <c r="B319" s="114" t="s">
        <v>1939</v>
      </c>
      <c r="C319" s="114" t="s">
        <v>1940</v>
      </c>
      <c r="D319" s="114"/>
      <c r="E319" s="115" t="s">
        <v>248</v>
      </c>
      <c r="F319" s="114" t="s">
        <v>1941</v>
      </c>
      <c r="G319" s="114" t="s">
        <v>1941</v>
      </c>
      <c r="H319" s="116" t="n">
        <v>1.0</v>
      </c>
      <c r="I319" s="116" t="n">
        <v>80.92</v>
      </c>
      <c r="J319" s="116" t="s">
        <v>103</v>
      </c>
      <c r="K319" s="116"/>
      <c r="L319" s="116"/>
      <c r="M319" s="116"/>
      <c r="N319" s="116"/>
      <c r="O319" s="116"/>
      <c r="P319" s="116"/>
      <c r="Q319" s="116"/>
      <c r="R319" s="116"/>
      <c r="S319" s="116"/>
      <c r="T319" s="116"/>
      <c r="U319" s="116" t="s">
        <v>104</v>
      </c>
      <c r="V319" s="118" t="s">
        <v>1942</v>
      </c>
      <c r="W319" s="116" t="s">
        <v>130</v>
      </c>
      <c r="X319" s="116" t="s">
        <v>143</v>
      </c>
      <c r="Y319" s="116" t="s">
        <v>152</v>
      </c>
      <c r="Z319" s="114">
        <f>IF(INDIRECT("Y319")="Clássico","12%",IF(INDIRECT("Y319")="Premium","17%","-"))</f>
      </c>
      <c r="AA319" s="116" t="s">
        <v>1357</v>
      </c>
      <c r="AB319" s="116" t="s">
        <v>110</v>
      </c>
      <c r="AC319" s="116" t="n">
        <v>3.0</v>
      </c>
      <c r="AD319" s="116" t="s">
        <v>121</v>
      </c>
      <c r="AE319" s="117" t="s">
        <v>112</v>
      </c>
      <c r="AF319" s="114" t="s">
        <v>144</v>
      </c>
      <c r="AG319" s="116" t="n">
        <v>19.0</v>
      </c>
      <c r="AH319" s="116" t="n">
        <v>13.0</v>
      </c>
      <c r="AI319" s="116" t="n">
        <v>6.0</v>
      </c>
      <c r="AJ319" s="116" t="n">
        <v>0.46</v>
      </c>
    </row>
    <row r="320" ht="50.0" customHeight="true">
      <c r="A320" s="114" t="s">
        <v>1943</v>
      </c>
      <c r="B320" s="114" t="s">
        <v>1944</v>
      </c>
      <c r="C320" s="114" t="s">
        <v>1945</v>
      </c>
      <c r="D320" s="114"/>
      <c r="E320" s="115"/>
      <c r="F320" s="114" t="s">
        <v>1946</v>
      </c>
      <c r="G320" s="114" t="s">
        <v>128</v>
      </c>
      <c r="H320" s="116" t="n">
        <v>8.0</v>
      </c>
      <c r="I320" s="116" t="n">
        <v>1720.0</v>
      </c>
      <c r="J320" s="116" t="s">
        <v>103</v>
      </c>
      <c r="K320" s="116"/>
      <c r="L320" s="116"/>
      <c r="M320" s="116"/>
      <c r="N320" s="116"/>
      <c r="O320" s="116"/>
      <c r="P320" s="116"/>
      <c r="Q320" s="116"/>
      <c r="R320" s="116"/>
      <c r="S320" s="116"/>
      <c r="T320" s="116"/>
      <c r="U320" s="116" t="s">
        <v>104</v>
      </c>
      <c r="V320" s="118" t="s">
        <v>1947</v>
      </c>
      <c r="W320" s="116" t="s">
        <v>130</v>
      </c>
      <c r="X320" s="116" t="s">
        <v>143</v>
      </c>
      <c r="Y320" s="116" t="s">
        <v>108</v>
      </c>
      <c r="Z320" s="114">
        <f>IF(INDIRECT("Y320")="Clássico","12%",IF(INDIRECT("Y320")="Premium","17%","-"))</f>
      </c>
      <c r="AA320" s="116" t="s">
        <v>1357</v>
      </c>
      <c r="AB320" s="116" t="s">
        <v>120</v>
      </c>
      <c r="AC320" s="116" t="n">
        <v>3.0</v>
      </c>
      <c r="AD320" s="116" t="s">
        <v>121</v>
      </c>
      <c r="AE320" s="117" t="s">
        <v>112</v>
      </c>
      <c r="AF320" s="114" t="s">
        <v>213</v>
      </c>
      <c r="AG320" s="116" t="n">
        <v>33.0</v>
      </c>
      <c r="AH320" s="116" t="n">
        <v>84.0</v>
      </c>
      <c r="AI320" s="116" t="n">
        <v>32.0</v>
      </c>
      <c r="AJ320" s="116" t="n">
        <v>20.0</v>
      </c>
    </row>
    <row r="321" ht="50.0" customHeight="true">
      <c r="A321" s="114" t="s">
        <v>1948</v>
      </c>
      <c r="B321" s="114" t="s">
        <v>1949</v>
      </c>
      <c r="C321" s="114" t="s">
        <v>1950</v>
      </c>
      <c r="D321" s="114"/>
      <c r="E321" s="115" t="s">
        <v>1951</v>
      </c>
      <c r="F321" s="114" t="s">
        <v>1952</v>
      </c>
      <c r="G321" s="114" t="s">
        <v>1952</v>
      </c>
      <c r="H321" s="116" t="n">
        <v>0.0</v>
      </c>
      <c r="I321" s="116" t="n">
        <v>190.0</v>
      </c>
      <c r="J321" s="116" t="s">
        <v>103</v>
      </c>
      <c r="K321" s="116"/>
      <c r="L321" s="116"/>
      <c r="M321" s="116"/>
      <c r="N321" s="116"/>
      <c r="O321" s="116"/>
      <c r="P321" s="116"/>
      <c r="Q321" s="116"/>
      <c r="R321" s="116"/>
      <c r="S321" s="116"/>
      <c r="T321" s="116"/>
      <c r="U321" s="116" t="s">
        <v>104</v>
      </c>
      <c r="V321" s="118" t="s">
        <v>1953</v>
      </c>
      <c r="W321" s="116" t="s">
        <v>130</v>
      </c>
      <c r="X321" s="116" t="s">
        <v>143</v>
      </c>
      <c r="Y321" s="116" t="s">
        <v>152</v>
      </c>
      <c r="Z321" s="114">
        <f>IF(INDIRECT("Y321")="Clássico","12%",IF(INDIRECT("Y321")="Premium","17%","-"))</f>
      </c>
      <c r="AA321" s="116" t="s">
        <v>1357</v>
      </c>
      <c r="AB321" s="116" t="s">
        <v>110</v>
      </c>
      <c r="AC321" s="116" t="n">
        <v>30.0</v>
      </c>
      <c r="AD321" s="116" t="s">
        <v>111</v>
      </c>
      <c r="AE321" s="117" t="s">
        <v>112</v>
      </c>
      <c r="AF321" s="114" t="s">
        <v>1954</v>
      </c>
      <c r="AG321" s="116" t="n">
        <v>28.0</v>
      </c>
      <c r="AH321" s="116" t="n">
        <v>16.0</v>
      </c>
      <c r="AI321" s="116" t="n">
        <v>12.0</v>
      </c>
      <c r="AJ321" s="116" t="n">
        <v>1.37</v>
      </c>
    </row>
    <row r="322" ht="50.0" customHeight="true">
      <c r="A322" s="114" t="s">
        <v>1955</v>
      </c>
      <c r="B322" s="114" t="s">
        <v>1956</v>
      </c>
      <c r="C322" s="114" t="s">
        <v>1957</v>
      </c>
      <c r="D322" s="114"/>
      <c r="E322" s="115" t="s">
        <v>1958</v>
      </c>
      <c r="F322" s="114" t="s">
        <v>1959</v>
      </c>
      <c r="G322" s="114" t="s">
        <v>1960</v>
      </c>
      <c r="H322" s="116" t="n">
        <v>1.0</v>
      </c>
      <c r="I322" s="116" t="n">
        <v>1799.0</v>
      </c>
      <c r="J322" s="116" t="s">
        <v>103</v>
      </c>
      <c r="K322" s="116"/>
      <c r="L322" s="116"/>
      <c r="M322" s="116"/>
      <c r="N322" s="116"/>
      <c r="O322" s="116"/>
      <c r="P322" s="116"/>
      <c r="Q322" s="116"/>
      <c r="R322" s="116"/>
      <c r="S322" s="116"/>
      <c r="T322" s="116"/>
      <c r="U322" s="116" t="s">
        <v>104</v>
      </c>
      <c r="V322" s="118" t="s">
        <v>1961</v>
      </c>
      <c r="W322" s="116" t="s">
        <v>130</v>
      </c>
      <c r="X322" s="116" t="s">
        <v>143</v>
      </c>
      <c r="Y322" s="116" t="s">
        <v>108</v>
      </c>
      <c r="Z322" s="114">
        <f>IF(INDIRECT("Y322")="Clássico","14%",IF(INDIRECT("Y322")="Premium","19%","-"))</f>
      </c>
      <c r="AA322" s="116" t="s">
        <v>1357</v>
      </c>
      <c r="AB322" s="116" t="s">
        <v>110</v>
      </c>
      <c r="AC322" s="116" t="n">
        <v>30.0</v>
      </c>
      <c r="AD322" s="116" t="s">
        <v>111</v>
      </c>
      <c r="AE322" s="117" t="s">
        <v>112</v>
      </c>
      <c r="AF322" s="114" t="s">
        <v>113</v>
      </c>
      <c r="AG322" s="116" t="n">
        <v>25.0</v>
      </c>
      <c r="AH322" s="116" t="n">
        <v>19.0</v>
      </c>
      <c r="AI322" s="116" t="n">
        <v>11.0</v>
      </c>
      <c r="AJ322" s="116" t="n">
        <v>0.64</v>
      </c>
    </row>
    <row r="323" ht="50.0" customHeight="true">
      <c r="A323" s="114" t="s">
        <v>1962</v>
      </c>
      <c r="B323" s="114" t="s">
        <v>1963</v>
      </c>
      <c r="C323" s="114" t="s">
        <v>1964</v>
      </c>
      <c r="D323" s="114"/>
      <c r="E323" s="115" t="s">
        <v>1965</v>
      </c>
      <c r="F323" s="114" t="s">
        <v>1966</v>
      </c>
      <c r="G323" s="114" t="s">
        <v>1966</v>
      </c>
      <c r="H323" s="116" t="n">
        <v>1.0</v>
      </c>
      <c r="I323" s="116" t="n">
        <v>250.0</v>
      </c>
      <c r="J323" s="116" t="s">
        <v>103</v>
      </c>
      <c r="K323" s="116" t="n">
        <v>150.0</v>
      </c>
      <c r="L323" s="116" t="n">
        <v>2.0</v>
      </c>
      <c r="M323" s="116"/>
      <c r="N323" s="116"/>
      <c r="O323" s="116"/>
      <c r="P323" s="116"/>
      <c r="Q323" s="116"/>
      <c r="R323" s="116"/>
      <c r="S323" s="116"/>
      <c r="T323" s="116"/>
      <c r="U323" s="116" t="s">
        <v>104</v>
      </c>
      <c r="V323" s="118" t="s">
        <v>1967</v>
      </c>
      <c r="W323" s="116" t="s">
        <v>130</v>
      </c>
      <c r="X323" s="116" t="s">
        <v>107</v>
      </c>
      <c r="Y323" s="116" t="s">
        <v>108</v>
      </c>
      <c r="Z323" s="114">
        <f>IF(INDIRECT("Y323")="Clássico","12%",IF(INDIRECT("Y323")="Premium","17%","-"))</f>
      </c>
      <c r="AA323" s="116" t="s">
        <v>1357</v>
      </c>
      <c r="AB323" s="116" t="s">
        <v>110</v>
      </c>
      <c r="AC323" s="116" t="n">
        <v>30.0</v>
      </c>
      <c r="AD323" s="116" t="s">
        <v>111</v>
      </c>
      <c r="AE323" s="117" t="s">
        <v>112</v>
      </c>
      <c r="AF323" s="114" t="s">
        <v>1968</v>
      </c>
      <c r="AG323" s="116" t="n">
        <v>23.0</v>
      </c>
      <c r="AH323" s="116" t="n">
        <v>17.0</v>
      </c>
      <c r="AI323" s="116" t="n">
        <v>10.0</v>
      </c>
      <c r="AJ323" s="116" t="n">
        <v>1.01</v>
      </c>
    </row>
    <row r="324" ht="50.0" customHeight="true">
      <c r="A324" s="114" t="s">
        <v>1969</v>
      </c>
      <c r="B324" s="114" t="s">
        <v>1970</v>
      </c>
      <c r="C324" s="114" t="s">
        <v>1971</v>
      </c>
      <c r="D324" s="114"/>
      <c r="E324" s="115" t="s">
        <v>1972</v>
      </c>
      <c r="F324" s="114" t="s">
        <v>1973</v>
      </c>
      <c r="G324" s="114" t="s">
        <v>1973</v>
      </c>
      <c r="H324" s="116" t="n">
        <v>0.0</v>
      </c>
      <c r="I324" s="116" t="n">
        <v>1200.0</v>
      </c>
      <c r="J324" s="116" t="s">
        <v>103</v>
      </c>
      <c r="K324" s="116"/>
      <c r="L324" s="116"/>
      <c r="M324" s="116"/>
      <c r="N324" s="116"/>
      <c r="O324" s="116"/>
      <c r="P324" s="116"/>
      <c r="Q324" s="116"/>
      <c r="R324" s="116"/>
      <c r="S324" s="116"/>
      <c r="T324" s="116"/>
      <c r="U324" s="116" t="s">
        <v>104</v>
      </c>
      <c r="V324" s="118" t="s">
        <v>1974</v>
      </c>
      <c r="W324" s="116" t="s">
        <v>130</v>
      </c>
      <c r="X324" s="116" t="s">
        <v>107</v>
      </c>
      <c r="Y324" s="116" t="s">
        <v>152</v>
      </c>
      <c r="Z324" s="114">
        <f>IF(INDIRECT("Y324")="Clássico","11.5%",IF(INDIRECT("Y324")="Premium","16.5%","-"))</f>
      </c>
      <c r="AA324" s="116" t="s">
        <v>1357</v>
      </c>
      <c r="AB324" s="116" t="s">
        <v>110</v>
      </c>
      <c r="AC324" s="116" t="n">
        <v>30.0</v>
      </c>
      <c r="AD324" s="116" t="s">
        <v>111</v>
      </c>
      <c r="AE324" s="117" t="s">
        <v>112</v>
      </c>
      <c r="AF324" s="114" t="s">
        <v>1975</v>
      </c>
      <c r="AG324" s="116" t="n">
        <v>76.0</v>
      </c>
      <c r="AH324" s="116" t="n">
        <v>14.0</v>
      </c>
      <c r="AI324" s="116" t="n">
        <v>10.0</v>
      </c>
      <c r="AJ324" s="116" t="n">
        <v>1.65</v>
      </c>
    </row>
    <row r="325" ht="50.0" customHeight="true">
      <c r="A325" s="114" t="s">
        <v>1976</v>
      </c>
      <c r="B325" s="114" t="s">
        <v>1977</v>
      </c>
      <c r="C325" s="114" t="s">
        <v>1978</v>
      </c>
      <c r="D325" s="114"/>
      <c r="E325" s="115" t="s">
        <v>1979</v>
      </c>
      <c r="F325" s="114" t="s">
        <v>1980</v>
      </c>
      <c r="G325" s="114" t="s">
        <v>254</v>
      </c>
      <c r="H325" s="116" t="n">
        <v>0.0</v>
      </c>
      <c r="I325" s="116" t="n">
        <v>749.0</v>
      </c>
      <c r="J325" s="116" t="s">
        <v>103</v>
      </c>
      <c r="K325" s="116"/>
      <c r="L325" s="116"/>
      <c r="M325" s="116"/>
      <c r="N325" s="116"/>
      <c r="O325" s="116"/>
      <c r="P325" s="116"/>
      <c r="Q325" s="116"/>
      <c r="R325" s="116"/>
      <c r="S325" s="116"/>
      <c r="T325" s="116"/>
      <c r="U325" s="116" t="s">
        <v>104</v>
      </c>
      <c r="V325" s="118" t="s">
        <v>1981</v>
      </c>
      <c r="W325" s="116" t="s">
        <v>130</v>
      </c>
      <c r="X325" s="116" t="s">
        <v>107</v>
      </c>
      <c r="Y325" s="116" t="s">
        <v>152</v>
      </c>
      <c r="Z325" s="114">
        <f>IF(INDIRECT("Y325")="Clássico","12%",IF(INDIRECT("Y325")="Premium","17%","-"))</f>
      </c>
      <c r="AA325" s="116" t="s">
        <v>1357</v>
      </c>
      <c r="AB325" s="116" t="s">
        <v>110</v>
      </c>
      <c r="AC325" s="116" t="n">
        <v>30.0</v>
      </c>
      <c r="AD325" s="116" t="s">
        <v>111</v>
      </c>
      <c r="AE325" s="117" t="s">
        <v>112</v>
      </c>
      <c r="AF325" s="114" t="s">
        <v>834</v>
      </c>
      <c r="AG325" s="116" t="n">
        <v>36.0</v>
      </c>
      <c r="AH325" s="116" t="n">
        <v>23.0</v>
      </c>
      <c r="AI325" s="116" t="n">
        <v>11.0</v>
      </c>
      <c r="AJ325" s="116" t="n">
        <v>19.91</v>
      </c>
    </row>
    <row r="326" ht="50.0" customHeight="true">
      <c r="A326" s="114" t="s">
        <v>1982</v>
      </c>
      <c r="B326" s="114" t="s">
        <v>1983</v>
      </c>
      <c r="C326" s="114" t="s">
        <v>1984</v>
      </c>
      <c r="D326" s="114"/>
      <c r="E326" s="115" t="s">
        <v>1985</v>
      </c>
      <c r="F326" s="114" t="s">
        <v>1986</v>
      </c>
      <c r="G326" s="114" t="s">
        <v>315</v>
      </c>
      <c r="H326" s="116" t="n">
        <v>0.0</v>
      </c>
      <c r="I326" s="116" t="n">
        <v>1500.0</v>
      </c>
      <c r="J326" s="116" t="s">
        <v>103</v>
      </c>
      <c r="K326" s="116"/>
      <c r="L326" s="116"/>
      <c r="M326" s="116"/>
      <c r="N326" s="116"/>
      <c r="O326" s="116"/>
      <c r="P326" s="116"/>
      <c r="Q326" s="116"/>
      <c r="R326" s="116"/>
      <c r="S326" s="116"/>
      <c r="T326" s="116"/>
      <c r="U326" s="116" t="s">
        <v>104</v>
      </c>
      <c r="V326" s="118" t="s">
        <v>1987</v>
      </c>
      <c r="W326" s="116" t="s">
        <v>130</v>
      </c>
      <c r="X326" s="116" t="s">
        <v>107</v>
      </c>
      <c r="Y326" s="116" t="s">
        <v>152</v>
      </c>
      <c r="Z326" s="114">
        <f>IF(INDIRECT("Y326")="Clássico","11%",IF(INDIRECT("Y326")="Premium","16%","-"))</f>
      </c>
      <c r="AA326" s="116" t="s">
        <v>1357</v>
      </c>
      <c r="AB326" s="116" t="s">
        <v>110</v>
      </c>
      <c r="AC326" s="116" t="n">
        <v>30.0</v>
      </c>
      <c r="AD326" s="116" t="s">
        <v>111</v>
      </c>
      <c r="AE326" s="117" t="s">
        <v>112</v>
      </c>
      <c r="AF326" s="114" t="s">
        <v>1988</v>
      </c>
      <c r="AG326" s="116" t="n">
        <v>79.0</v>
      </c>
      <c r="AH326" s="116" t="n">
        <v>44.0</v>
      </c>
      <c r="AI326" s="116" t="n">
        <v>40.0</v>
      </c>
      <c r="AJ326" s="116" t="n">
        <v>2.75</v>
      </c>
    </row>
    <row r="327" ht="50.0" customHeight="true">
      <c r="A327" s="114" t="s">
        <v>1989</v>
      </c>
      <c r="B327" s="114" t="s">
        <v>1990</v>
      </c>
      <c r="C327" s="114" t="s">
        <v>1991</v>
      </c>
      <c r="D327" s="114"/>
      <c r="E327" s="115" t="s">
        <v>1992</v>
      </c>
      <c r="F327" s="114" t="s">
        <v>1993</v>
      </c>
      <c r="G327" s="114" t="s">
        <v>411</v>
      </c>
      <c r="H327" s="116" t="n">
        <v>0.0</v>
      </c>
      <c r="I327" s="116" t="n">
        <v>2000.0</v>
      </c>
      <c r="J327" s="116" t="s">
        <v>103</v>
      </c>
      <c r="K327" s="116"/>
      <c r="L327" s="116"/>
      <c r="M327" s="116"/>
      <c r="N327" s="116"/>
      <c r="O327" s="116"/>
      <c r="P327" s="116"/>
      <c r="Q327" s="116"/>
      <c r="R327" s="116"/>
      <c r="S327" s="116"/>
      <c r="T327" s="116"/>
      <c r="U327" s="116" t="s">
        <v>104</v>
      </c>
      <c r="V327" s="118" t="s">
        <v>1994</v>
      </c>
      <c r="W327" s="116" t="s">
        <v>130</v>
      </c>
      <c r="X327" s="116" t="s">
        <v>107</v>
      </c>
      <c r="Y327" s="116" t="s">
        <v>152</v>
      </c>
      <c r="Z327" s="114">
        <f>IF(INDIRECT("Y327")="Clássico","11%",IF(INDIRECT("Y327")="Premium","16%","-"))</f>
      </c>
      <c r="AA327" s="116" t="s">
        <v>1357</v>
      </c>
      <c r="AB327" s="116" t="s">
        <v>110</v>
      </c>
      <c r="AC327" s="116" t="n">
        <v>30.0</v>
      </c>
      <c r="AD327" s="116" t="s">
        <v>111</v>
      </c>
      <c r="AE327" s="117" t="s">
        <v>112</v>
      </c>
      <c r="AF327" s="114" t="s">
        <v>1995</v>
      </c>
      <c r="AG327" s="116" t="n">
        <v>70.0</v>
      </c>
      <c r="AH327" s="116" t="n">
        <v>46.0</v>
      </c>
      <c r="AI327" s="116" t="n">
        <v>39.0</v>
      </c>
      <c r="AJ327" s="116" t="n">
        <v>7.9</v>
      </c>
    </row>
    <row r="328" ht="50.0" customHeight="true">
      <c r="A328" s="114" t="s">
        <v>1996</v>
      </c>
      <c r="B328" s="114" t="s">
        <v>1997</v>
      </c>
      <c r="C328" s="114" t="s">
        <v>1998</v>
      </c>
      <c r="D328" s="114"/>
      <c r="E328" s="115" t="s">
        <v>1773</v>
      </c>
      <c r="F328" s="114" t="s">
        <v>1999</v>
      </c>
      <c r="G328" s="114" t="s">
        <v>2000</v>
      </c>
      <c r="H328" s="116" t="n">
        <v>0.0</v>
      </c>
      <c r="I328" s="116" t="n">
        <v>200.0</v>
      </c>
      <c r="J328" s="116" t="s">
        <v>103</v>
      </c>
      <c r="K328" s="116"/>
      <c r="L328" s="116"/>
      <c r="M328" s="116"/>
      <c r="N328" s="116"/>
      <c r="O328" s="116"/>
      <c r="P328" s="116"/>
      <c r="Q328" s="116"/>
      <c r="R328" s="116"/>
      <c r="S328" s="116"/>
      <c r="T328" s="116"/>
      <c r="U328" s="116" t="s">
        <v>104</v>
      </c>
      <c r="V328" s="118" t="s">
        <v>2001</v>
      </c>
      <c r="W328" s="116" t="s">
        <v>130</v>
      </c>
      <c r="X328" s="116" t="s">
        <v>107</v>
      </c>
      <c r="Y328" s="116" t="s">
        <v>152</v>
      </c>
      <c r="Z328" s="114">
        <f>IF(INDIRECT("Y328")="Clássico","11.5%",IF(INDIRECT("Y328")="Premium","16.5%","-"))</f>
      </c>
      <c r="AA328" s="116" t="s">
        <v>1357</v>
      </c>
      <c r="AB328" s="116" t="s">
        <v>110</v>
      </c>
      <c r="AC328" s="116" t="n">
        <v>30.0</v>
      </c>
      <c r="AD328" s="116" t="s">
        <v>111</v>
      </c>
      <c r="AE328" s="117" t="s">
        <v>112</v>
      </c>
      <c r="AF328" s="114" t="s">
        <v>1776</v>
      </c>
      <c r="AG328" s="116" t="n">
        <v>30.0</v>
      </c>
      <c r="AH328" s="116" t="n">
        <v>26.0</v>
      </c>
      <c r="AI328" s="116" t="n">
        <v>11.0</v>
      </c>
      <c r="AJ328" s="116" t="n">
        <v>6.73</v>
      </c>
    </row>
    <row r="329" ht="50.0" customHeight="true">
      <c r="A329" s="114" t="s">
        <v>1864</v>
      </c>
      <c r="B329" s="114" t="s">
        <v>2002</v>
      </c>
      <c r="C329" s="114" t="s">
        <v>1866</v>
      </c>
      <c r="D329" s="114"/>
      <c r="E329" s="115" t="s">
        <v>1867</v>
      </c>
      <c r="F329" s="114" t="s">
        <v>2003</v>
      </c>
      <c r="G329" s="114" t="s">
        <v>102</v>
      </c>
      <c r="H329" s="116" t="n">
        <v>1.0</v>
      </c>
      <c r="I329" s="116" t="n">
        <v>199.0</v>
      </c>
      <c r="J329" s="116" t="s">
        <v>103</v>
      </c>
      <c r="K329" s="116"/>
      <c r="L329" s="116"/>
      <c r="M329" s="116"/>
      <c r="N329" s="116"/>
      <c r="O329" s="116"/>
      <c r="P329" s="116"/>
      <c r="Q329" s="116"/>
      <c r="R329" s="116"/>
      <c r="S329" s="116"/>
      <c r="T329" s="116"/>
      <c r="U329" s="114" t="s">
        <v>104</v>
      </c>
      <c r="V329" s="114" t="s">
        <v>2004</v>
      </c>
      <c r="W329" s="116" t="s">
        <v>130</v>
      </c>
      <c r="X329" s="116" t="s">
        <v>107</v>
      </c>
      <c r="Y329" s="116" t="s">
        <v>108</v>
      </c>
      <c r="Z329" s="114">
        <f>IF(INDIRECT("Y329")="Clássico","12%",IF(INDIRECT("Y329")="Premium","17%","-"))</f>
      </c>
      <c r="AA329" s="116" t="s">
        <v>1357</v>
      </c>
      <c r="AB329" s="116" t="s">
        <v>110</v>
      </c>
      <c r="AC329" s="116" t="n">
        <v>30.0</v>
      </c>
      <c r="AD329" s="116" t="s">
        <v>111</v>
      </c>
      <c r="AE329" s="117" t="s">
        <v>112</v>
      </c>
      <c r="AF329" s="114" t="s">
        <v>132</v>
      </c>
      <c r="AG329" s="116" t="n">
        <v>39.0</v>
      </c>
      <c r="AH329" s="116" t="n">
        <v>31.0</v>
      </c>
      <c r="AI329" s="116" t="n">
        <v>20.0</v>
      </c>
      <c r="AJ329" s="116" t="n">
        <v>2.03</v>
      </c>
    </row>
    <row r="330" ht="50.0" customHeight="true">
      <c r="A330" s="114" t="s">
        <v>2005</v>
      </c>
      <c r="B330" s="114" t="s">
        <v>2006</v>
      </c>
      <c r="C330" s="114" t="s">
        <v>2007</v>
      </c>
      <c r="D330" s="114"/>
      <c r="E330" s="115" t="s">
        <v>2008</v>
      </c>
      <c r="F330" s="114" t="s">
        <v>2009</v>
      </c>
      <c r="G330" s="114" t="s">
        <v>2009</v>
      </c>
      <c r="H330" s="116" t="n">
        <v>0.0</v>
      </c>
      <c r="I330" s="116" t="n">
        <v>119.9</v>
      </c>
      <c r="J330" s="116" t="s">
        <v>103</v>
      </c>
      <c r="K330" s="116"/>
      <c r="L330" s="116"/>
      <c r="M330" s="116"/>
      <c r="N330" s="116"/>
      <c r="O330" s="116"/>
      <c r="P330" s="116"/>
      <c r="Q330" s="116"/>
      <c r="R330" s="116"/>
      <c r="S330" s="116"/>
      <c r="T330" s="116"/>
      <c r="U330" s="116" t="s">
        <v>104</v>
      </c>
      <c r="V330" s="118" t="s">
        <v>2010</v>
      </c>
      <c r="W330" s="116" t="s">
        <v>130</v>
      </c>
      <c r="X330" s="116" t="s">
        <v>143</v>
      </c>
      <c r="Y330" s="116" t="s">
        <v>152</v>
      </c>
      <c r="Z330" s="114">
        <f>IF(INDIRECT("Y330")="Clássico","12%",IF(INDIRECT("Y330")="Premium","17%","-"))</f>
      </c>
      <c r="AA330" s="116" t="s">
        <v>1357</v>
      </c>
      <c r="AB330" s="116" t="s">
        <v>110</v>
      </c>
      <c r="AC330" s="116" t="n">
        <v>3.0</v>
      </c>
      <c r="AD330" s="116" t="s">
        <v>121</v>
      </c>
      <c r="AE330" s="117" t="s">
        <v>112</v>
      </c>
      <c r="AF330" s="114" t="s">
        <v>144</v>
      </c>
      <c r="AG330" s="116" t="n">
        <v>23.0</v>
      </c>
      <c r="AH330" s="116" t="n">
        <v>15.0</v>
      </c>
      <c r="AI330" s="116" t="n">
        <v>9.0</v>
      </c>
      <c r="AJ330" s="116" t="n">
        <v>0.73</v>
      </c>
    </row>
    <row r="331" ht="50.0" customHeight="true">
      <c r="A331" s="114" t="s">
        <v>2011</v>
      </c>
      <c r="B331" s="114" t="s">
        <v>2012</v>
      </c>
      <c r="C331" s="114" t="s">
        <v>2013</v>
      </c>
      <c r="D331" s="114"/>
      <c r="E331" s="115" t="s">
        <v>2014</v>
      </c>
      <c r="F331" s="114" t="s">
        <v>2015</v>
      </c>
      <c r="G331" s="114" t="s">
        <v>2015</v>
      </c>
      <c r="H331" s="116" t="n">
        <v>0.0</v>
      </c>
      <c r="I331" s="116" t="n">
        <v>79.9</v>
      </c>
      <c r="J331" s="116" t="s">
        <v>103</v>
      </c>
      <c r="K331" s="116"/>
      <c r="L331" s="116"/>
      <c r="M331" s="116"/>
      <c r="N331" s="116"/>
      <c r="O331" s="116"/>
      <c r="P331" s="116"/>
      <c r="Q331" s="116"/>
      <c r="R331" s="116"/>
      <c r="S331" s="116"/>
      <c r="T331" s="116"/>
      <c r="U331" s="116" t="s">
        <v>104</v>
      </c>
      <c r="V331" s="118" t="s">
        <v>2016</v>
      </c>
      <c r="W331" s="116" t="s">
        <v>130</v>
      </c>
      <c r="X331" s="116" t="s">
        <v>143</v>
      </c>
      <c r="Y331" s="116" t="s">
        <v>152</v>
      </c>
      <c r="Z331" s="114">
        <f>IF(INDIRECT("Y331")="Clássico","12%",IF(INDIRECT("Y331")="Premium","17%","-"))</f>
      </c>
      <c r="AA331" s="116" t="s">
        <v>1357</v>
      </c>
      <c r="AB331" s="116" t="s">
        <v>110</v>
      </c>
      <c r="AC331" s="116" t="n">
        <v>3.0</v>
      </c>
      <c r="AD331" s="116" t="s">
        <v>121</v>
      </c>
      <c r="AE331" s="117" t="s">
        <v>112</v>
      </c>
      <c r="AF331" s="114" t="s">
        <v>144</v>
      </c>
      <c r="AG331" s="116" t="n">
        <v>38.0</v>
      </c>
      <c r="AH331" s="116" t="n">
        <v>28.0</v>
      </c>
      <c r="AI331" s="116" t="n">
        <v>11.0</v>
      </c>
      <c r="AJ331" s="116" t="n">
        <v>0.44</v>
      </c>
    </row>
    <row r="332" ht="50.0" customHeight="true">
      <c r="A332" s="114" t="s">
        <v>2017</v>
      </c>
      <c r="B332" s="114" t="s">
        <v>2018</v>
      </c>
      <c r="C332" s="114" t="s">
        <v>2019</v>
      </c>
      <c r="D332" s="114"/>
      <c r="E332" s="115" t="s">
        <v>2020</v>
      </c>
      <c r="F332" s="114" t="s">
        <v>2021</v>
      </c>
      <c r="G332" s="114" t="s">
        <v>2021</v>
      </c>
      <c r="H332" s="116" t="n">
        <v>0.0</v>
      </c>
      <c r="I332" s="116" t="n">
        <v>129.9</v>
      </c>
      <c r="J332" s="116" t="s">
        <v>103</v>
      </c>
      <c r="K332" s="116"/>
      <c r="L332" s="116"/>
      <c r="M332" s="116"/>
      <c r="N332" s="116"/>
      <c r="O332" s="116"/>
      <c r="P332" s="116"/>
      <c r="Q332" s="116"/>
      <c r="R332" s="116"/>
      <c r="S332" s="116"/>
      <c r="T332" s="116"/>
      <c r="U332" s="116" t="s">
        <v>104</v>
      </c>
      <c r="V332" s="118" t="s">
        <v>2022</v>
      </c>
      <c r="W332" s="116" t="s">
        <v>130</v>
      </c>
      <c r="X332" s="116" t="s">
        <v>143</v>
      </c>
      <c r="Y332" s="116" t="s">
        <v>152</v>
      </c>
      <c r="Z332" s="114">
        <f>IF(INDIRECT("Y332")="Clássico","12%",IF(INDIRECT("Y332")="Premium","17%","-"))</f>
      </c>
      <c r="AA332" s="116" t="s">
        <v>1357</v>
      </c>
      <c r="AB332" s="116" t="s">
        <v>110</v>
      </c>
      <c r="AC332" s="116" t="n">
        <v>3.0</v>
      </c>
      <c r="AD332" s="116" t="s">
        <v>121</v>
      </c>
      <c r="AE332" s="117" t="s">
        <v>112</v>
      </c>
      <c r="AF332" s="114" t="s">
        <v>144</v>
      </c>
      <c r="AG332" s="116" t="n">
        <v>28.0</v>
      </c>
      <c r="AH332" s="116" t="n">
        <v>15.0</v>
      </c>
      <c r="AI332" s="116" t="n">
        <v>9.0</v>
      </c>
      <c r="AJ332" s="116" t="n">
        <v>0.68</v>
      </c>
    </row>
    <row r="333" ht="50.0" customHeight="true">
      <c r="A333" s="114" t="s">
        <v>2023</v>
      </c>
      <c r="B333" s="114" t="s">
        <v>2024</v>
      </c>
      <c r="C333" s="114" t="s">
        <v>2025</v>
      </c>
      <c r="D333" s="114"/>
      <c r="E333" s="115" t="s">
        <v>2026</v>
      </c>
      <c r="F333" s="114" t="s">
        <v>2027</v>
      </c>
      <c r="G333" s="114" t="s">
        <v>2028</v>
      </c>
      <c r="H333" s="116" t="n">
        <v>1.0</v>
      </c>
      <c r="I333" s="116" t="n">
        <v>39.9</v>
      </c>
      <c r="J333" s="116" t="s">
        <v>103</v>
      </c>
      <c r="K333" s="116"/>
      <c r="L333" s="116"/>
      <c r="M333" s="116"/>
      <c r="N333" s="116"/>
      <c r="O333" s="116"/>
      <c r="P333" s="116"/>
      <c r="Q333" s="116"/>
      <c r="R333" s="116"/>
      <c r="S333" s="116"/>
      <c r="T333" s="116"/>
      <c r="U333" s="116" t="s">
        <v>104</v>
      </c>
      <c r="V333" s="118" t="s">
        <v>2029</v>
      </c>
      <c r="W333" s="116" t="s">
        <v>106</v>
      </c>
      <c r="X333" s="116" t="s">
        <v>143</v>
      </c>
      <c r="Y333" s="116" t="s">
        <v>152</v>
      </c>
      <c r="Z333" s="114">
        <f>IF(INDIRECT("Y333")="Clássico","12%",IF(INDIRECT("Y333")="Premium","17%","-"))</f>
      </c>
      <c r="AA333" s="116" t="s">
        <v>1357</v>
      </c>
      <c r="AB333" s="116" t="s">
        <v>110</v>
      </c>
      <c r="AC333" s="116" t="n">
        <v>3.0</v>
      </c>
      <c r="AD333" s="116" t="s">
        <v>121</v>
      </c>
      <c r="AE333" s="117" t="s">
        <v>112</v>
      </c>
      <c r="AF333" s="114" t="s">
        <v>2030</v>
      </c>
      <c r="AG333" s="116" t="n">
        <v>25.0</v>
      </c>
      <c r="AH333" s="116" t="n">
        <v>13.0</v>
      </c>
      <c r="AI333" s="116" t="n">
        <v>6.0</v>
      </c>
      <c r="AJ333" s="116" t="n">
        <v>0.14</v>
      </c>
    </row>
    <row r="334" ht="50.0" customHeight="true">
      <c r="A334" s="114" t="s">
        <v>2031</v>
      </c>
      <c r="B334" s="114" t="s">
        <v>2032</v>
      </c>
      <c r="C334" s="114" t="s">
        <v>2033</v>
      </c>
      <c r="D334" s="114"/>
      <c r="E334" s="115"/>
      <c r="F334" s="114" t="s">
        <v>1406</v>
      </c>
      <c r="G334" s="114" t="s">
        <v>419</v>
      </c>
      <c r="H334" s="116" t="n">
        <v>0.0</v>
      </c>
      <c r="I334" s="116" t="n">
        <v>7500.0</v>
      </c>
      <c r="J334" s="116" t="s">
        <v>103</v>
      </c>
      <c r="K334" s="116"/>
      <c r="L334" s="116"/>
      <c r="M334" s="116"/>
      <c r="N334" s="116"/>
      <c r="O334" s="116"/>
      <c r="P334" s="116"/>
      <c r="Q334" s="116"/>
      <c r="R334" s="116"/>
      <c r="S334" s="116"/>
      <c r="T334" s="116"/>
      <c r="U334" s="116" t="s">
        <v>104</v>
      </c>
      <c r="V334" s="118" t="s">
        <v>1408</v>
      </c>
      <c r="W334" s="116" t="s">
        <v>130</v>
      </c>
      <c r="X334" s="116" t="s">
        <v>107</v>
      </c>
      <c r="Y334" s="116" t="s">
        <v>152</v>
      </c>
      <c r="Z334" s="114">
        <f>IF(INDIRECT("Y334")="Clássico","12%",IF(INDIRECT("Y334")="Premium","17%","-"))</f>
      </c>
      <c r="AA334" s="116" t="s">
        <v>1357</v>
      </c>
      <c r="AB334" s="116" t="s">
        <v>120</v>
      </c>
      <c r="AC334" s="116" t="n">
        <v>3.0</v>
      </c>
      <c r="AD334" s="116" t="s">
        <v>121</v>
      </c>
      <c r="AE334" s="117" t="s">
        <v>112</v>
      </c>
      <c r="AF334" s="114" t="s">
        <v>1409</v>
      </c>
      <c r="AG334" s="116" t="n">
        <v>49.0</v>
      </c>
      <c r="AH334" s="116" t="n">
        <v>35.0</v>
      </c>
      <c r="AI334" s="116" t="n">
        <v>34.0</v>
      </c>
      <c r="AJ334" s="116" t="n">
        <v>8.03</v>
      </c>
    </row>
    <row r="335" ht="50.0" customHeight="true">
      <c r="A335" s="114" t="s">
        <v>2034</v>
      </c>
      <c r="B335" s="114" t="s">
        <v>2035</v>
      </c>
      <c r="C335" s="114" t="s">
        <v>2036</v>
      </c>
      <c r="D335" s="114"/>
      <c r="E335" s="115" t="s">
        <v>1364</v>
      </c>
      <c r="F335" s="114" t="s">
        <v>1359</v>
      </c>
      <c r="G335" s="114" t="s">
        <v>1365</v>
      </c>
      <c r="H335" s="116" t="n">
        <v>569.0</v>
      </c>
      <c r="I335" s="116" t="n">
        <v>24.9</v>
      </c>
      <c r="J335" s="116" t="s">
        <v>103</v>
      </c>
      <c r="K335" s="116"/>
      <c r="L335" s="116"/>
      <c r="M335" s="116"/>
      <c r="N335" s="116"/>
      <c r="O335" s="116"/>
      <c r="P335" s="116"/>
      <c r="Q335" s="116"/>
      <c r="R335" s="116"/>
      <c r="S335" s="116"/>
      <c r="T335" s="116"/>
      <c r="U335" s="116" t="s">
        <v>104</v>
      </c>
      <c r="V335" s="118" t="s">
        <v>1361</v>
      </c>
      <c r="W335" s="116" t="s">
        <v>106</v>
      </c>
      <c r="X335" s="116" t="s">
        <v>143</v>
      </c>
      <c r="Y335" s="116" t="s">
        <v>108</v>
      </c>
      <c r="Z335" s="114">
        <f>IF(INDIRECT("Y335")="Clássico","11.5%",IF(INDIRECT("Y335")="Premium","16.5%","-"))</f>
      </c>
      <c r="AA335" s="116" t="s">
        <v>1357</v>
      </c>
      <c r="AB335" s="116" t="s">
        <v>120</v>
      </c>
      <c r="AC335" s="116" t="n">
        <v>90.0</v>
      </c>
      <c r="AD335" s="116" t="s">
        <v>111</v>
      </c>
      <c r="AE335" s="117" t="s">
        <v>112</v>
      </c>
      <c r="AF335" s="114" t="s">
        <v>1362</v>
      </c>
      <c r="AG335" s="116" t="n">
        <v>35.0</v>
      </c>
      <c r="AH335" s="116" t="n">
        <v>28.0</v>
      </c>
      <c r="AI335" s="116" t="n">
        <v>12.0</v>
      </c>
      <c r="AJ335" s="116" t="n">
        <v>0.5</v>
      </c>
    </row>
    <row r="336" ht="50.0" customHeight="true">
      <c r="A336" s="114" t="s">
        <v>2034</v>
      </c>
      <c r="B336" s="114" t="s">
        <v>2037</v>
      </c>
      <c r="C336" s="114" t="s">
        <v>2038</v>
      </c>
      <c r="D336" s="114"/>
      <c r="E336" s="115" t="s">
        <v>1367</v>
      </c>
      <c r="F336" s="114" t="s">
        <v>1359</v>
      </c>
      <c r="G336" s="114" t="s">
        <v>1368</v>
      </c>
      <c r="H336" s="116" t="n">
        <v>509.0</v>
      </c>
      <c r="I336" s="116" t="n">
        <v>24.9</v>
      </c>
      <c r="J336" s="116" t="s">
        <v>103</v>
      </c>
      <c r="K336" s="116"/>
      <c r="L336" s="116"/>
      <c r="M336" s="116"/>
      <c r="N336" s="116"/>
      <c r="O336" s="116"/>
      <c r="P336" s="116"/>
      <c r="Q336" s="116"/>
      <c r="R336" s="116"/>
      <c r="S336" s="116"/>
      <c r="T336" s="116"/>
      <c r="U336" s="116" t="s">
        <v>104</v>
      </c>
      <c r="V336" s="118" t="s">
        <v>1361</v>
      </c>
      <c r="W336" s="116" t="s">
        <v>106</v>
      </c>
      <c r="X336" s="116" t="s">
        <v>143</v>
      </c>
      <c r="Y336" s="116" t="s">
        <v>108</v>
      </c>
      <c r="Z336" s="114">
        <f>IF(INDIRECT("Y336")="Clássico","11.5%",IF(INDIRECT("Y336")="Premium","16.5%","-"))</f>
      </c>
      <c r="AA336" s="116" t="s">
        <v>1357</v>
      </c>
      <c r="AB336" s="116" t="s">
        <v>120</v>
      </c>
      <c r="AC336" s="116" t="n">
        <v>90.0</v>
      </c>
      <c r="AD336" s="116" t="s">
        <v>111</v>
      </c>
      <c r="AE336" s="117" t="s">
        <v>112</v>
      </c>
      <c r="AF336" s="114" t="s">
        <v>1362</v>
      </c>
      <c r="AG336" s="116" t="n">
        <v>35.0</v>
      </c>
      <c r="AH336" s="116" t="n">
        <v>28.0</v>
      </c>
      <c r="AI336" s="116" t="n">
        <v>12.0</v>
      </c>
      <c r="AJ336" s="116" t="n">
        <v>0.5</v>
      </c>
    </row>
    <row r="337" ht="50.0" customHeight="true">
      <c r="A337" s="114" t="s">
        <v>2034</v>
      </c>
      <c r="B337" s="114" t="s">
        <v>2039</v>
      </c>
      <c r="C337" s="114" t="s">
        <v>2040</v>
      </c>
      <c r="D337" s="114"/>
      <c r="E337" s="115" t="s">
        <v>1370</v>
      </c>
      <c r="F337" s="114" t="s">
        <v>1359</v>
      </c>
      <c r="G337" s="114" t="s">
        <v>1371</v>
      </c>
      <c r="H337" s="116" t="n">
        <v>779.0</v>
      </c>
      <c r="I337" s="116" t="n">
        <v>24.9</v>
      </c>
      <c r="J337" s="116" t="s">
        <v>103</v>
      </c>
      <c r="K337" s="116"/>
      <c r="L337" s="116"/>
      <c r="M337" s="116"/>
      <c r="N337" s="116"/>
      <c r="O337" s="116"/>
      <c r="P337" s="116"/>
      <c r="Q337" s="116"/>
      <c r="R337" s="116"/>
      <c r="S337" s="116"/>
      <c r="T337" s="116"/>
      <c r="U337" s="116" t="s">
        <v>104</v>
      </c>
      <c r="V337" s="118" t="s">
        <v>1361</v>
      </c>
      <c r="W337" s="116" t="s">
        <v>106</v>
      </c>
      <c r="X337" s="116" t="s">
        <v>143</v>
      </c>
      <c r="Y337" s="116" t="s">
        <v>108</v>
      </c>
      <c r="Z337" s="114">
        <f>IF(INDIRECT("Y337")="Clássico","11.5%",IF(INDIRECT("Y337")="Premium","16.5%","-"))</f>
      </c>
      <c r="AA337" s="116" t="s">
        <v>1357</v>
      </c>
      <c r="AB337" s="116" t="s">
        <v>120</v>
      </c>
      <c r="AC337" s="116" t="n">
        <v>90.0</v>
      </c>
      <c r="AD337" s="116" t="s">
        <v>111</v>
      </c>
      <c r="AE337" s="117" t="s">
        <v>112</v>
      </c>
      <c r="AF337" s="114" t="s">
        <v>1362</v>
      </c>
      <c r="AG337" s="116" t="n">
        <v>35.0</v>
      </c>
      <c r="AH337" s="116" t="n">
        <v>28.0</v>
      </c>
      <c r="AI337" s="116" t="n">
        <v>12.0</v>
      </c>
      <c r="AJ337" s="116" t="n">
        <v>0.5</v>
      </c>
    </row>
    <row r="338" ht="50.0" customHeight="true">
      <c r="A338" s="114" t="s">
        <v>2034</v>
      </c>
      <c r="B338" s="114" t="s">
        <v>2041</v>
      </c>
      <c r="C338" s="114" t="s">
        <v>2042</v>
      </c>
      <c r="D338" s="114"/>
      <c r="E338" s="115" t="s">
        <v>1380</v>
      </c>
      <c r="F338" s="114" t="s">
        <v>1359</v>
      </c>
      <c r="G338" s="114" t="s">
        <v>411</v>
      </c>
      <c r="H338" s="116" t="n">
        <v>689.0</v>
      </c>
      <c r="I338" s="116" t="n">
        <v>24.9</v>
      </c>
      <c r="J338" s="116" t="s">
        <v>103</v>
      </c>
      <c r="K338" s="116"/>
      <c r="L338" s="116"/>
      <c r="M338" s="116"/>
      <c r="N338" s="116"/>
      <c r="O338" s="116"/>
      <c r="P338" s="116"/>
      <c r="Q338" s="116"/>
      <c r="R338" s="116"/>
      <c r="S338" s="116"/>
      <c r="T338" s="116"/>
      <c r="U338" s="116" t="s">
        <v>104</v>
      </c>
      <c r="V338" s="118" t="s">
        <v>1361</v>
      </c>
      <c r="W338" s="116" t="s">
        <v>106</v>
      </c>
      <c r="X338" s="116" t="s">
        <v>143</v>
      </c>
      <c r="Y338" s="116" t="s">
        <v>108</v>
      </c>
      <c r="Z338" s="114">
        <f>IF(INDIRECT("Y338")="Clássico","11.5%",IF(INDIRECT("Y338")="Premium","16.5%","-"))</f>
      </c>
      <c r="AA338" s="116" t="s">
        <v>1357</v>
      </c>
      <c r="AB338" s="116" t="s">
        <v>120</v>
      </c>
      <c r="AC338" s="116" t="n">
        <v>90.0</v>
      </c>
      <c r="AD338" s="116" t="s">
        <v>111</v>
      </c>
      <c r="AE338" s="117" t="s">
        <v>112</v>
      </c>
      <c r="AF338" s="114" t="s">
        <v>1362</v>
      </c>
      <c r="AG338" s="116" t="n">
        <v>35.0</v>
      </c>
      <c r="AH338" s="116" t="n">
        <v>28.0</v>
      </c>
      <c r="AI338" s="116" t="n">
        <v>12.0</v>
      </c>
      <c r="AJ338" s="116" t="n">
        <v>0.5</v>
      </c>
    </row>
    <row r="339" ht="50.0" customHeight="true">
      <c r="A339" s="114" t="s">
        <v>2043</v>
      </c>
      <c r="B339" s="114" t="s">
        <v>2044</v>
      </c>
      <c r="C339" s="114" t="s">
        <v>2045</v>
      </c>
      <c r="D339" s="114"/>
      <c r="E339" s="115" t="s">
        <v>2046</v>
      </c>
      <c r="F339" s="114" t="s">
        <v>2047</v>
      </c>
      <c r="G339" s="114" t="s">
        <v>2048</v>
      </c>
      <c r="H339" s="116" t="n">
        <v>0.0</v>
      </c>
      <c r="I339" s="116" t="n">
        <v>1100.0</v>
      </c>
      <c r="J339" s="116" t="s">
        <v>103</v>
      </c>
      <c r="K339" s="116"/>
      <c r="L339" s="116"/>
      <c r="M339" s="116"/>
      <c r="N339" s="116"/>
      <c r="O339" s="116"/>
      <c r="P339" s="116"/>
      <c r="Q339" s="116"/>
      <c r="R339" s="116"/>
      <c r="S339" s="116"/>
      <c r="T339" s="116"/>
      <c r="U339" s="116" t="s">
        <v>104</v>
      </c>
      <c r="V339" s="118" t="s">
        <v>2049</v>
      </c>
      <c r="W339" s="116" t="s">
        <v>130</v>
      </c>
      <c r="X339" s="116" t="s">
        <v>143</v>
      </c>
      <c r="Y339" s="116" t="s">
        <v>152</v>
      </c>
      <c r="Z339" s="114">
        <f>IF(INDIRECT("Y339")="Clássico","11.5%",IF(INDIRECT("Y339")="Premium","16.5%","-"))</f>
      </c>
      <c r="AA339" s="116" t="s">
        <v>1357</v>
      </c>
      <c r="AB339" s="116" t="s">
        <v>110</v>
      </c>
      <c r="AC339" s="116" t="n">
        <v>30.0</v>
      </c>
      <c r="AD339" s="116" t="s">
        <v>111</v>
      </c>
      <c r="AE339" s="117" t="s">
        <v>112</v>
      </c>
      <c r="AF339" s="114" t="s">
        <v>2050</v>
      </c>
      <c r="AG339" s="116" t="n">
        <v>40.0</v>
      </c>
      <c r="AH339" s="116" t="n">
        <v>20.0</v>
      </c>
      <c r="AI339" s="116" t="n">
        <v>20.0</v>
      </c>
      <c r="AJ339" s="116" t="n">
        <v>18.0</v>
      </c>
    </row>
    <row r="340" ht="50.0" customHeight="true">
      <c r="A340" s="114" t="s">
        <v>2051</v>
      </c>
      <c r="B340" s="114" t="s">
        <v>2052</v>
      </c>
      <c r="C340" s="114" t="s">
        <v>2053</v>
      </c>
      <c r="D340" s="114"/>
      <c r="E340" s="115" t="s">
        <v>2054</v>
      </c>
      <c r="F340" s="114" t="s">
        <v>2055</v>
      </c>
      <c r="G340" s="114" t="s">
        <v>2056</v>
      </c>
      <c r="H340" s="116" t="n">
        <v>0.0</v>
      </c>
      <c r="I340" s="116" t="n">
        <v>13500.0</v>
      </c>
      <c r="J340" s="116" t="s">
        <v>103</v>
      </c>
      <c r="K340" s="116"/>
      <c r="L340" s="116"/>
      <c r="M340" s="116"/>
      <c r="N340" s="116"/>
      <c r="O340" s="116"/>
      <c r="P340" s="116"/>
      <c r="Q340" s="116"/>
      <c r="R340" s="116"/>
      <c r="S340" s="116"/>
      <c r="T340" s="116"/>
      <c r="U340" s="116" t="s">
        <v>104</v>
      </c>
      <c r="V340" s="118" t="s">
        <v>2057</v>
      </c>
      <c r="W340" s="116" t="s">
        <v>771</v>
      </c>
      <c r="X340" s="116" t="s">
        <v>143</v>
      </c>
      <c r="Y340" s="116" t="s">
        <v>152</v>
      </c>
      <c r="Z340" s="114">
        <f>IF(INDIRECT("Y340")="Clássico","11.5%",IF(INDIRECT("Y340")="Premium","16.5%","-"))</f>
      </c>
      <c r="AA340" s="116" t="s">
        <v>1357</v>
      </c>
      <c r="AB340" s="116" t="s">
        <v>120</v>
      </c>
      <c r="AC340" s="116" t="n">
        <v>90.0</v>
      </c>
      <c r="AD340" s="116" t="s">
        <v>111</v>
      </c>
      <c r="AE340" s="117" t="s">
        <v>112</v>
      </c>
      <c r="AF340" s="114" t="s">
        <v>772</v>
      </c>
      <c r="AG340" s="116" t="n">
        <v>56.0</v>
      </c>
      <c r="AH340" s="116" t="n">
        <v>33.0</v>
      </c>
      <c r="AI340" s="116" t="n">
        <v>11.0</v>
      </c>
      <c r="AJ340" s="116" t="n">
        <v>60.0</v>
      </c>
    </row>
    <row r="341" ht="50.0" customHeight="true">
      <c r="A341" s="114" t="s">
        <v>2058</v>
      </c>
      <c r="B341" s="114" t="s">
        <v>2059</v>
      </c>
      <c r="C341" s="114" t="s">
        <v>2060</v>
      </c>
      <c r="D341" s="114"/>
      <c r="E341" s="115" t="s">
        <v>2061</v>
      </c>
      <c r="F341" s="114" t="s">
        <v>2062</v>
      </c>
      <c r="G341" s="114" t="s">
        <v>2062</v>
      </c>
      <c r="H341" s="116" t="n">
        <v>9.0</v>
      </c>
      <c r="I341" s="116" t="n">
        <v>143.0</v>
      </c>
      <c r="J341" s="116" t="s">
        <v>103</v>
      </c>
      <c r="K341" s="116"/>
      <c r="L341" s="116"/>
      <c r="M341" s="116"/>
      <c r="N341" s="116"/>
      <c r="O341" s="116"/>
      <c r="P341" s="116"/>
      <c r="Q341" s="116"/>
      <c r="R341" s="116"/>
      <c r="S341" s="116"/>
      <c r="T341" s="116"/>
      <c r="U341" s="116" t="s">
        <v>104</v>
      </c>
      <c r="V341" s="118" t="s">
        <v>2063</v>
      </c>
      <c r="W341" s="116" t="s">
        <v>130</v>
      </c>
      <c r="X341" s="116" t="s">
        <v>143</v>
      </c>
      <c r="Y341" s="116" t="s">
        <v>108</v>
      </c>
      <c r="Z341" s="114">
        <f>IF(INDIRECT("Y341")="Clássico","12.5%",IF(INDIRECT("Y341")="Premium","17.5%","-"))</f>
      </c>
      <c r="AA341" s="116" t="s">
        <v>1357</v>
      </c>
      <c r="AB341" s="116" t="s">
        <v>110</v>
      </c>
      <c r="AC341" s="116" t="n">
        <v>30.0</v>
      </c>
      <c r="AD341" s="116" t="s">
        <v>111</v>
      </c>
      <c r="AE341" s="117" t="s">
        <v>112</v>
      </c>
      <c r="AF341" s="114" t="s">
        <v>2064</v>
      </c>
      <c r="AG341" s="116"/>
      <c r="AH341" s="116"/>
      <c r="AI341" s="116"/>
      <c r="AJ341" s="116"/>
    </row>
    <row r="342" ht="50.0" customHeight="true">
      <c r="A342" s="114" t="s">
        <v>2065</v>
      </c>
      <c r="B342" s="114" t="s">
        <v>2066</v>
      </c>
      <c r="C342" s="114" t="s">
        <v>2067</v>
      </c>
      <c r="D342" s="114"/>
      <c r="E342" s="115" t="s">
        <v>2068</v>
      </c>
      <c r="F342" s="114" t="s">
        <v>2069</v>
      </c>
      <c r="G342" s="114" t="s">
        <v>176</v>
      </c>
      <c r="H342" s="116" t="n">
        <v>2.0</v>
      </c>
      <c r="I342" s="116" t="n">
        <v>110.0</v>
      </c>
      <c r="J342" s="116" t="s">
        <v>103</v>
      </c>
      <c r="K342" s="116"/>
      <c r="L342" s="116"/>
      <c r="M342" s="116"/>
      <c r="N342" s="116"/>
      <c r="O342" s="116"/>
      <c r="P342" s="116"/>
      <c r="Q342" s="116"/>
      <c r="R342" s="116"/>
      <c r="S342" s="116"/>
      <c r="T342" s="116"/>
      <c r="U342" s="116" t="s">
        <v>104</v>
      </c>
      <c r="V342" s="118" t="s">
        <v>2070</v>
      </c>
      <c r="W342" s="116" t="s">
        <v>130</v>
      </c>
      <c r="X342" s="116" t="s">
        <v>143</v>
      </c>
      <c r="Y342" s="116" t="s">
        <v>108</v>
      </c>
      <c r="Z342" s="114">
        <f>IF(INDIRECT("Y342")="Clássico","11.5%",IF(INDIRECT("Y342")="Premium","16.5%","-"))</f>
      </c>
      <c r="AA342" s="116" t="s">
        <v>1357</v>
      </c>
      <c r="AB342" s="116" t="s">
        <v>110</v>
      </c>
      <c r="AC342" s="116" t="n">
        <v>30.0</v>
      </c>
      <c r="AD342" s="116" t="s">
        <v>111</v>
      </c>
      <c r="AE342" s="117" t="s">
        <v>112</v>
      </c>
      <c r="AF342" s="114" t="s">
        <v>178</v>
      </c>
      <c r="AG342" s="116"/>
      <c r="AH342" s="116"/>
      <c r="AI342" s="116"/>
      <c r="AJ342" s="116"/>
    </row>
    <row r="343" ht="50.0" customHeight="true">
      <c r="A343" s="114" t="s">
        <v>2071</v>
      </c>
      <c r="B343" s="114" t="s">
        <v>2072</v>
      </c>
      <c r="C343" s="114" t="s">
        <v>2073</v>
      </c>
      <c r="D343" s="114"/>
      <c r="E343" s="115" t="s">
        <v>2074</v>
      </c>
      <c r="F343" s="114" t="s">
        <v>2075</v>
      </c>
      <c r="G343" s="114" t="s">
        <v>102</v>
      </c>
      <c r="H343" s="116" t="n">
        <v>0.0</v>
      </c>
      <c r="I343" s="116" t="n">
        <v>56.0</v>
      </c>
      <c r="J343" s="116" t="s">
        <v>103</v>
      </c>
      <c r="K343" s="116"/>
      <c r="L343" s="116"/>
      <c r="M343" s="116"/>
      <c r="N343" s="116"/>
      <c r="O343" s="116"/>
      <c r="P343" s="116"/>
      <c r="Q343" s="116"/>
      <c r="R343" s="116"/>
      <c r="S343" s="116"/>
      <c r="T343" s="116"/>
      <c r="U343" s="114" t="s">
        <v>104</v>
      </c>
      <c r="V343" s="114" t="s">
        <v>2076</v>
      </c>
      <c r="W343" s="116" t="s">
        <v>106</v>
      </c>
      <c r="X343" s="116" t="s">
        <v>143</v>
      </c>
      <c r="Y343" s="116" t="s">
        <v>152</v>
      </c>
      <c r="Z343" s="114">
        <f>IF(INDIRECT("Y343")="Clássico","12%",IF(INDIRECT("Y343")="Premium","17%","-"))</f>
      </c>
      <c r="AA343" s="116" t="s">
        <v>1357</v>
      </c>
      <c r="AB343" s="116" t="s">
        <v>110</v>
      </c>
      <c r="AC343" s="116" t="n">
        <v>30.0</v>
      </c>
      <c r="AD343" s="116" t="s">
        <v>111</v>
      </c>
      <c r="AE343" s="117" t="s">
        <v>112</v>
      </c>
      <c r="AF343" s="114" t="s">
        <v>2077</v>
      </c>
      <c r="AG343" s="116" t="n">
        <v>26.0</v>
      </c>
      <c r="AH343" s="116" t="n">
        <v>19.0</v>
      </c>
      <c r="AI343" s="116" t="n">
        <v>11.0</v>
      </c>
      <c r="AJ343" s="116" t="n">
        <v>0.54</v>
      </c>
    </row>
    <row r="344" ht="50.0" customHeight="true">
      <c r="A344" s="114" t="s">
        <v>2078</v>
      </c>
      <c r="B344" s="114" t="s">
        <v>2079</v>
      </c>
      <c r="C344" s="114" t="s">
        <v>2080</v>
      </c>
      <c r="D344" s="114"/>
      <c r="E344" s="115" t="s">
        <v>2081</v>
      </c>
      <c r="F344" s="114" t="s">
        <v>2082</v>
      </c>
      <c r="G344" s="114" t="s">
        <v>102</v>
      </c>
      <c r="H344" s="116" t="n">
        <v>0.0</v>
      </c>
      <c r="I344" s="116" t="n">
        <v>37.0</v>
      </c>
      <c r="J344" s="116" t="s">
        <v>103</v>
      </c>
      <c r="K344" s="116"/>
      <c r="L344" s="116"/>
      <c r="M344" s="116"/>
      <c r="N344" s="116"/>
      <c r="O344" s="116"/>
      <c r="P344" s="116"/>
      <c r="Q344" s="116"/>
      <c r="R344" s="116"/>
      <c r="S344" s="116"/>
      <c r="T344" s="116"/>
      <c r="U344" s="114" t="s">
        <v>104</v>
      </c>
      <c r="V344" s="114" t="s">
        <v>2083</v>
      </c>
      <c r="W344" s="116" t="s">
        <v>106</v>
      </c>
      <c r="X344" s="116" t="s">
        <v>107</v>
      </c>
      <c r="Y344" s="116" t="s">
        <v>108</v>
      </c>
      <c r="Z344" s="114">
        <f>IF(INDIRECT("Y344")="Clássico","11.5%",IF(INDIRECT("Y344")="Premium","16.5%","-"))</f>
      </c>
      <c r="AA344" s="116" t="s">
        <v>1357</v>
      </c>
      <c r="AB344" s="116" t="s">
        <v>110</v>
      </c>
      <c r="AC344" s="116" t="n">
        <v>30.0</v>
      </c>
      <c r="AD344" s="116" t="s">
        <v>111</v>
      </c>
      <c r="AE344" s="117" t="s">
        <v>112</v>
      </c>
      <c r="AF344" s="114" t="s">
        <v>421</v>
      </c>
      <c r="AG344" s="116" t="n">
        <v>15.0</v>
      </c>
      <c r="AH344" s="116" t="n">
        <v>11.0</v>
      </c>
      <c r="AI344" s="116" t="n">
        <v>4.0</v>
      </c>
      <c r="AJ344" s="116" t="n">
        <v>0.11</v>
      </c>
    </row>
    <row r="345" ht="50.0" customHeight="true">
      <c r="A345" s="114" t="s">
        <v>2078</v>
      </c>
      <c r="B345" s="114" t="s">
        <v>2084</v>
      </c>
      <c r="C345" s="114" t="s">
        <v>2080</v>
      </c>
      <c r="D345" s="114"/>
      <c r="E345" s="115" t="s">
        <v>2081</v>
      </c>
      <c r="F345" s="114" t="s">
        <v>2085</v>
      </c>
      <c r="G345" s="114" t="s">
        <v>2085</v>
      </c>
      <c r="H345" s="116" t="n">
        <v>0.0</v>
      </c>
      <c r="I345" s="116" t="n">
        <v>37.0</v>
      </c>
      <c r="J345" s="116" t="s">
        <v>103</v>
      </c>
      <c r="K345" s="116"/>
      <c r="L345" s="116"/>
      <c r="M345" s="116"/>
      <c r="N345" s="116"/>
      <c r="O345" s="116"/>
      <c r="P345" s="116"/>
      <c r="Q345" s="116"/>
      <c r="R345" s="116"/>
      <c r="S345" s="116"/>
      <c r="T345" s="116"/>
      <c r="U345" s="116" t="s">
        <v>104</v>
      </c>
      <c r="V345" s="118" t="s">
        <v>2086</v>
      </c>
      <c r="W345" s="116" t="s">
        <v>106</v>
      </c>
      <c r="X345" s="116" t="s">
        <v>107</v>
      </c>
      <c r="Y345" s="116" t="s">
        <v>108</v>
      </c>
      <c r="Z345" s="114">
        <f>IF(INDIRECT("Y345")="Clássico","11.5%",IF(INDIRECT("Y345")="Premium","16.5%","-"))</f>
      </c>
      <c r="AA345" s="116" t="s">
        <v>1357</v>
      </c>
      <c r="AB345" s="116" t="s">
        <v>110</v>
      </c>
      <c r="AC345" s="116" t="n">
        <v>30.0</v>
      </c>
      <c r="AD345" s="116" t="s">
        <v>111</v>
      </c>
      <c r="AE345" s="117" t="s">
        <v>112</v>
      </c>
      <c r="AF345" s="114" t="s">
        <v>421</v>
      </c>
      <c r="AG345" s="116" t="n">
        <v>15.0</v>
      </c>
      <c r="AH345" s="116" t="n">
        <v>11.0</v>
      </c>
      <c r="AI345" s="116" t="n">
        <v>4.0</v>
      </c>
      <c r="AJ345" s="116" t="n">
        <v>0.11</v>
      </c>
    </row>
    <row r="346" ht="50.0" customHeight="true">
      <c r="A346" s="114" t="s">
        <v>2087</v>
      </c>
      <c r="B346" s="114" t="s">
        <v>2088</v>
      </c>
      <c r="C346" s="114" t="s">
        <v>2089</v>
      </c>
      <c r="D346" s="114"/>
      <c r="E346" s="115" t="s">
        <v>2090</v>
      </c>
      <c r="F346" s="114" t="s">
        <v>2091</v>
      </c>
      <c r="G346" s="114" t="s">
        <v>102</v>
      </c>
      <c r="H346" s="116" t="n">
        <v>0.0</v>
      </c>
      <c r="I346" s="116" t="n">
        <v>780.0</v>
      </c>
      <c r="J346" s="116" t="s">
        <v>103</v>
      </c>
      <c r="K346" s="116"/>
      <c r="L346" s="116"/>
      <c r="M346" s="116"/>
      <c r="N346" s="116"/>
      <c r="O346" s="116"/>
      <c r="P346" s="116"/>
      <c r="Q346" s="116"/>
      <c r="R346" s="116"/>
      <c r="S346" s="116"/>
      <c r="T346" s="116"/>
      <c r="U346" s="114" t="s">
        <v>104</v>
      </c>
      <c r="V346" s="114" t="s">
        <v>2092</v>
      </c>
      <c r="W346" s="116" t="s">
        <v>130</v>
      </c>
      <c r="X346" s="116" t="s">
        <v>107</v>
      </c>
      <c r="Y346" s="116" t="s">
        <v>108</v>
      </c>
      <c r="Z346" s="114">
        <f>IF(INDIRECT("Y346")="Clássico","10%",IF(INDIRECT("Y346")="Premium","15%","-"))</f>
      </c>
      <c r="AA346" s="116" t="s">
        <v>1357</v>
      </c>
      <c r="AB346" s="116" t="s">
        <v>686</v>
      </c>
      <c r="AC346" s="116" t="n">
        <v>0.0</v>
      </c>
      <c r="AD346" s="116" t="s">
        <v>22</v>
      </c>
      <c r="AE346" s="117" t="s">
        <v>112</v>
      </c>
      <c r="AF346" s="114" t="s">
        <v>1705</v>
      </c>
      <c r="AG346" s="116" t="n">
        <v>37.0</v>
      </c>
      <c r="AH346" s="116" t="n">
        <v>37.0</v>
      </c>
      <c r="AI346" s="116" t="n">
        <v>21.0</v>
      </c>
      <c r="AJ346" s="116" t="n">
        <v>6.56</v>
      </c>
    </row>
    <row r="347" ht="50.0" customHeight="true">
      <c r="A347" s="114" t="s">
        <v>2093</v>
      </c>
      <c r="B347" s="114" t="s">
        <v>2094</v>
      </c>
      <c r="C347" s="114" t="s">
        <v>2095</v>
      </c>
      <c r="D347" s="114"/>
      <c r="E347" s="115" t="s">
        <v>2096</v>
      </c>
      <c r="F347" s="114" t="s">
        <v>2097</v>
      </c>
      <c r="G347" s="114" t="s">
        <v>2098</v>
      </c>
      <c r="H347" s="116" t="n">
        <v>0.0</v>
      </c>
      <c r="I347" s="116" t="n">
        <v>399.0</v>
      </c>
      <c r="J347" s="116" t="s">
        <v>103</v>
      </c>
      <c r="K347" s="116"/>
      <c r="L347" s="116"/>
      <c r="M347" s="116"/>
      <c r="N347" s="116"/>
      <c r="O347" s="116"/>
      <c r="P347" s="116"/>
      <c r="Q347" s="116"/>
      <c r="R347" s="116"/>
      <c r="S347" s="116"/>
      <c r="T347" s="116"/>
      <c r="U347" s="116" t="s">
        <v>104</v>
      </c>
      <c r="V347" s="118" t="s">
        <v>2099</v>
      </c>
      <c r="W347" s="116" t="s">
        <v>130</v>
      </c>
      <c r="X347" s="116" t="s">
        <v>107</v>
      </c>
      <c r="Y347" s="116" t="s">
        <v>152</v>
      </c>
      <c r="Z347" s="114">
        <f>IF(INDIRECT("Y347")="Clássico","11.5%",IF(INDIRECT("Y347")="Premium","16.5%","-"))</f>
      </c>
      <c r="AA347" s="116" t="s">
        <v>1357</v>
      </c>
      <c r="AB347" s="116" t="s">
        <v>120</v>
      </c>
      <c r="AC347" s="116" t="n">
        <v>30.0</v>
      </c>
      <c r="AD347" s="116" t="s">
        <v>111</v>
      </c>
      <c r="AE347" s="117" t="s">
        <v>112</v>
      </c>
      <c r="AF347" s="114" t="s">
        <v>1107</v>
      </c>
      <c r="AG347" s="116" t="n">
        <v>22.0</v>
      </c>
      <c r="AH347" s="116" t="n">
        <v>15.0</v>
      </c>
      <c r="AI347" s="116" t="n">
        <v>13.0</v>
      </c>
      <c r="AJ347" s="116" t="n">
        <v>0.14</v>
      </c>
    </row>
    <row r="348" ht="50.0" customHeight="true">
      <c r="A348" s="114" t="s">
        <v>2100</v>
      </c>
      <c r="B348" s="114" t="s">
        <v>2101</v>
      </c>
      <c r="C348" s="114" t="s">
        <v>2102</v>
      </c>
      <c r="D348" s="114"/>
      <c r="E348" s="115" t="s">
        <v>2103</v>
      </c>
      <c r="F348" s="114" t="s">
        <v>2104</v>
      </c>
      <c r="G348" s="114" t="s">
        <v>2104</v>
      </c>
      <c r="H348" s="116" t="n">
        <v>0.0</v>
      </c>
      <c r="I348" s="116" t="n">
        <v>280.0</v>
      </c>
      <c r="J348" s="116" t="s">
        <v>103</v>
      </c>
      <c r="K348" s="116"/>
      <c r="L348" s="116"/>
      <c r="M348" s="116"/>
      <c r="N348" s="116"/>
      <c r="O348" s="116"/>
      <c r="P348" s="116"/>
      <c r="Q348" s="116"/>
      <c r="R348" s="116"/>
      <c r="S348" s="116"/>
      <c r="T348" s="116"/>
      <c r="U348" s="116" t="s">
        <v>104</v>
      </c>
      <c r="V348" s="118" t="s">
        <v>2105</v>
      </c>
      <c r="W348" s="116" t="s">
        <v>130</v>
      </c>
      <c r="X348" s="116" t="s">
        <v>107</v>
      </c>
      <c r="Y348" s="116" t="s">
        <v>108</v>
      </c>
      <c r="Z348" s="114">
        <f>IF(INDIRECT("Y348")="Clássico","12%",IF(INDIRECT("Y348")="Premium","17%","-"))</f>
      </c>
      <c r="AA348" s="116" t="s">
        <v>1357</v>
      </c>
      <c r="AB348" s="116" t="s">
        <v>110</v>
      </c>
      <c r="AC348" s="116" t="n">
        <v>30.0</v>
      </c>
      <c r="AD348" s="116" t="s">
        <v>111</v>
      </c>
      <c r="AE348" s="117" t="s">
        <v>112</v>
      </c>
      <c r="AF348" s="114" t="s">
        <v>2106</v>
      </c>
      <c r="AG348" s="116" t="n">
        <v>18.0</v>
      </c>
      <c r="AH348" s="116" t="n">
        <v>15.0</v>
      </c>
      <c r="AI348" s="116" t="n">
        <v>8.0</v>
      </c>
      <c r="AJ348" s="116" t="n">
        <v>0.14</v>
      </c>
    </row>
    <row r="349" ht="50.0" customHeight="true">
      <c r="A349" s="114" t="s">
        <v>2107</v>
      </c>
      <c r="B349" s="114" t="s">
        <v>2108</v>
      </c>
      <c r="C349" s="114" t="s">
        <v>2109</v>
      </c>
      <c r="D349" s="114"/>
      <c r="E349" s="115"/>
      <c r="F349" s="114" t="s">
        <v>2110</v>
      </c>
      <c r="G349" s="114" t="s">
        <v>761</v>
      </c>
      <c r="H349" s="116" t="n">
        <v>0.0</v>
      </c>
      <c r="I349" s="116" t="n">
        <v>12700.0</v>
      </c>
      <c r="J349" s="116" t="s">
        <v>103</v>
      </c>
      <c r="K349" s="116"/>
      <c r="L349" s="116"/>
      <c r="M349" s="116"/>
      <c r="N349" s="116"/>
      <c r="O349" s="116"/>
      <c r="P349" s="116"/>
      <c r="Q349" s="116"/>
      <c r="R349" s="116"/>
      <c r="S349" s="116"/>
      <c r="T349" s="116"/>
      <c r="U349" s="116" t="s">
        <v>104</v>
      </c>
      <c r="V349" s="118" t="s">
        <v>22</v>
      </c>
      <c r="W349" s="116" t="s">
        <v>130</v>
      </c>
      <c r="X349" s="116" t="s">
        <v>107</v>
      </c>
      <c r="Y349" s="116" t="s">
        <v>108</v>
      </c>
      <c r="Z349" s="114">
        <f>IF(INDIRECT("Y349")="Clássico","12%",IF(INDIRECT("Y349")="Premium","17%","-"))</f>
      </c>
      <c r="AA349" s="116" t="s">
        <v>1357</v>
      </c>
      <c r="AB349" s="116" t="s">
        <v>110</v>
      </c>
      <c r="AC349" s="116" t="n">
        <v>30.0</v>
      </c>
      <c r="AD349" s="116" t="s">
        <v>111</v>
      </c>
      <c r="AE349" s="117" t="s">
        <v>112</v>
      </c>
      <c r="AF349" s="114" t="s">
        <v>1206</v>
      </c>
      <c r="AG349" s="116" t="n">
        <v>27.0</v>
      </c>
      <c r="AH349" s="116" t="n">
        <v>23.0</v>
      </c>
      <c r="AI349" s="116" t="n">
        <v>11.0</v>
      </c>
      <c r="AJ349" s="116" t="n">
        <v>1.09</v>
      </c>
    </row>
    <row r="350" ht="50.0" customHeight="true">
      <c r="A350" s="114" t="s">
        <v>2111</v>
      </c>
      <c r="B350" s="114" t="s">
        <v>2112</v>
      </c>
      <c r="C350" s="114" t="s">
        <v>2113</v>
      </c>
      <c r="D350" s="114"/>
      <c r="E350" s="115" t="s">
        <v>2114</v>
      </c>
      <c r="F350" s="114" t="s">
        <v>2115</v>
      </c>
      <c r="G350" s="114" t="s">
        <v>2115</v>
      </c>
      <c r="H350" s="116" t="n">
        <v>0.0</v>
      </c>
      <c r="I350" s="116" t="n">
        <v>2000.0</v>
      </c>
      <c r="J350" s="116" t="s">
        <v>103</v>
      </c>
      <c r="K350" s="116"/>
      <c r="L350" s="116"/>
      <c r="M350" s="116"/>
      <c r="N350" s="116"/>
      <c r="O350" s="116"/>
      <c r="P350" s="116"/>
      <c r="Q350" s="116"/>
      <c r="R350" s="116"/>
      <c r="S350" s="116"/>
      <c r="T350" s="116"/>
      <c r="U350" s="116" t="s">
        <v>104</v>
      </c>
      <c r="V350" s="118" t="s">
        <v>2116</v>
      </c>
      <c r="W350" s="116" t="s">
        <v>130</v>
      </c>
      <c r="X350" s="116" t="s">
        <v>107</v>
      </c>
      <c r="Y350" s="116" t="s">
        <v>152</v>
      </c>
      <c r="Z350" s="114">
        <f>IF(INDIRECT("Y350")="Clássico","12%",IF(INDIRECT("Y350")="Premium","17%","-"))</f>
      </c>
      <c r="AA350" s="116" t="s">
        <v>1357</v>
      </c>
      <c r="AB350" s="116" t="s">
        <v>110</v>
      </c>
      <c r="AC350" s="116" t="n">
        <v>30.0</v>
      </c>
      <c r="AD350" s="116" t="s">
        <v>111</v>
      </c>
      <c r="AE350" s="117" t="s">
        <v>112</v>
      </c>
      <c r="AF350" s="114" t="s">
        <v>1851</v>
      </c>
      <c r="AG350" s="116" t="n">
        <v>37.0</v>
      </c>
      <c r="AH350" s="116" t="n">
        <v>94.0</v>
      </c>
      <c r="AI350" s="116" t="n">
        <v>24.0</v>
      </c>
      <c r="AJ350" s="116" t="n">
        <v>16.5</v>
      </c>
    </row>
    <row r="351" ht="50.0" customHeight="true">
      <c r="A351" s="114" t="s">
        <v>2117</v>
      </c>
      <c r="B351" s="114" t="s">
        <v>2118</v>
      </c>
      <c r="C351" s="114" t="s">
        <v>2119</v>
      </c>
      <c r="D351" s="114"/>
      <c r="E351" s="115" t="s">
        <v>2120</v>
      </c>
      <c r="F351" s="114" t="s">
        <v>2121</v>
      </c>
      <c r="G351" s="114" t="s">
        <v>2122</v>
      </c>
      <c r="H351" s="116" t="n">
        <v>0.0</v>
      </c>
      <c r="I351" s="116" t="n">
        <v>899.0</v>
      </c>
      <c r="J351" s="116" t="s">
        <v>103</v>
      </c>
      <c r="K351" s="116"/>
      <c r="L351" s="116"/>
      <c r="M351" s="116"/>
      <c r="N351" s="116"/>
      <c r="O351" s="116"/>
      <c r="P351" s="116"/>
      <c r="Q351" s="116"/>
      <c r="R351" s="116"/>
      <c r="S351" s="116"/>
      <c r="T351" s="116"/>
      <c r="U351" s="116" t="s">
        <v>104</v>
      </c>
      <c r="V351" s="118" t="s">
        <v>2123</v>
      </c>
      <c r="W351" s="116" t="s">
        <v>862</v>
      </c>
      <c r="X351" s="116" t="s">
        <v>143</v>
      </c>
      <c r="Y351" s="116" t="s">
        <v>152</v>
      </c>
      <c r="Z351" s="114">
        <f>IF(INDIRECT("Y351")="Clássico","11%",IF(INDIRECT("Y351")="Premium","16%","-"))</f>
      </c>
      <c r="AA351" s="116" t="s">
        <v>1357</v>
      </c>
      <c r="AB351" s="116" t="s">
        <v>110</v>
      </c>
      <c r="AC351" s="116" t="n">
        <v>30.0</v>
      </c>
      <c r="AD351" s="116" t="s">
        <v>111</v>
      </c>
      <c r="AE351" s="117" t="s">
        <v>112</v>
      </c>
      <c r="AF351" s="114" t="s">
        <v>2124</v>
      </c>
      <c r="AG351" s="114" t="s">
        <v>2125</v>
      </c>
      <c r="AH351" s="114" t="s">
        <v>2126</v>
      </c>
      <c r="AI351" s="114" t="s">
        <v>2127</v>
      </c>
      <c r="AJ351" s="114" t="s">
        <v>2128</v>
      </c>
    </row>
    <row r="352" ht="50.0" customHeight="true">
      <c r="A352" s="114" t="s">
        <v>2129</v>
      </c>
      <c r="B352" s="114" t="s">
        <v>2130</v>
      </c>
      <c r="C352" s="114" t="s">
        <v>2131</v>
      </c>
      <c r="D352" s="114"/>
      <c r="E352" s="115" t="s">
        <v>2132</v>
      </c>
      <c r="F352" s="114" t="s">
        <v>2133</v>
      </c>
      <c r="G352" s="114" t="s">
        <v>254</v>
      </c>
      <c r="H352" s="116" t="n">
        <v>0.0</v>
      </c>
      <c r="I352" s="116" t="n">
        <v>99.9</v>
      </c>
      <c r="J352" s="116" t="s">
        <v>103</v>
      </c>
      <c r="K352" s="116"/>
      <c r="L352" s="116"/>
      <c r="M352" s="116"/>
      <c r="N352" s="116"/>
      <c r="O352" s="116"/>
      <c r="P352" s="116"/>
      <c r="Q352" s="116"/>
      <c r="R352" s="116"/>
      <c r="S352" s="116"/>
      <c r="T352" s="116"/>
      <c r="U352" s="116" t="s">
        <v>104</v>
      </c>
      <c r="V352" s="118" t="s">
        <v>2134</v>
      </c>
      <c r="W352" s="116" t="s">
        <v>130</v>
      </c>
      <c r="X352" s="116" t="s">
        <v>107</v>
      </c>
      <c r="Y352" s="116" t="s">
        <v>152</v>
      </c>
      <c r="Z352" s="114">
        <f>IF(INDIRECT("Y352")="Clássico","11.5%",IF(INDIRECT("Y352")="Premium","16.5%","-"))</f>
      </c>
      <c r="AA352" s="116" t="s">
        <v>1357</v>
      </c>
      <c r="AB352" s="116" t="s">
        <v>110</v>
      </c>
      <c r="AC352" s="116" t="n">
        <v>30.0</v>
      </c>
      <c r="AD352" s="116" t="s">
        <v>111</v>
      </c>
      <c r="AE352" s="117" t="s">
        <v>112</v>
      </c>
      <c r="AF352" s="114" t="s">
        <v>1776</v>
      </c>
      <c r="AG352" s="116" t="n">
        <v>14.0</v>
      </c>
      <c r="AH352" s="116" t="n">
        <v>22.0</v>
      </c>
      <c r="AI352" s="116" t="n">
        <v>22.0</v>
      </c>
      <c r="AJ352" s="116" t="n">
        <v>5.0</v>
      </c>
    </row>
    <row r="353" ht="50.0" customHeight="true">
      <c r="A353" s="114" t="s">
        <v>2135</v>
      </c>
      <c r="B353" s="114" t="s">
        <v>2136</v>
      </c>
      <c r="C353" s="114" t="s">
        <v>2137</v>
      </c>
      <c r="D353" s="114"/>
      <c r="E353" s="115" t="s">
        <v>2138</v>
      </c>
      <c r="F353" s="114" t="s">
        <v>2139</v>
      </c>
      <c r="G353" s="114" t="s">
        <v>769</v>
      </c>
      <c r="H353" s="116" t="n">
        <v>0.0</v>
      </c>
      <c r="I353" s="116" t="n">
        <v>449.0</v>
      </c>
      <c r="J353" s="116" t="s">
        <v>103</v>
      </c>
      <c r="K353" s="116" t="n">
        <v>449.0</v>
      </c>
      <c r="L353" s="116" t="n">
        <v>1.0</v>
      </c>
      <c r="M353" s="116"/>
      <c r="N353" s="116"/>
      <c r="O353" s="116"/>
      <c r="P353" s="116"/>
      <c r="Q353" s="116"/>
      <c r="R353" s="116"/>
      <c r="S353" s="116"/>
      <c r="T353" s="116"/>
      <c r="U353" s="116" t="s">
        <v>104</v>
      </c>
      <c r="V353" s="118" t="s">
        <v>2140</v>
      </c>
      <c r="W353" s="116" t="s">
        <v>130</v>
      </c>
      <c r="X353" s="116" t="s">
        <v>143</v>
      </c>
      <c r="Y353" s="116" t="s">
        <v>108</v>
      </c>
      <c r="Z353" s="114">
        <f>IF(INDIRECT("Y353")="Clássico","12%",IF(INDIRECT("Y353")="Premium","17%","-"))</f>
      </c>
      <c r="AA353" s="116" t="s">
        <v>1357</v>
      </c>
      <c r="AB353" s="116" t="s">
        <v>110</v>
      </c>
      <c r="AC353" s="116" t="n">
        <v>30.0</v>
      </c>
      <c r="AD353" s="116" t="s">
        <v>111</v>
      </c>
      <c r="AE353" s="117" t="s">
        <v>112</v>
      </c>
      <c r="AF353" s="114" t="s">
        <v>2141</v>
      </c>
      <c r="AG353" s="116" t="n">
        <v>12.0</v>
      </c>
      <c r="AH353" s="116" t="n">
        <v>10.0</v>
      </c>
      <c r="AI353" s="116" t="n">
        <v>2.0</v>
      </c>
      <c r="AJ353" s="116" t="n">
        <v>0.3</v>
      </c>
    </row>
    <row r="354" ht="50.0" customHeight="true">
      <c r="A354" s="114" t="s">
        <v>1664</v>
      </c>
      <c r="B354" s="114" t="s">
        <v>2142</v>
      </c>
      <c r="C354" s="114" t="s">
        <v>1666</v>
      </c>
      <c r="D354" s="114"/>
      <c r="E354" s="115" t="s">
        <v>1667</v>
      </c>
      <c r="F354" s="114" t="s">
        <v>2143</v>
      </c>
      <c r="G354" s="114" t="s">
        <v>102</v>
      </c>
      <c r="H354" s="116" t="n">
        <v>0.0</v>
      </c>
      <c r="I354" s="116" t="n">
        <v>45.0</v>
      </c>
      <c r="J354" s="116" t="s">
        <v>103</v>
      </c>
      <c r="K354" s="116" t="n">
        <v>43.0</v>
      </c>
      <c r="L354" s="116" t="n">
        <v>2.0</v>
      </c>
      <c r="M354" s="116"/>
      <c r="N354" s="116"/>
      <c r="O354" s="116"/>
      <c r="P354" s="116"/>
      <c r="Q354" s="116"/>
      <c r="R354" s="116"/>
      <c r="S354" s="116"/>
      <c r="T354" s="116"/>
      <c r="U354" s="114" t="s">
        <v>104</v>
      </c>
      <c r="V354" s="114" t="s">
        <v>2144</v>
      </c>
      <c r="W354" s="116" t="s">
        <v>106</v>
      </c>
      <c r="X354" s="116" t="s">
        <v>143</v>
      </c>
      <c r="Y354" s="116" t="s">
        <v>108</v>
      </c>
      <c r="Z354" s="114">
        <f>IF(INDIRECT("Y354")="Clássico","12%",IF(INDIRECT("Y354")="Premium","17%","-"))</f>
      </c>
      <c r="AA354" s="116" t="s">
        <v>1357</v>
      </c>
      <c r="AB354" s="116" t="s">
        <v>110</v>
      </c>
      <c r="AC354" s="116" t="n">
        <v>3.0</v>
      </c>
      <c r="AD354" s="116" t="s">
        <v>121</v>
      </c>
      <c r="AE354" s="117" t="s">
        <v>112</v>
      </c>
      <c r="AF354" s="114" t="s">
        <v>1670</v>
      </c>
      <c r="AG354" s="116" t="n">
        <v>23.0</v>
      </c>
      <c r="AH354" s="116" t="n">
        <v>20.0</v>
      </c>
      <c r="AI354" s="116" t="n">
        <v>11.0</v>
      </c>
      <c r="AJ354" s="116" t="n">
        <v>0.2</v>
      </c>
    </row>
    <row r="355" ht="50.0" customHeight="true">
      <c r="A355" s="114" t="s">
        <v>2145</v>
      </c>
      <c r="B355" s="114" t="s">
        <v>2146</v>
      </c>
      <c r="C355" s="114" t="s">
        <v>2147</v>
      </c>
      <c r="D355" s="114"/>
      <c r="E355" s="115" t="s">
        <v>2148</v>
      </c>
      <c r="F355" s="115" t="s">
        <v>2149</v>
      </c>
      <c r="G355" s="114" t="s">
        <v>2149</v>
      </c>
      <c r="H355" s="116" t="n">
        <v>2.0</v>
      </c>
      <c r="I355" s="116" t="n">
        <v>39.9</v>
      </c>
      <c r="J355" s="116" t="s">
        <v>103</v>
      </c>
      <c r="K355" s="116"/>
      <c r="L355" s="116"/>
      <c r="M355" s="116"/>
      <c r="N355" s="116"/>
      <c r="O355" s="116"/>
      <c r="P355" s="116"/>
      <c r="Q355" s="116"/>
      <c r="R355" s="116"/>
      <c r="S355" s="116"/>
      <c r="T355" s="116"/>
      <c r="U355" s="116" t="s">
        <v>1416</v>
      </c>
      <c r="V355" s="118" t="s">
        <v>2150</v>
      </c>
      <c r="W355" s="116" t="s">
        <v>106</v>
      </c>
      <c r="X355" s="116" t="s">
        <v>143</v>
      </c>
      <c r="Y355" s="116" t="s">
        <v>152</v>
      </c>
      <c r="Z355" s="114">
        <f>IF(INDIRECT("Y355")="Clássico","12%",IF(INDIRECT("Y355")="Premium","17%","-"))</f>
      </c>
      <c r="AA355" s="116" t="s">
        <v>1357</v>
      </c>
      <c r="AB355" s="116" t="s">
        <v>110</v>
      </c>
      <c r="AC355" s="116" t="n">
        <v>3.0</v>
      </c>
      <c r="AD355" s="116" t="s">
        <v>121</v>
      </c>
      <c r="AE355" s="114" t="s">
        <v>131</v>
      </c>
      <c r="AF355" s="114" t="s">
        <v>2106</v>
      </c>
      <c r="AG355" s="116"/>
      <c r="AH355" s="116"/>
      <c r="AI355" s="116"/>
      <c r="AJ355" s="116"/>
    </row>
    <row r="356" ht="50.0" customHeight="true">
      <c r="A356" s="114" t="s">
        <v>2151</v>
      </c>
      <c r="B356" s="114" t="s">
        <v>2152</v>
      </c>
      <c r="C356" s="114" t="s">
        <v>2153</v>
      </c>
      <c r="D356" s="114"/>
      <c r="E356" s="115" t="s">
        <v>2154</v>
      </c>
      <c r="F356" s="115" t="s">
        <v>2155</v>
      </c>
      <c r="G356" s="114" t="s">
        <v>2155</v>
      </c>
      <c r="H356" s="116" t="n">
        <v>500.0</v>
      </c>
      <c r="I356" s="116" t="n">
        <v>99.9</v>
      </c>
      <c r="J356" s="116" t="s">
        <v>103</v>
      </c>
      <c r="K356" s="116"/>
      <c r="L356" s="116"/>
      <c r="M356" s="116"/>
      <c r="N356" s="116"/>
      <c r="O356" s="116"/>
      <c r="P356" s="116"/>
      <c r="Q356" s="116"/>
      <c r="R356" s="116"/>
      <c r="S356" s="116"/>
      <c r="T356" s="116"/>
      <c r="U356" s="116" t="s">
        <v>104</v>
      </c>
      <c r="V356" s="118" t="s">
        <v>2156</v>
      </c>
      <c r="W356" s="116" t="s">
        <v>130</v>
      </c>
      <c r="X356" s="116" t="s">
        <v>143</v>
      </c>
      <c r="Y356" s="116" t="s">
        <v>152</v>
      </c>
      <c r="Z356" s="114">
        <f>IF(INDIRECT("Y356")="Clássico","12%",IF(INDIRECT("Y356")="Premium","17%","-"))</f>
      </c>
      <c r="AA356" s="116" t="s">
        <v>1357</v>
      </c>
      <c r="AB356" s="116" t="s">
        <v>110</v>
      </c>
      <c r="AC356" s="116" t="n">
        <v>3.0</v>
      </c>
      <c r="AD356" s="116" t="s">
        <v>121</v>
      </c>
      <c r="AE356" s="117" t="s">
        <v>112</v>
      </c>
      <c r="AF356" s="114" t="s">
        <v>144</v>
      </c>
      <c r="AG356" s="116"/>
      <c r="AH356" s="116"/>
      <c r="AI356" s="116"/>
      <c r="AJ356" s="116"/>
    </row>
    <row r="357" ht="50.0" customHeight="true">
      <c r="A357" s="114" t="s">
        <v>2157</v>
      </c>
      <c r="B357" s="114" t="s">
        <v>2158</v>
      </c>
      <c r="C357" s="114" t="s">
        <v>2159</v>
      </c>
      <c r="D357" s="114"/>
      <c r="E357" s="115"/>
      <c r="F357" s="115" t="s">
        <v>2160</v>
      </c>
      <c r="G357" s="114" t="s">
        <v>2161</v>
      </c>
      <c r="H357" s="116" t="n">
        <v>1.0</v>
      </c>
      <c r="I357" s="116" t="n">
        <v>29990.0</v>
      </c>
      <c r="J357" s="116" t="s">
        <v>103</v>
      </c>
      <c r="K357" s="116"/>
      <c r="L357" s="116"/>
      <c r="M357" s="116"/>
      <c r="N357" s="116"/>
      <c r="O357" s="116"/>
      <c r="P357" s="116"/>
      <c r="Q357" s="116"/>
      <c r="R357" s="116"/>
      <c r="S357" s="116"/>
      <c r="T357" s="116"/>
      <c r="U357" s="116" t="s">
        <v>104</v>
      </c>
      <c r="V357" s="118" t="s">
        <v>2162</v>
      </c>
      <c r="W357" s="116" t="s">
        <v>130</v>
      </c>
      <c r="X357" s="116" t="s">
        <v>143</v>
      </c>
      <c r="Y357" s="116" t="s">
        <v>152</v>
      </c>
      <c r="Z357" s="114">
        <f>IF(INDIRECT("Y357")="Clássico","12%",IF(INDIRECT("Y357")="Premium","17%","-"))</f>
      </c>
      <c r="AA357" s="116" t="s">
        <v>1357</v>
      </c>
      <c r="AB357" s="116" t="s">
        <v>120</v>
      </c>
      <c r="AC357" s="116" t="n">
        <v>3.0</v>
      </c>
      <c r="AD357" s="116" t="s">
        <v>121</v>
      </c>
      <c r="AE357" s="117" t="s">
        <v>112</v>
      </c>
      <c r="AF357" s="114" t="s">
        <v>1223</v>
      </c>
      <c r="AG357" s="116"/>
      <c r="AH357" s="116"/>
      <c r="AI357" s="116"/>
      <c r="AJ357" s="116"/>
    </row>
    <row r="358" ht="50.0" customHeight="true">
      <c r="A358" s="114" t="s">
        <v>2163</v>
      </c>
      <c r="B358" s="114" t="s">
        <v>2164</v>
      </c>
      <c r="C358" s="114" t="s">
        <v>2165</v>
      </c>
      <c r="D358" s="114"/>
      <c r="E358" s="115" t="s">
        <v>2166</v>
      </c>
      <c r="F358" s="115" t="s">
        <v>2167</v>
      </c>
      <c r="G358" s="114" t="s">
        <v>419</v>
      </c>
      <c r="H358" s="116" t="n">
        <v>1.0</v>
      </c>
      <c r="I358" s="116" t="n">
        <v>1199.0</v>
      </c>
      <c r="J358" s="116" t="s">
        <v>103</v>
      </c>
      <c r="K358" s="116"/>
      <c r="L358" s="116"/>
      <c r="M358" s="116"/>
      <c r="N358" s="116"/>
      <c r="O358" s="116"/>
      <c r="P358" s="116"/>
      <c r="Q358" s="116"/>
      <c r="R358" s="116"/>
      <c r="S358" s="116"/>
      <c r="T358" s="116"/>
      <c r="U358" s="116" t="s">
        <v>104</v>
      </c>
      <c r="V358" s="118" t="s">
        <v>2168</v>
      </c>
      <c r="W358" s="116" t="s">
        <v>130</v>
      </c>
      <c r="X358" s="116" t="s">
        <v>143</v>
      </c>
      <c r="Y358" s="116" t="s">
        <v>152</v>
      </c>
      <c r="Z358" s="114">
        <f>IF(INDIRECT("Y358")="Clássico","11.5%",IF(INDIRECT("Y358")="Premium","16.5%","-"))</f>
      </c>
      <c r="AA358" s="116" t="s">
        <v>1357</v>
      </c>
      <c r="AB358" s="116" t="s">
        <v>110</v>
      </c>
      <c r="AC358" s="116" t="n">
        <v>3.0</v>
      </c>
      <c r="AD358" s="116" t="s">
        <v>121</v>
      </c>
      <c r="AE358" s="117" t="s">
        <v>112</v>
      </c>
      <c r="AF358" s="114" t="s">
        <v>2169</v>
      </c>
      <c r="AG358" s="116" t="n">
        <v>18.0</v>
      </c>
      <c r="AH358" s="116" t="n">
        <v>13.0</v>
      </c>
      <c r="AI358" s="116" t="n">
        <v>10.0</v>
      </c>
      <c r="AJ358" s="116" t="n">
        <v>0.33</v>
      </c>
    </row>
    <row r="359" ht="50.0" customHeight="true">
      <c r="A359" s="114" t="s">
        <v>2170</v>
      </c>
      <c r="B359" s="114" t="s">
        <v>2171</v>
      </c>
      <c r="C359" s="114" t="s">
        <v>2172</v>
      </c>
      <c r="D359" s="114"/>
      <c r="E359" s="115" t="s">
        <v>2173</v>
      </c>
      <c r="F359" s="115" t="s">
        <v>2174</v>
      </c>
      <c r="G359" s="114" t="s">
        <v>2174</v>
      </c>
      <c r="H359" s="116" t="n">
        <v>1.0</v>
      </c>
      <c r="I359" s="116" t="n">
        <v>24.9</v>
      </c>
      <c r="J359" s="116" t="s">
        <v>103</v>
      </c>
      <c r="K359" s="116"/>
      <c r="L359" s="116"/>
      <c r="M359" s="116"/>
      <c r="N359" s="116"/>
      <c r="O359" s="116"/>
      <c r="P359" s="116"/>
      <c r="Q359" s="116"/>
      <c r="R359" s="116"/>
      <c r="S359" s="116"/>
      <c r="T359" s="116"/>
      <c r="U359" s="116" t="s">
        <v>1416</v>
      </c>
      <c r="V359" s="118" t="s">
        <v>2175</v>
      </c>
      <c r="W359" s="116" t="s">
        <v>106</v>
      </c>
      <c r="X359" s="116" t="s">
        <v>143</v>
      </c>
      <c r="Y359" s="116" t="s">
        <v>152</v>
      </c>
      <c r="Z359" s="114">
        <f>IF(INDIRECT("Y359")="Clássico","12%",IF(INDIRECT("Y359")="Premium","17%","-"))</f>
      </c>
      <c r="AA359" s="116" t="s">
        <v>1357</v>
      </c>
      <c r="AB359" s="116" t="s">
        <v>110</v>
      </c>
      <c r="AC359" s="116" t="n">
        <v>3.0</v>
      </c>
      <c r="AD359" s="116" t="s">
        <v>121</v>
      </c>
      <c r="AE359" s="114" t="s">
        <v>131</v>
      </c>
      <c r="AF359" s="114" t="s">
        <v>2106</v>
      </c>
      <c r="AG359" s="116"/>
      <c r="AH359" s="116"/>
      <c r="AI359" s="116"/>
      <c r="AJ359" s="116"/>
    </row>
    <row r="360" ht="50.0" customHeight="true">
      <c r="A360" s="114" t="s">
        <v>2176</v>
      </c>
      <c r="B360" s="114" t="s">
        <v>2177</v>
      </c>
      <c r="C360" s="114" t="s">
        <v>2178</v>
      </c>
      <c r="D360" s="114"/>
      <c r="E360" s="115" t="s">
        <v>2179</v>
      </c>
      <c r="F360" s="115" t="s">
        <v>2180</v>
      </c>
      <c r="G360" s="114" t="s">
        <v>2180</v>
      </c>
      <c r="H360" s="116" t="n">
        <v>1.0</v>
      </c>
      <c r="I360" s="116" t="n">
        <v>29.9</v>
      </c>
      <c r="J360" s="116" t="s">
        <v>103</v>
      </c>
      <c r="K360" s="116"/>
      <c r="L360" s="116"/>
      <c r="M360" s="116"/>
      <c r="N360" s="116"/>
      <c r="O360" s="116"/>
      <c r="P360" s="116"/>
      <c r="Q360" s="116"/>
      <c r="R360" s="116"/>
      <c r="S360" s="116"/>
      <c r="T360" s="116"/>
      <c r="U360" s="116" t="s">
        <v>1416</v>
      </c>
      <c r="V360" s="118" t="s">
        <v>2181</v>
      </c>
      <c r="W360" s="116" t="s">
        <v>106</v>
      </c>
      <c r="X360" s="116" t="s">
        <v>143</v>
      </c>
      <c r="Y360" s="116" t="s">
        <v>152</v>
      </c>
      <c r="Z360" s="114">
        <f>IF(INDIRECT("Y360")="Clássico","12%",IF(INDIRECT("Y360")="Premium","17%","-"))</f>
      </c>
      <c r="AA360" s="116" t="s">
        <v>1357</v>
      </c>
      <c r="AB360" s="116" t="s">
        <v>110</v>
      </c>
      <c r="AC360" s="116" t="n">
        <v>3.0</v>
      </c>
      <c r="AD360" s="116" t="s">
        <v>121</v>
      </c>
      <c r="AE360" s="114" t="s">
        <v>131</v>
      </c>
      <c r="AF360" s="114" t="s">
        <v>2106</v>
      </c>
      <c r="AG360" s="116"/>
      <c r="AH360" s="116"/>
      <c r="AI360" s="116"/>
      <c r="AJ360" s="116"/>
    </row>
    <row r="361" ht="50.0" customHeight="true">
      <c r="A361" s="114" t="s">
        <v>2182</v>
      </c>
      <c r="B361" s="114" t="s">
        <v>2183</v>
      </c>
      <c r="C361" s="114" t="s">
        <v>2184</v>
      </c>
      <c r="D361" s="114"/>
      <c r="E361" s="115" t="s">
        <v>2185</v>
      </c>
      <c r="F361" s="115" t="s">
        <v>2186</v>
      </c>
      <c r="G361" s="114" t="s">
        <v>2186</v>
      </c>
      <c r="H361" s="116" t="n">
        <v>1.0</v>
      </c>
      <c r="I361" s="116" t="n">
        <v>29.9</v>
      </c>
      <c r="J361" s="116" t="s">
        <v>103</v>
      </c>
      <c r="K361" s="116"/>
      <c r="L361" s="116"/>
      <c r="M361" s="116"/>
      <c r="N361" s="116"/>
      <c r="O361" s="116"/>
      <c r="P361" s="116"/>
      <c r="Q361" s="116"/>
      <c r="R361" s="116"/>
      <c r="S361" s="116"/>
      <c r="T361" s="116"/>
      <c r="U361" s="116" t="s">
        <v>1416</v>
      </c>
      <c r="V361" s="118" t="s">
        <v>2181</v>
      </c>
      <c r="W361" s="116" t="s">
        <v>106</v>
      </c>
      <c r="X361" s="116" t="s">
        <v>143</v>
      </c>
      <c r="Y361" s="116" t="s">
        <v>152</v>
      </c>
      <c r="Z361" s="114">
        <f>IF(INDIRECT("Y361")="Clássico","12%",IF(INDIRECT("Y361")="Premium","17%","-"))</f>
      </c>
      <c r="AA361" s="116" t="s">
        <v>1357</v>
      </c>
      <c r="AB361" s="116" t="s">
        <v>110</v>
      </c>
      <c r="AC361" s="116" t="n">
        <v>3.0</v>
      </c>
      <c r="AD361" s="116" t="s">
        <v>121</v>
      </c>
      <c r="AE361" s="114" t="s">
        <v>131</v>
      </c>
      <c r="AF361" s="114" t="s">
        <v>2106</v>
      </c>
      <c r="AG361" s="116"/>
      <c r="AH361" s="116"/>
      <c r="AI361" s="116"/>
      <c r="AJ361" s="116"/>
    </row>
    <row r="362" ht="50.0" customHeight="true">
      <c r="A362" s="114" t="s">
        <v>2187</v>
      </c>
      <c r="B362" s="114" t="s">
        <v>2188</v>
      </c>
      <c r="C362" s="114" t="s">
        <v>2189</v>
      </c>
      <c r="D362" s="114"/>
      <c r="E362" s="115" t="s">
        <v>2190</v>
      </c>
      <c r="F362" s="115" t="s">
        <v>2191</v>
      </c>
      <c r="G362" s="114" t="s">
        <v>2191</v>
      </c>
      <c r="H362" s="116" t="n">
        <v>1.0</v>
      </c>
      <c r="I362" s="116" t="n">
        <v>69.9</v>
      </c>
      <c r="J362" s="116" t="s">
        <v>103</v>
      </c>
      <c r="K362" s="116"/>
      <c r="L362" s="116"/>
      <c r="M362" s="116"/>
      <c r="N362" s="116"/>
      <c r="O362" s="116"/>
      <c r="P362" s="116"/>
      <c r="Q362" s="116"/>
      <c r="R362" s="116"/>
      <c r="S362" s="116"/>
      <c r="T362" s="116"/>
      <c r="U362" s="116" t="s">
        <v>1416</v>
      </c>
      <c r="V362" s="118" t="s">
        <v>2192</v>
      </c>
      <c r="W362" s="116" t="s">
        <v>2193</v>
      </c>
      <c r="X362" s="116" t="s">
        <v>143</v>
      </c>
      <c r="Y362" s="116" t="s">
        <v>152</v>
      </c>
      <c r="Z362" s="114">
        <f>IF(INDIRECT("Y362")="Clássico","12%",IF(INDIRECT("Y362")="Premium","17%","-"))</f>
      </c>
      <c r="AA362" s="116" t="s">
        <v>1357</v>
      </c>
      <c r="AB362" s="116" t="s">
        <v>110</v>
      </c>
      <c r="AC362" s="116" t="n">
        <v>3.0</v>
      </c>
      <c r="AD362" s="116" t="s">
        <v>121</v>
      </c>
      <c r="AE362" s="114" t="s">
        <v>131</v>
      </c>
      <c r="AF362" s="114" t="s">
        <v>2106</v>
      </c>
      <c r="AG362" s="116"/>
      <c r="AH362" s="116"/>
      <c r="AI362" s="116"/>
      <c r="AJ362" s="116"/>
    </row>
    <row r="363" ht="50.0" customHeight="true">
      <c r="A363" s="114" t="s">
        <v>2194</v>
      </c>
      <c r="B363" s="114" t="s">
        <v>2195</v>
      </c>
      <c r="C363" s="114" t="s">
        <v>2196</v>
      </c>
      <c r="D363" s="114"/>
      <c r="E363" s="115" t="s">
        <v>2197</v>
      </c>
      <c r="F363" s="115" t="s">
        <v>2198</v>
      </c>
      <c r="G363" s="114" t="s">
        <v>2198</v>
      </c>
      <c r="H363" s="116" t="n">
        <v>1.0</v>
      </c>
      <c r="I363" s="116" t="n">
        <v>69.9</v>
      </c>
      <c r="J363" s="116" t="s">
        <v>103</v>
      </c>
      <c r="K363" s="116"/>
      <c r="L363" s="116"/>
      <c r="M363" s="116"/>
      <c r="N363" s="116"/>
      <c r="O363" s="116"/>
      <c r="P363" s="116"/>
      <c r="Q363" s="116"/>
      <c r="R363" s="116"/>
      <c r="S363" s="116"/>
      <c r="T363" s="116"/>
      <c r="U363" s="116" t="s">
        <v>1416</v>
      </c>
      <c r="V363" s="118" t="s">
        <v>2199</v>
      </c>
      <c r="W363" s="116" t="s">
        <v>2193</v>
      </c>
      <c r="X363" s="116" t="s">
        <v>143</v>
      </c>
      <c r="Y363" s="116" t="s">
        <v>152</v>
      </c>
      <c r="Z363" s="114">
        <f>IF(INDIRECT("Y363")="Clássico","12%",IF(INDIRECT("Y363")="Premium","17%","-"))</f>
      </c>
      <c r="AA363" s="116" t="s">
        <v>1357</v>
      </c>
      <c r="AB363" s="116" t="s">
        <v>110</v>
      </c>
      <c r="AC363" s="116" t="n">
        <v>3.0</v>
      </c>
      <c r="AD363" s="116" t="s">
        <v>121</v>
      </c>
      <c r="AE363" s="114" t="s">
        <v>131</v>
      </c>
      <c r="AF363" s="114" t="s">
        <v>2106</v>
      </c>
      <c r="AG363" s="116"/>
      <c r="AH363" s="116"/>
      <c r="AI363" s="116"/>
      <c r="AJ363" s="116"/>
    </row>
    <row r="364" ht="50.0" customHeight="true">
      <c r="A364" s="114" t="s">
        <v>2200</v>
      </c>
      <c r="B364" s="114" t="s">
        <v>2201</v>
      </c>
      <c r="C364" s="114" t="s">
        <v>2202</v>
      </c>
      <c r="D364" s="114"/>
      <c r="E364" s="115" t="s">
        <v>2203</v>
      </c>
      <c r="F364" s="115" t="s">
        <v>2204</v>
      </c>
      <c r="G364" s="114" t="s">
        <v>2204</v>
      </c>
      <c r="H364" s="116" t="n">
        <v>1.0</v>
      </c>
      <c r="I364" s="116" t="n">
        <v>69.9</v>
      </c>
      <c r="J364" s="116" t="s">
        <v>103</v>
      </c>
      <c r="K364" s="116"/>
      <c r="L364" s="116"/>
      <c r="M364" s="116"/>
      <c r="N364" s="116"/>
      <c r="O364" s="116"/>
      <c r="P364" s="116"/>
      <c r="Q364" s="116"/>
      <c r="R364" s="116"/>
      <c r="S364" s="116"/>
      <c r="T364" s="116"/>
      <c r="U364" s="116" t="s">
        <v>1416</v>
      </c>
      <c r="V364" s="118" t="s">
        <v>2205</v>
      </c>
      <c r="W364" s="116" t="s">
        <v>2193</v>
      </c>
      <c r="X364" s="116" t="s">
        <v>143</v>
      </c>
      <c r="Y364" s="116" t="s">
        <v>152</v>
      </c>
      <c r="Z364" s="114">
        <f>IF(INDIRECT("Y364")="Clássico","12%",IF(INDIRECT("Y364")="Premium","17%","-"))</f>
      </c>
      <c r="AA364" s="116" t="s">
        <v>1357</v>
      </c>
      <c r="AB364" s="116" t="s">
        <v>110</v>
      </c>
      <c r="AC364" s="116" t="n">
        <v>3.0</v>
      </c>
      <c r="AD364" s="116" t="s">
        <v>121</v>
      </c>
      <c r="AE364" s="114" t="s">
        <v>131</v>
      </c>
      <c r="AF364" s="114" t="s">
        <v>2106</v>
      </c>
      <c r="AG364" s="116"/>
      <c r="AH364" s="116"/>
      <c r="AI364" s="116"/>
      <c r="AJ364" s="116"/>
    </row>
    <row r="365" ht="50.0" customHeight="true">
      <c r="A365" s="114" t="s">
        <v>2206</v>
      </c>
      <c r="B365" s="114" t="s">
        <v>2207</v>
      </c>
      <c r="C365" s="114" t="s">
        <v>2208</v>
      </c>
      <c r="D365" s="114"/>
      <c r="E365" s="115" t="s">
        <v>2209</v>
      </c>
      <c r="F365" s="115" t="s">
        <v>2210</v>
      </c>
      <c r="G365" s="114" t="s">
        <v>2210</v>
      </c>
      <c r="H365" s="116" t="n">
        <v>1.0</v>
      </c>
      <c r="I365" s="116" t="n">
        <v>49.9</v>
      </c>
      <c r="J365" s="116" t="s">
        <v>103</v>
      </c>
      <c r="K365" s="116"/>
      <c r="L365" s="116"/>
      <c r="M365" s="116"/>
      <c r="N365" s="116"/>
      <c r="O365" s="116"/>
      <c r="P365" s="116"/>
      <c r="Q365" s="116"/>
      <c r="R365" s="116"/>
      <c r="S365" s="116"/>
      <c r="T365" s="116"/>
      <c r="U365" s="116" t="s">
        <v>1416</v>
      </c>
      <c r="V365" s="118" t="s">
        <v>2211</v>
      </c>
      <c r="W365" s="116" t="s">
        <v>106</v>
      </c>
      <c r="X365" s="116" t="s">
        <v>143</v>
      </c>
      <c r="Y365" s="116" t="s">
        <v>152</v>
      </c>
      <c r="Z365" s="114">
        <f>IF(INDIRECT("Y365")="Clássico","12%",IF(INDIRECT("Y365")="Premium","17%","-"))</f>
      </c>
      <c r="AA365" s="116" t="s">
        <v>1357</v>
      </c>
      <c r="AB365" s="116" t="s">
        <v>110</v>
      </c>
      <c r="AC365" s="116" t="n">
        <v>3.0</v>
      </c>
      <c r="AD365" s="116" t="s">
        <v>121</v>
      </c>
      <c r="AE365" s="114" t="s">
        <v>131</v>
      </c>
      <c r="AF365" s="114" t="s">
        <v>2106</v>
      </c>
      <c r="AG365" s="116"/>
      <c r="AH365" s="116"/>
      <c r="AI365" s="116"/>
      <c r="AJ365" s="116"/>
    </row>
    <row r="366" ht="50.0" customHeight="true">
      <c r="A366" s="114" t="s">
        <v>2212</v>
      </c>
      <c r="B366" s="114" t="s">
        <v>2213</v>
      </c>
      <c r="C366" s="114" t="s">
        <v>2214</v>
      </c>
      <c r="D366" s="114"/>
      <c r="E366" s="115" t="s">
        <v>2215</v>
      </c>
      <c r="F366" s="115" t="s">
        <v>2216</v>
      </c>
      <c r="G366" s="114" t="s">
        <v>2216</v>
      </c>
      <c r="H366" s="116" t="n">
        <v>1.0</v>
      </c>
      <c r="I366" s="116" t="n">
        <v>49.9</v>
      </c>
      <c r="J366" s="116" t="s">
        <v>103</v>
      </c>
      <c r="K366" s="116"/>
      <c r="L366" s="116"/>
      <c r="M366" s="116"/>
      <c r="N366" s="116"/>
      <c r="O366" s="116"/>
      <c r="P366" s="116"/>
      <c r="Q366" s="116"/>
      <c r="R366" s="116"/>
      <c r="S366" s="116"/>
      <c r="T366" s="116"/>
      <c r="U366" s="116" t="s">
        <v>1416</v>
      </c>
      <c r="V366" s="118" t="s">
        <v>2217</v>
      </c>
      <c r="W366" s="116" t="s">
        <v>106</v>
      </c>
      <c r="X366" s="116" t="s">
        <v>143</v>
      </c>
      <c r="Y366" s="116" t="s">
        <v>152</v>
      </c>
      <c r="Z366" s="114">
        <f>IF(INDIRECT("Y366")="Clássico","12%",IF(INDIRECT("Y366")="Premium","17%","-"))</f>
      </c>
      <c r="AA366" s="116" t="s">
        <v>1357</v>
      </c>
      <c r="AB366" s="116" t="s">
        <v>110</v>
      </c>
      <c r="AC366" s="116" t="n">
        <v>3.0</v>
      </c>
      <c r="AD366" s="116" t="s">
        <v>121</v>
      </c>
      <c r="AE366" s="114" t="s">
        <v>131</v>
      </c>
      <c r="AF366" s="114" t="s">
        <v>2106</v>
      </c>
      <c r="AG366" s="116"/>
      <c r="AH366" s="116"/>
      <c r="AI366" s="116"/>
      <c r="AJ366" s="116"/>
    </row>
    <row r="367" ht="50.0" customHeight="true">
      <c r="A367" s="114" t="s">
        <v>2218</v>
      </c>
      <c r="B367" s="114" t="s">
        <v>2219</v>
      </c>
      <c r="C367" s="114" t="s">
        <v>2220</v>
      </c>
      <c r="D367" s="114"/>
      <c r="E367" s="115" t="s">
        <v>2221</v>
      </c>
      <c r="F367" s="115" t="s">
        <v>2222</v>
      </c>
      <c r="G367" s="114" t="s">
        <v>2222</v>
      </c>
      <c r="H367" s="116" t="n">
        <v>1.0</v>
      </c>
      <c r="I367" s="116" t="n">
        <v>69.9</v>
      </c>
      <c r="J367" s="116" t="s">
        <v>103</v>
      </c>
      <c r="K367" s="116"/>
      <c r="L367" s="116"/>
      <c r="M367" s="116"/>
      <c r="N367" s="116"/>
      <c r="O367" s="116"/>
      <c r="P367" s="116"/>
      <c r="Q367" s="116"/>
      <c r="R367" s="116"/>
      <c r="S367" s="116"/>
      <c r="T367" s="116"/>
      <c r="U367" s="116" t="s">
        <v>1416</v>
      </c>
      <c r="V367" s="118" t="s">
        <v>2223</v>
      </c>
      <c r="W367" s="116" t="s">
        <v>2193</v>
      </c>
      <c r="X367" s="116" t="s">
        <v>143</v>
      </c>
      <c r="Y367" s="116" t="s">
        <v>152</v>
      </c>
      <c r="Z367" s="114">
        <f>IF(INDIRECT("Y367")="Clássico","12%",IF(INDIRECT("Y367")="Premium","17%","-"))</f>
      </c>
      <c r="AA367" s="116" t="s">
        <v>1357</v>
      </c>
      <c r="AB367" s="116" t="s">
        <v>110</v>
      </c>
      <c r="AC367" s="116" t="n">
        <v>3.0</v>
      </c>
      <c r="AD367" s="116" t="s">
        <v>121</v>
      </c>
      <c r="AE367" s="114" t="s">
        <v>131</v>
      </c>
      <c r="AF367" s="114" t="s">
        <v>2106</v>
      </c>
      <c r="AG367" s="116"/>
      <c r="AH367" s="116"/>
      <c r="AI367" s="116"/>
      <c r="AJ367" s="116"/>
    </row>
    <row r="368" ht="50.0" customHeight="true">
      <c r="A368" s="114" t="s">
        <v>2224</v>
      </c>
      <c r="B368" s="114" t="s">
        <v>2225</v>
      </c>
      <c r="C368" s="114" t="s">
        <v>2226</v>
      </c>
      <c r="D368" s="114"/>
      <c r="E368" s="115" t="s">
        <v>2227</v>
      </c>
      <c r="F368" s="115" t="s">
        <v>2228</v>
      </c>
      <c r="G368" s="114" t="s">
        <v>2229</v>
      </c>
      <c r="H368" s="116" t="n">
        <v>1.0</v>
      </c>
      <c r="I368" s="116" t="n">
        <v>59.9</v>
      </c>
      <c r="J368" s="116" t="s">
        <v>103</v>
      </c>
      <c r="K368" s="116"/>
      <c r="L368" s="116"/>
      <c r="M368" s="116"/>
      <c r="N368" s="116"/>
      <c r="O368" s="116"/>
      <c r="P368" s="116"/>
      <c r="Q368" s="116"/>
      <c r="R368" s="116"/>
      <c r="S368" s="116"/>
      <c r="T368" s="116"/>
      <c r="U368" s="116" t="s">
        <v>1416</v>
      </c>
      <c r="V368" s="118" t="s">
        <v>2230</v>
      </c>
      <c r="W368" s="116" t="s">
        <v>2193</v>
      </c>
      <c r="X368" s="116" t="s">
        <v>143</v>
      </c>
      <c r="Y368" s="116" t="s">
        <v>152</v>
      </c>
      <c r="Z368" s="114">
        <f>IF(INDIRECT("Y368")="Clássico","12%",IF(INDIRECT("Y368")="Premium","17%","-"))</f>
      </c>
      <c r="AA368" s="116" t="s">
        <v>1357</v>
      </c>
      <c r="AB368" s="116" t="s">
        <v>110</v>
      </c>
      <c r="AC368" s="116" t="n">
        <v>3.0</v>
      </c>
      <c r="AD368" s="116" t="s">
        <v>121</v>
      </c>
      <c r="AE368" s="114" t="s">
        <v>131</v>
      </c>
      <c r="AF368" s="114" t="s">
        <v>2231</v>
      </c>
      <c r="AG368" s="116"/>
      <c r="AH368" s="116"/>
      <c r="AI368" s="116"/>
      <c r="AJ368" s="116"/>
    </row>
    <row r="369" ht="50.0" customHeight="true">
      <c r="A369" s="114" t="s">
        <v>2232</v>
      </c>
      <c r="B369" s="114" t="s">
        <v>2233</v>
      </c>
      <c r="C369" s="114" t="s">
        <v>2234</v>
      </c>
      <c r="D369" s="114"/>
      <c r="E369" s="115" t="s">
        <v>2235</v>
      </c>
      <c r="F369" s="115" t="s">
        <v>2236</v>
      </c>
      <c r="G369" s="114" t="s">
        <v>2236</v>
      </c>
      <c r="H369" s="116" t="n">
        <v>1.0</v>
      </c>
      <c r="I369" s="116" t="n">
        <v>29.9</v>
      </c>
      <c r="J369" s="116" t="s">
        <v>103</v>
      </c>
      <c r="K369" s="116"/>
      <c r="L369" s="116"/>
      <c r="M369" s="116"/>
      <c r="N369" s="116"/>
      <c r="O369" s="116"/>
      <c r="P369" s="116"/>
      <c r="Q369" s="116"/>
      <c r="R369" s="116"/>
      <c r="S369" s="116"/>
      <c r="T369" s="116"/>
      <c r="U369" s="116" t="s">
        <v>1416</v>
      </c>
      <c r="V369" s="118" t="s">
        <v>2237</v>
      </c>
      <c r="W369" s="116" t="s">
        <v>106</v>
      </c>
      <c r="X369" s="116" t="s">
        <v>143</v>
      </c>
      <c r="Y369" s="116" t="s">
        <v>152</v>
      </c>
      <c r="Z369" s="114">
        <f>IF(INDIRECT("Y369")="Clássico","12%",IF(INDIRECT("Y369")="Premium","17%","-"))</f>
      </c>
      <c r="AA369" s="116" t="s">
        <v>1357</v>
      </c>
      <c r="AB369" s="116" t="s">
        <v>110</v>
      </c>
      <c r="AC369" s="116" t="n">
        <v>3.0</v>
      </c>
      <c r="AD369" s="116" t="s">
        <v>121</v>
      </c>
      <c r="AE369" s="114" t="s">
        <v>131</v>
      </c>
      <c r="AF369" s="114" t="s">
        <v>2106</v>
      </c>
      <c r="AG369" s="116"/>
      <c r="AH369" s="116"/>
      <c r="AI369" s="116"/>
      <c r="AJ369" s="116"/>
    </row>
    <row r="370" ht="50.0" customHeight="true">
      <c r="A370" s="114" t="s">
        <v>2238</v>
      </c>
      <c r="B370" s="114" t="s">
        <v>2239</v>
      </c>
      <c r="C370" s="114" t="s">
        <v>2240</v>
      </c>
      <c r="D370" s="114"/>
      <c r="E370" s="115" t="s">
        <v>2241</v>
      </c>
      <c r="F370" s="115" t="s">
        <v>2242</v>
      </c>
      <c r="G370" s="114" t="s">
        <v>2242</v>
      </c>
      <c r="H370" s="116" t="n">
        <v>1.0</v>
      </c>
      <c r="I370" s="116" t="n">
        <v>42.9</v>
      </c>
      <c r="J370" s="116" t="s">
        <v>103</v>
      </c>
      <c r="K370" s="116"/>
      <c r="L370" s="116"/>
      <c r="M370" s="116"/>
      <c r="N370" s="116"/>
      <c r="O370" s="116"/>
      <c r="P370" s="116"/>
      <c r="Q370" s="116"/>
      <c r="R370" s="116"/>
      <c r="S370" s="116"/>
      <c r="T370" s="116"/>
      <c r="U370" s="116" t="s">
        <v>1416</v>
      </c>
      <c r="V370" s="118" t="s">
        <v>2243</v>
      </c>
      <c r="W370" s="116" t="s">
        <v>106</v>
      </c>
      <c r="X370" s="116" t="s">
        <v>143</v>
      </c>
      <c r="Y370" s="116" t="s">
        <v>152</v>
      </c>
      <c r="Z370" s="114">
        <f>IF(INDIRECT("Y370")="Clássico","12%",IF(INDIRECT("Y370")="Premium","17%","-"))</f>
      </c>
      <c r="AA370" s="116" t="s">
        <v>1357</v>
      </c>
      <c r="AB370" s="116" t="s">
        <v>110</v>
      </c>
      <c r="AC370" s="116" t="n">
        <v>3.0</v>
      </c>
      <c r="AD370" s="116" t="s">
        <v>121</v>
      </c>
      <c r="AE370" s="114" t="s">
        <v>131</v>
      </c>
      <c r="AF370" s="114" t="s">
        <v>144</v>
      </c>
      <c r="AG370" s="116"/>
      <c r="AH370" s="116"/>
      <c r="AI370" s="116"/>
      <c r="AJ370" s="116"/>
    </row>
    <row r="371" ht="50.0" customHeight="true">
      <c r="A371" s="114" t="s">
        <v>2244</v>
      </c>
      <c r="B371" s="114" t="s">
        <v>2245</v>
      </c>
      <c r="C371" s="114" t="s">
        <v>2246</v>
      </c>
      <c r="D371" s="114"/>
      <c r="E371" s="115" t="s">
        <v>2247</v>
      </c>
      <c r="F371" s="115" t="s">
        <v>2248</v>
      </c>
      <c r="G371" s="114" t="s">
        <v>2248</v>
      </c>
      <c r="H371" s="116" t="n">
        <v>4.0</v>
      </c>
      <c r="I371" s="116" t="n">
        <v>69.9</v>
      </c>
      <c r="J371" s="116" t="s">
        <v>103</v>
      </c>
      <c r="K371" s="116"/>
      <c r="L371" s="116"/>
      <c r="M371" s="116"/>
      <c r="N371" s="116"/>
      <c r="O371" s="116"/>
      <c r="P371" s="116"/>
      <c r="Q371" s="116"/>
      <c r="R371" s="116"/>
      <c r="S371" s="116"/>
      <c r="T371" s="116"/>
      <c r="U371" s="116" t="s">
        <v>104</v>
      </c>
      <c r="V371" s="118" t="s">
        <v>2249</v>
      </c>
      <c r="W371" s="116" t="s">
        <v>130</v>
      </c>
      <c r="X371" s="116" t="s">
        <v>143</v>
      </c>
      <c r="Y371" s="116" t="s">
        <v>152</v>
      </c>
      <c r="Z371" s="114">
        <f>IF(INDIRECT("Y371")="Clássico","12%",IF(INDIRECT("Y371")="Premium","17%","-"))</f>
      </c>
      <c r="AA371" s="116" t="s">
        <v>1357</v>
      </c>
      <c r="AB371" s="116" t="s">
        <v>110</v>
      </c>
      <c r="AC371" s="116" t="n">
        <v>3.0</v>
      </c>
      <c r="AD371" s="116" t="s">
        <v>121</v>
      </c>
      <c r="AE371" s="117" t="s">
        <v>112</v>
      </c>
      <c r="AF371" s="114" t="s">
        <v>1572</v>
      </c>
      <c r="AG371" s="116"/>
      <c r="AH371" s="116"/>
      <c r="AI371" s="116"/>
      <c r="AJ371" s="116"/>
    </row>
    <row r="372" ht="50.0" customHeight="true">
      <c r="A372" s="114" t="s">
        <v>2250</v>
      </c>
      <c r="B372" s="114" t="s">
        <v>2251</v>
      </c>
      <c r="C372" s="114" t="s">
        <v>2252</v>
      </c>
      <c r="D372" s="114"/>
      <c r="E372" s="115"/>
      <c r="F372" s="115" t="s">
        <v>2253</v>
      </c>
      <c r="G372" s="114" t="s">
        <v>128</v>
      </c>
      <c r="H372" s="116" t="n">
        <v>3.0</v>
      </c>
      <c r="I372" s="116" t="n">
        <v>39.9</v>
      </c>
      <c r="J372" s="116" t="s">
        <v>103</v>
      </c>
      <c r="K372" s="116"/>
      <c r="L372" s="116"/>
      <c r="M372" s="116"/>
      <c r="N372" s="116"/>
      <c r="O372" s="116"/>
      <c r="P372" s="116"/>
      <c r="Q372" s="116"/>
      <c r="R372" s="116"/>
      <c r="S372" s="116"/>
      <c r="T372" s="116"/>
      <c r="U372" s="116" t="s">
        <v>104</v>
      </c>
      <c r="V372" s="118" t="s">
        <v>2254</v>
      </c>
      <c r="W372" s="116" t="s">
        <v>106</v>
      </c>
      <c r="X372" s="116" t="s">
        <v>143</v>
      </c>
      <c r="Y372" s="116" t="s">
        <v>108</v>
      </c>
      <c r="Z372" s="114">
        <f>IF(INDIRECT("Y372")="Clássico","12%",IF(INDIRECT("Y372")="Premium","17%","-"))</f>
      </c>
      <c r="AA372" s="116" t="s">
        <v>1357</v>
      </c>
      <c r="AB372" s="116" t="s">
        <v>110</v>
      </c>
      <c r="AC372" s="116" t="n">
        <v>3.0</v>
      </c>
      <c r="AD372" s="116" t="s">
        <v>121</v>
      </c>
      <c r="AE372" s="117" t="s">
        <v>112</v>
      </c>
      <c r="AF372" s="114" t="s">
        <v>2255</v>
      </c>
      <c r="AG372" s="116"/>
      <c r="AH372" s="116"/>
      <c r="AI372" s="116"/>
      <c r="AJ372" s="116"/>
    </row>
    <row r="373" ht="50.0" customHeight="true">
      <c r="A373" s="114" t="s">
        <v>2256</v>
      </c>
      <c r="B373" s="114" t="s">
        <v>2257</v>
      </c>
      <c r="C373" s="114" t="s">
        <v>2258</v>
      </c>
      <c r="D373" s="114"/>
      <c r="E373" s="115"/>
      <c r="F373" s="115" t="s">
        <v>2259</v>
      </c>
      <c r="G373" s="114" t="s">
        <v>128</v>
      </c>
      <c r="H373" s="116" t="n">
        <v>1.0</v>
      </c>
      <c r="I373" s="116" t="n">
        <v>39.9</v>
      </c>
      <c r="J373" s="116" t="s">
        <v>103</v>
      </c>
      <c r="K373" s="116"/>
      <c r="L373" s="116"/>
      <c r="M373" s="116"/>
      <c r="N373" s="116"/>
      <c r="O373" s="116"/>
      <c r="P373" s="116"/>
      <c r="Q373" s="116"/>
      <c r="R373" s="116"/>
      <c r="S373" s="116"/>
      <c r="T373" s="116"/>
      <c r="U373" s="116" t="s">
        <v>104</v>
      </c>
      <c r="V373" s="118" t="s">
        <v>2260</v>
      </c>
      <c r="W373" s="116" t="s">
        <v>106</v>
      </c>
      <c r="X373" s="116" t="s">
        <v>143</v>
      </c>
      <c r="Y373" s="116" t="s">
        <v>108</v>
      </c>
      <c r="Z373" s="114">
        <f>IF(INDIRECT("Y373")="Clássico","12%",IF(INDIRECT("Y373")="Premium","17%","-"))</f>
      </c>
      <c r="AA373" s="116" t="s">
        <v>1357</v>
      </c>
      <c r="AB373" s="116" t="s">
        <v>110</v>
      </c>
      <c r="AC373" s="116" t="n">
        <v>3.0</v>
      </c>
      <c r="AD373" s="116" t="s">
        <v>121</v>
      </c>
      <c r="AE373" s="117" t="s">
        <v>112</v>
      </c>
      <c r="AF373" s="114" t="s">
        <v>2255</v>
      </c>
      <c r="AG373" s="116"/>
      <c r="AH373" s="116"/>
      <c r="AI373" s="116"/>
      <c r="AJ373" s="116"/>
    </row>
    <row r="374" ht="50.0" customHeight="true">
      <c r="A374" s="114" t="s">
        <v>2261</v>
      </c>
      <c r="B374" s="114" t="s">
        <v>2262</v>
      </c>
      <c r="C374" s="114" t="s">
        <v>2263</v>
      </c>
      <c r="D374" s="114"/>
      <c r="E374" s="115"/>
      <c r="F374" s="115" t="s">
        <v>2264</v>
      </c>
      <c r="G374" s="114" t="s">
        <v>128</v>
      </c>
      <c r="H374" s="116" t="n">
        <v>1.0</v>
      </c>
      <c r="I374" s="116" t="n">
        <v>39.9</v>
      </c>
      <c r="J374" s="116" t="s">
        <v>103</v>
      </c>
      <c r="K374" s="116"/>
      <c r="L374" s="116"/>
      <c r="M374" s="116"/>
      <c r="N374" s="116"/>
      <c r="O374" s="116"/>
      <c r="P374" s="116"/>
      <c r="Q374" s="116"/>
      <c r="R374" s="116"/>
      <c r="S374" s="116"/>
      <c r="T374" s="116"/>
      <c r="U374" s="116" t="s">
        <v>104</v>
      </c>
      <c r="V374" s="118" t="s">
        <v>2265</v>
      </c>
      <c r="W374" s="116" t="s">
        <v>106</v>
      </c>
      <c r="X374" s="116" t="s">
        <v>143</v>
      </c>
      <c r="Y374" s="116" t="s">
        <v>108</v>
      </c>
      <c r="Z374" s="114">
        <f>IF(INDIRECT("Y374")="Clássico","12%",IF(INDIRECT("Y374")="Premium","17%","-"))</f>
      </c>
      <c r="AA374" s="116" t="s">
        <v>1357</v>
      </c>
      <c r="AB374" s="116" t="s">
        <v>110</v>
      </c>
      <c r="AC374" s="116" t="n">
        <v>3.0</v>
      </c>
      <c r="AD374" s="116" t="s">
        <v>121</v>
      </c>
      <c r="AE374" s="117" t="s">
        <v>112</v>
      </c>
      <c r="AF374" s="114" t="s">
        <v>2255</v>
      </c>
      <c r="AG374" s="116"/>
      <c r="AH374" s="116"/>
      <c r="AI374" s="116"/>
      <c r="AJ374" s="116"/>
    </row>
    <row r="375" ht="50.0" customHeight="true">
      <c r="A375" s="114" t="s">
        <v>2266</v>
      </c>
      <c r="B375" s="114" t="s">
        <v>2267</v>
      </c>
      <c r="C375" s="114" t="s">
        <v>2268</v>
      </c>
      <c r="D375" s="114"/>
      <c r="E375" s="115" t="s">
        <v>2269</v>
      </c>
      <c r="F375" s="115" t="s">
        <v>2270</v>
      </c>
      <c r="G375" s="114" t="s">
        <v>2270</v>
      </c>
      <c r="H375" s="116" t="n">
        <v>10.0</v>
      </c>
      <c r="I375" s="116" t="n">
        <v>49425.0</v>
      </c>
      <c r="J375" s="116" t="s">
        <v>103</v>
      </c>
      <c r="K375" s="116"/>
      <c r="L375" s="116"/>
      <c r="M375" s="116"/>
      <c r="N375" s="116"/>
      <c r="O375" s="116"/>
      <c r="P375" s="116"/>
      <c r="Q375" s="116"/>
      <c r="R375" s="116"/>
      <c r="S375" s="116"/>
      <c r="T375" s="116"/>
      <c r="U375" s="116" t="s">
        <v>104</v>
      </c>
      <c r="V375" s="118" t="s">
        <v>2271</v>
      </c>
      <c r="W375" s="116" t="s">
        <v>771</v>
      </c>
      <c r="X375" s="116" t="s">
        <v>107</v>
      </c>
      <c r="Y375" s="116" t="s">
        <v>108</v>
      </c>
      <c r="Z375" s="114">
        <f>IF(INDIRECT("Y375")="Clássico","12%",IF(INDIRECT("Y375")="Premium","17%","-"))</f>
      </c>
      <c r="AA375" s="116" t="s">
        <v>1357</v>
      </c>
      <c r="AB375" s="116" t="s">
        <v>120</v>
      </c>
      <c r="AC375" s="116" t="n">
        <v>6.0</v>
      </c>
      <c r="AD375" s="116" t="s">
        <v>121</v>
      </c>
      <c r="AE375" s="117" t="s">
        <v>958</v>
      </c>
      <c r="AF375" s="114" t="s">
        <v>1663</v>
      </c>
      <c r="AG375" s="114" t="s">
        <v>22</v>
      </c>
      <c r="AH375" s="114" t="s">
        <v>22</v>
      </c>
      <c r="AI375" s="114" t="s">
        <v>22</v>
      </c>
      <c r="AJ375" s="114" t="s">
        <v>22</v>
      </c>
    </row>
    <row r="376" ht="50.0" customHeight="true">
      <c r="A376" s="114" t="s">
        <v>2272</v>
      </c>
      <c r="B376" s="114" t="s">
        <v>2273</v>
      </c>
      <c r="C376" s="114" t="s">
        <v>2274</v>
      </c>
      <c r="D376" s="114"/>
      <c r="E376" s="115" t="s">
        <v>2275</v>
      </c>
      <c r="F376" s="115" t="s">
        <v>2276</v>
      </c>
      <c r="G376" s="114" t="s">
        <v>2276</v>
      </c>
      <c r="H376" s="116" t="n">
        <v>10.0</v>
      </c>
      <c r="I376" s="116" t="n">
        <v>48577.5</v>
      </c>
      <c r="J376" s="116" t="s">
        <v>103</v>
      </c>
      <c r="K376" s="116"/>
      <c r="L376" s="116"/>
      <c r="M376" s="116"/>
      <c r="N376" s="116"/>
      <c r="O376" s="116"/>
      <c r="P376" s="116"/>
      <c r="Q376" s="116"/>
      <c r="R376" s="116"/>
      <c r="S376" s="116"/>
      <c r="T376" s="116"/>
      <c r="U376" s="116" t="s">
        <v>104</v>
      </c>
      <c r="V376" s="118" t="s">
        <v>2277</v>
      </c>
      <c r="W376" s="116" t="s">
        <v>771</v>
      </c>
      <c r="X376" s="116" t="s">
        <v>107</v>
      </c>
      <c r="Y376" s="116" t="s">
        <v>108</v>
      </c>
      <c r="Z376" s="114">
        <f>IF(INDIRECT("Y376")="Clássico","12%",IF(INDIRECT("Y376")="Premium","17%","-"))</f>
      </c>
      <c r="AA376" s="116" t="s">
        <v>1357</v>
      </c>
      <c r="AB376" s="116" t="s">
        <v>120</v>
      </c>
      <c r="AC376" s="116" t="n">
        <v>6.0</v>
      </c>
      <c r="AD376" s="116" t="s">
        <v>121</v>
      </c>
      <c r="AE376" s="117" t="s">
        <v>958</v>
      </c>
      <c r="AF376" s="114" t="s">
        <v>1663</v>
      </c>
      <c r="AG376" s="114" t="s">
        <v>22</v>
      </c>
      <c r="AH376" s="114" t="s">
        <v>22</v>
      </c>
      <c r="AI376" s="114" t="s">
        <v>22</v>
      </c>
      <c r="AJ376" s="114" t="s">
        <v>22</v>
      </c>
    </row>
    <row r="377" ht="50.0" customHeight="true">
      <c r="A377" s="114" t="s">
        <v>2266</v>
      </c>
      <c r="B377" s="114" t="s">
        <v>2278</v>
      </c>
      <c r="C377" s="114" t="s">
        <v>2279</v>
      </c>
      <c r="D377" s="114"/>
      <c r="E377" s="115" t="s">
        <v>2280</v>
      </c>
      <c r="F377" s="115" t="s">
        <v>2270</v>
      </c>
      <c r="G377" s="114" t="s">
        <v>2270</v>
      </c>
      <c r="H377" s="116" t="n">
        <v>10.0</v>
      </c>
      <c r="I377" s="116" t="n">
        <v>47850.0</v>
      </c>
      <c r="J377" s="116" t="s">
        <v>103</v>
      </c>
      <c r="K377" s="116"/>
      <c r="L377" s="116"/>
      <c r="M377" s="116"/>
      <c r="N377" s="116"/>
      <c r="O377" s="116"/>
      <c r="P377" s="116"/>
      <c r="Q377" s="116"/>
      <c r="R377" s="116"/>
      <c r="S377" s="116"/>
      <c r="T377" s="116"/>
      <c r="U377" s="116" t="s">
        <v>104</v>
      </c>
      <c r="V377" s="118" t="s">
        <v>2281</v>
      </c>
      <c r="W377" s="116" t="s">
        <v>771</v>
      </c>
      <c r="X377" s="116" t="s">
        <v>107</v>
      </c>
      <c r="Y377" s="116" t="s">
        <v>108</v>
      </c>
      <c r="Z377" s="114">
        <f>IF(INDIRECT("Y377")="Clássico","12%",IF(INDIRECT("Y377")="Premium","17%","-"))</f>
      </c>
      <c r="AA377" s="116" t="s">
        <v>1357</v>
      </c>
      <c r="AB377" s="116" t="s">
        <v>120</v>
      </c>
      <c r="AC377" s="116" t="n">
        <v>6.0</v>
      </c>
      <c r="AD377" s="116" t="s">
        <v>121</v>
      </c>
      <c r="AE377" s="117" t="s">
        <v>958</v>
      </c>
      <c r="AF377" s="114" t="s">
        <v>1663</v>
      </c>
      <c r="AG377" s="114" t="s">
        <v>22</v>
      </c>
      <c r="AH377" s="114" t="s">
        <v>22</v>
      </c>
      <c r="AI377" s="114" t="s">
        <v>22</v>
      </c>
      <c r="AJ377" s="114" t="s">
        <v>22</v>
      </c>
    </row>
    <row r="378" ht="50.0" customHeight="true">
      <c r="A378" s="114" t="s">
        <v>2282</v>
      </c>
      <c r="B378" s="114" t="s">
        <v>2283</v>
      </c>
      <c r="C378" s="114" t="s">
        <v>2284</v>
      </c>
      <c r="D378" s="114"/>
      <c r="E378" s="115" t="s">
        <v>2285</v>
      </c>
      <c r="F378" s="115" t="s">
        <v>2286</v>
      </c>
      <c r="G378" s="114" t="s">
        <v>2286</v>
      </c>
      <c r="H378" s="116" t="n">
        <v>10.0</v>
      </c>
      <c r="I378" s="116" t="n">
        <v>40162.5</v>
      </c>
      <c r="J378" s="116" t="s">
        <v>103</v>
      </c>
      <c r="K378" s="116"/>
      <c r="L378" s="116"/>
      <c r="M378" s="116"/>
      <c r="N378" s="116"/>
      <c r="O378" s="116"/>
      <c r="P378" s="116"/>
      <c r="Q378" s="116"/>
      <c r="R378" s="116"/>
      <c r="S378" s="116"/>
      <c r="T378" s="116"/>
      <c r="U378" s="116" t="s">
        <v>104</v>
      </c>
      <c r="V378" s="118" t="s">
        <v>2287</v>
      </c>
      <c r="W378" s="116" t="s">
        <v>771</v>
      </c>
      <c r="X378" s="116" t="s">
        <v>107</v>
      </c>
      <c r="Y378" s="116" t="s">
        <v>108</v>
      </c>
      <c r="Z378" s="114">
        <f>IF(INDIRECT("Y378")="Clássico","12%",IF(INDIRECT("Y378")="Premium","17%","-"))</f>
      </c>
      <c r="AA378" s="116" t="s">
        <v>1357</v>
      </c>
      <c r="AB378" s="116" t="s">
        <v>120</v>
      </c>
      <c r="AC378" s="116" t="n">
        <v>6.0</v>
      </c>
      <c r="AD378" s="116" t="s">
        <v>121</v>
      </c>
      <c r="AE378" s="117" t="s">
        <v>958</v>
      </c>
      <c r="AF378" s="114" t="s">
        <v>1663</v>
      </c>
      <c r="AG378" s="114" t="s">
        <v>22</v>
      </c>
      <c r="AH378" s="114" t="s">
        <v>22</v>
      </c>
      <c r="AI378" s="114" t="s">
        <v>22</v>
      </c>
      <c r="AJ378" s="114" t="s">
        <v>22</v>
      </c>
    </row>
    <row r="379" ht="50.0" customHeight="true">
      <c r="A379" s="114" t="s">
        <v>2288</v>
      </c>
      <c r="B379" s="114" t="s">
        <v>2289</v>
      </c>
      <c r="C379" s="114" t="s">
        <v>2290</v>
      </c>
      <c r="D379" s="114"/>
      <c r="E379" s="115" t="s">
        <v>2291</v>
      </c>
      <c r="F379" s="115" t="s">
        <v>2292</v>
      </c>
      <c r="G379" s="114" t="s">
        <v>2292</v>
      </c>
      <c r="H379" s="116" t="n">
        <v>10.0</v>
      </c>
      <c r="I379" s="116" t="n">
        <v>91800.0</v>
      </c>
      <c r="J379" s="116" t="s">
        <v>103</v>
      </c>
      <c r="K379" s="116"/>
      <c r="L379" s="116"/>
      <c r="M379" s="116"/>
      <c r="N379" s="116"/>
      <c r="O379" s="116"/>
      <c r="P379" s="116"/>
      <c r="Q379" s="116"/>
      <c r="R379" s="116"/>
      <c r="S379" s="116"/>
      <c r="T379" s="116"/>
      <c r="U379" s="116" t="s">
        <v>104</v>
      </c>
      <c r="V379" s="118" t="s">
        <v>2293</v>
      </c>
      <c r="W379" s="116" t="s">
        <v>771</v>
      </c>
      <c r="X379" s="116" t="s">
        <v>107</v>
      </c>
      <c r="Y379" s="116" t="s">
        <v>108</v>
      </c>
      <c r="Z379" s="114">
        <f>IF(INDIRECT("Y379")="Clássico","12%",IF(INDIRECT("Y379")="Premium","17%","-"))</f>
      </c>
      <c r="AA379" s="116" t="s">
        <v>1357</v>
      </c>
      <c r="AB379" s="116" t="s">
        <v>120</v>
      </c>
      <c r="AC379" s="116" t="n">
        <v>6.0</v>
      </c>
      <c r="AD379" s="116" t="s">
        <v>121</v>
      </c>
      <c r="AE379" s="117" t="s">
        <v>112</v>
      </c>
      <c r="AF379" s="114" t="s">
        <v>1663</v>
      </c>
      <c r="AG379" s="114" t="s">
        <v>22</v>
      </c>
      <c r="AH379" s="114" t="s">
        <v>22</v>
      </c>
      <c r="AI379" s="114" t="s">
        <v>22</v>
      </c>
      <c r="AJ379" s="114" t="s">
        <v>22</v>
      </c>
    </row>
    <row r="380" ht="50.0" customHeight="true">
      <c r="A380" s="114" t="s">
        <v>2294</v>
      </c>
      <c r="B380" s="114" t="s">
        <v>2295</v>
      </c>
      <c r="C380" s="114" t="s">
        <v>2296</v>
      </c>
      <c r="D380" s="114"/>
      <c r="E380" s="115" t="s">
        <v>2297</v>
      </c>
      <c r="F380" s="115" t="s">
        <v>2298</v>
      </c>
      <c r="G380" s="114" t="s">
        <v>2298</v>
      </c>
      <c r="H380" s="116" t="n">
        <v>10.0</v>
      </c>
      <c r="I380" s="116" t="n">
        <v>116110.0</v>
      </c>
      <c r="J380" s="116" t="s">
        <v>103</v>
      </c>
      <c r="K380" s="116"/>
      <c r="L380" s="116"/>
      <c r="M380" s="116"/>
      <c r="N380" s="116"/>
      <c r="O380" s="116"/>
      <c r="P380" s="116"/>
      <c r="Q380" s="116"/>
      <c r="R380" s="116"/>
      <c r="S380" s="116"/>
      <c r="T380" s="116"/>
      <c r="U380" s="116" t="s">
        <v>104</v>
      </c>
      <c r="V380" s="118" t="s">
        <v>2299</v>
      </c>
      <c r="W380" s="116" t="s">
        <v>771</v>
      </c>
      <c r="X380" s="116" t="s">
        <v>107</v>
      </c>
      <c r="Y380" s="116" t="s">
        <v>108</v>
      </c>
      <c r="Z380" s="114">
        <f>IF(INDIRECT("Y380")="Clássico","12%",IF(INDIRECT("Y380")="Premium","17%","-"))</f>
      </c>
      <c r="AA380" s="116" t="s">
        <v>1357</v>
      </c>
      <c r="AB380" s="116" t="s">
        <v>120</v>
      </c>
      <c r="AC380" s="116" t="n">
        <v>6.0</v>
      </c>
      <c r="AD380" s="116" t="s">
        <v>121</v>
      </c>
      <c r="AE380" s="117" t="s">
        <v>112</v>
      </c>
      <c r="AF380" s="114" t="s">
        <v>1663</v>
      </c>
      <c r="AG380" s="114" t="s">
        <v>22</v>
      </c>
      <c r="AH380" s="114" t="s">
        <v>22</v>
      </c>
      <c r="AI380" s="114" t="s">
        <v>22</v>
      </c>
      <c r="AJ380" s="114" t="s">
        <v>22</v>
      </c>
    </row>
    <row r="381" ht="50.0" customHeight="true">
      <c r="A381" s="114" t="s">
        <v>2300</v>
      </c>
      <c r="B381" s="114" t="s">
        <v>2301</v>
      </c>
      <c r="C381" s="114" t="s">
        <v>2302</v>
      </c>
      <c r="D381" s="114"/>
      <c r="E381" s="115" t="s">
        <v>2303</v>
      </c>
      <c r="F381" s="115" t="s">
        <v>2304</v>
      </c>
      <c r="G381" s="114" t="s">
        <v>2304</v>
      </c>
      <c r="H381" s="116" t="n">
        <v>10.0</v>
      </c>
      <c r="I381" s="116" t="n">
        <v>80240.0</v>
      </c>
      <c r="J381" s="116" t="s">
        <v>103</v>
      </c>
      <c r="K381" s="116"/>
      <c r="L381" s="116"/>
      <c r="M381" s="116"/>
      <c r="N381" s="116"/>
      <c r="O381" s="116"/>
      <c r="P381" s="116"/>
      <c r="Q381" s="116"/>
      <c r="R381" s="116"/>
      <c r="S381" s="116"/>
      <c r="T381" s="116"/>
      <c r="U381" s="116" t="s">
        <v>104</v>
      </c>
      <c r="V381" s="118" t="s">
        <v>2305</v>
      </c>
      <c r="W381" s="116" t="s">
        <v>771</v>
      </c>
      <c r="X381" s="116" t="s">
        <v>107</v>
      </c>
      <c r="Y381" s="116" t="s">
        <v>108</v>
      </c>
      <c r="Z381" s="114">
        <f>IF(INDIRECT("Y381")="Clássico","12%",IF(INDIRECT("Y381")="Premium","17%","-"))</f>
      </c>
      <c r="AA381" s="116" t="s">
        <v>1357</v>
      </c>
      <c r="AB381" s="116" t="s">
        <v>120</v>
      </c>
      <c r="AC381" s="116" t="n">
        <v>6.0</v>
      </c>
      <c r="AD381" s="116" t="s">
        <v>121</v>
      </c>
      <c r="AE381" s="117" t="s">
        <v>112</v>
      </c>
      <c r="AF381" s="114" t="s">
        <v>1663</v>
      </c>
      <c r="AG381" s="114" t="s">
        <v>22</v>
      </c>
      <c r="AH381" s="114" t="s">
        <v>22</v>
      </c>
      <c r="AI381" s="114" t="s">
        <v>22</v>
      </c>
      <c r="AJ381" s="114" t="s">
        <v>22</v>
      </c>
    </row>
    <row r="382" ht="50.0" customHeight="true">
      <c r="A382" s="114" t="s">
        <v>2306</v>
      </c>
      <c r="B382" s="114" t="s">
        <v>2307</v>
      </c>
      <c r="C382" s="114" t="s">
        <v>2308</v>
      </c>
      <c r="D382" s="114"/>
      <c r="E382" s="115" t="s">
        <v>2309</v>
      </c>
      <c r="F382" s="115" t="s">
        <v>2310</v>
      </c>
      <c r="G382" s="114" t="s">
        <v>2310</v>
      </c>
      <c r="H382" s="116" t="n">
        <v>10.0</v>
      </c>
      <c r="I382" s="116" t="n">
        <v>59840.0</v>
      </c>
      <c r="J382" s="116" t="s">
        <v>103</v>
      </c>
      <c r="K382" s="116"/>
      <c r="L382" s="116"/>
      <c r="M382" s="116"/>
      <c r="N382" s="116"/>
      <c r="O382" s="116"/>
      <c r="P382" s="116"/>
      <c r="Q382" s="116"/>
      <c r="R382" s="116"/>
      <c r="S382" s="116"/>
      <c r="T382" s="116"/>
      <c r="U382" s="116" t="s">
        <v>104</v>
      </c>
      <c r="V382" s="118" t="s">
        <v>2311</v>
      </c>
      <c r="W382" s="116" t="s">
        <v>771</v>
      </c>
      <c r="X382" s="116" t="s">
        <v>107</v>
      </c>
      <c r="Y382" s="116" t="s">
        <v>108</v>
      </c>
      <c r="Z382" s="114">
        <f>IF(INDIRECT("Y382")="Clássico","12%",IF(INDIRECT("Y382")="Premium","17%","-"))</f>
      </c>
      <c r="AA382" s="116" t="s">
        <v>1357</v>
      </c>
      <c r="AB382" s="116" t="s">
        <v>120</v>
      </c>
      <c r="AC382" s="116" t="n">
        <v>6.0</v>
      </c>
      <c r="AD382" s="116" t="s">
        <v>121</v>
      </c>
      <c r="AE382" s="117" t="s">
        <v>112</v>
      </c>
      <c r="AF382" s="114" t="s">
        <v>1663</v>
      </c>
      <c r="AG382" s="114" t="s">
        <v>22</v>
      </c>
      <c r="AH382" s="114" t="s">
        <v>22</v>
      </c>
      <c r="AI382" s="114" t="s">
        <v>22</v>
      </c>
      <c r="AJ382" s="114" t="s">
        <v>22</v>
      </c>
    </row>
    <row r="383" ht="50.0" customHeight="true">
      <c r="A383" s="114" t="s">
        <v>2312</v>
      </c>
      <c r="B383" s="114" t="s">
        <v>2313</v>
      </c>
      <c r="C383" s="114" t="s">
        <v>2314</v>
      </c>
      <c r="D383" s="114"/>
      <c r="E383" s="115" t="s">
        <v>2315</v>
      </c>
      <c r="F383" s="115" t="s">
        <v>2316</v>
      </c>
      <c r="G383" s="114" t="s">
        <v>2316</v>
      </c>
      <c r="H383" s="116" t="n">
        <v>10.0</v>
      </c>
      <c r="I383" s="116" t="n">
        <v>97750.0</v>
      </c>
      <c r="J383" s="116" t="s">
        <v>103</v>
      </c>
      <c r="K383" s="116"/>
      <c r="L383" s="116"/>
      <c r="M383" s="116"/>
      <c r="N383" s="116"/>
      <c r="O383" s="116"/>
      <c r="P383" s="116"/>
      <c r="Q383" s="116"/>
      <c r="R383" s="116"/>
      <c r="S383" s="116"/>
      <c r="T383" s="116"/>
      <c r="U383" s="116" t="s">
        <v>104</v>
      </c>
      <c r="V383" s="118" t="s">
        <v>2317</v>
      </c>
      <c r="W383" s="116" t="s">
        <v>771</v>
      </c>
      <c r="X383" s="116" t="s">
        <v>107</v>
      </c>
      <c r="Y383" s="116" t="s">
        <v>108</v>
      </c>
      <c r="Z383" s="114">
        <f>IF(INDIRECT("Y383")="Clássico","12%",IF(INDIRECT("Y383")="Premium","17%","-"))</f>
      </c>
      <c r="AA383" s="116" t="s">
        <v>1357</v>
      </c>
      <c r="AB383" s="116" t="s">
        <v>120</v>
      </c>
      <c r="AC383" s="116" t="n">
        <v>6.0</v>
      </c>
      <c r="AD383" s="116" t="s">
        <v>121</v>
      </c>
      <c r="AE383" s="117" t="s">
        <v>112</v>
      </c>
      <c r="AF383" s="114" t="s">
        <v>1663</v>
      </c>
      <c r="AG383" s="114" t="s">
        <v>22</v>
      </c>
      <c r="AH383" s="114" t="s">
        <v>22</v>
      </c>
      <c r="AI383" s="114" t="s">
        <v>22</v>
      </c>
      <c r="AJ383" s="114" t="s">
        <v>22</v>
      </c>
    </row>
    <row r="384" ht="50.0" customHeight="true">
      <c r="A384" s="114" t="s">
        <v>2318</v>
      </c>
      <c r="B384" s="114" t="s">
        <v>2319</v>
      </c>
      <c r="C384" s="114" t="s">
        <v>2320</v>
      </c>
      <c r="D384" s="114"/>
      <c r="E384" s="115" t="s">
        <v>2321</v>
      </c>
      <c r="F384" s="115" t="s">
        <v>2322</v>
      </c>
      <c r="G384" s="114" t="s">
        <v>2322</v>
      </c>
      <c r="H384" s="116" t="n">
        <v>10.0</v>
      </c>
      <c r="I384" s="116" t="n">
        <v>107270.0</v>
      </c>
      <c r="J384" s="116" t="s">
        <v>103</v>
      </c>
      <c r="K384" s="116"/>
      <c r="L384" s="116"/>
      <c r="M384" s="116"/>
      <c r="N384" s="116"/>
      <c r="O384" s="116"/>
      <c r="P384" s="116"/>
      <c r="Q384" s="116"/>
      <c r="R384" s="116"/>
      <c r="S384" s="116"/>
      <c r="T384" s="116"/>
      <c r="U384" s="116" t="s">
        <v>104</v>
      </c>
      <c r="V384" s="118" t="s">
        <v>2323</v>
      </c>
      <c r="W384" s="116" t="s">
        <v>771</v>
      </c>
      <c r="X384" s="116" t="s">
        <v>107</v>
      </c>
      <c r="Y384" s="116" t="s">
        <v>108</v>
      </c>
      <c r="Z384" s="114">
        <f>IF(INDIRECT("Y384")="Clássico","12%",IF(INDIRECT("Y384")="Premium","17%","-"))</f>
      </c>
      <c r="AA384" s="116" t="s">
        <v>1357</v>
      </c>
      <c r="AB384" s="116" t="s">
        <v>120</v>
      </c>
      <c r="AC384" s="116" t="n">
        <v>6.0</v>
      </c>
      <c r="AD384" s="116" t="s">
        <v>121</v>
      </c>
      <c r="AE384" s="117" t="s">
        <v>112</v>
      </c>
      <c r="AF384" s="114" t="s">
        <v>1663</v>
      </c>
      <c r="AG384" s="114" t="s">
        <v>22</v>
      </c>
      <c r="AH384" s="114" t="s">
        <v>22</v>
      </c>
      <c r="AI384" s="114" t="s">
        <v>22</v>
      </c>
      <c r="AJ384" s="114" t="s">
        <v>22</v>
      </c>
    </row>
    <row r="385" ht="50.0" customHeight="true">
      <c r="A385" s="114" t="s">
        <v>2324</v>
      </c>
      <c r="B385" s="114" t="s">
        <v>2325</v>
      </c>
      <c r="C385" s="114" t="s">
        <v>2326</v>
      </c>
      <c r="D385" s="114"/>
      <c r="E385" s="115" t="s">
        <v>2327</v>
      </c>
      <c r="F385" s="115" t="s">
        <v>2328</v>
      </c>
      <c r="G385" s="114" t="s">
        <v>2328</v>
      </c>
      <c r="H385" s="116" t="n">
        <v>10.0</v>
      </c>
      <c r="I385" s="116" t="n">
        <v>73440.0</v>
      </c>
      <c r="J385" s="116" t="s">
        <v>103</v>
      </c>
      <c r="K385" s="116"/>
      <c r="L385" s="116"/>
      <c r="M385" s="116"/>
      <c r="N385" s="116"/>
      <c r="O385" s="116"/>
      <c r="P385" s="116"/>
      <c r="Q385" s="116"/>
      <c r="R385" s="116"/>
      <c r="S385" s="116"/>
      <c r="T385" s="116"/>
      <c r="U385" s="116" t="s">
        <v>104</v>
      </c>
      <c r="V385" s="118" t="s">
        <v>2329</v>
      </c>
      <c r="W385" s="116" t="s">
        <v>771</v>
      </c>
      <c r="X385" s="116" t="s">
        <v>107</v>
      </c>
      <c r="Y385" s="116" t="s">
        <v>108</v>
      </c>
      <c r="Z385" s="114">
        <f>IF(INDIRECT("Y385")="Clássico","12%",IF(INDIRECT("Y385")="Premium","17%","-"))</f>
      </c>
      <c r="AA385" s="116" t="s">
        <v>1357</v>
      </c>
      <c r="AB385" s="116" t="s">
        <v>120</v>
      </c>
      <c r="AC385" s="116" t="n">
        <v>6.0</v>
      </c>
      <c r="AD385" s="116" t="s">
        <v>121</v>
      </c>
      <c r="AE385" s="117" t="s">
        <v>112</v>
      </c>
      <c r="AF385" s="114" t="s">
        <v>1663</v>
      </c>
      <c r="AG385" s="114" t="s">
        <v>22</v>
      </c>
      <c r="AH385" s="114" t="s">
        <v>22</v>
      </c>
      <c r="AI385" s="114" t="s">
        <v>22</v>
      </c>
      <c r="AJ385" s="114" t="s">
        <v>22</v>
      </c>
    </row>
    <row r="386" ht="50.0" customHeight="true">
      <c r="A386" s="114" t="s">
        <v>2330</v>
      </c>
      <c r="B386" s="114" t="s">
        <v>2331</v>
      </c>
      <c r="C386" s="114" t="s">
        <v>2332</v>
      </c>
      <c r="D386" s="114"/>
      <c r="E386" s="115" t="s">
        <v>2333</v>
      </c>
      <c r="F386" s="115" t="s">
        <v>2334</v>
      </c>
      <c r="G386" s="114" t="s">
        <v>2334</v>
      </c>
      <c r="H386" s="116" t="n">
        <v>10.0</v>
      </c>
      <c r="I386" s="116" t="n">
        <v>4590.0</v>
      </c>
      <c r="J386" s="116" t="s">
        <v>103</v>
      </c>
      <c r="K386" s="116"/>
      <c r="L386" s="116"/>
      <c r="M386" s="116"/>
      <c r="N386" s="116"/>
      <c r="O386" s="116"/>
      <c r="P386" s="116"/>
      <c r="Q386" s="116"/>
      <c r="R386" s="116"/>
      <c r="S386" s="116"/>
      <c r="T386" s="116"/>
      <c r="U386" s="116" t="s">
        <v>104</v>
      </c>
      <c r="V386" s="118" t="s">
        <v>2335</v>
      </c>
      <c r="W386" s="116" t="s">
        <v>771</v>
      </c>
      <c r="X386" s="116" t="s">
        <v>107</v>
      </c>
      <c r="Y386" s="116" t="s">
        <v>108</v>
      </c>
      <c r="Z386" s="114">
        <f>IF(INDIRECT("Y386")="Clássico","12%",IF(INDIRECT("Y386")="Premium","17%","-"))</f>
      </c>
      <c r="AA386" s="116" t="s">
        <v>1357</v>
      </c>
      <c r="AB386" s="116" t="s">
        <v>120</v>
      </c>
      <c r="AC386" s="116" t="n">
        <v>6.0</v>
      </c>
      <c r="AD386" s="116" t="s">
        <v>121</v>
      </c>
      <c r="AE386" s="117" t="s">
        <v>112</v>
      </c>
      <c r="AF386" s="114" t="s">
        <v>1663</v>
      </c>
      <c r="AG386" s="114" t="s">
        <v>22</v>
      </c>
      <c r="AH386" s="114" t="s">
        <v>22</v>
      </c>
      <c r="AI386" s="114" t="s">
        <v>22</v>
      </c>
      <c r="AJ386" s="114" t="s">
        <v>22</v>
      </c>
    </row>
    <row r="387" ht="50.0" customHeight="true">
      <c r="A387" s="114" t="s">
        <v>2336</v>
      </c>
      <c r="B387" s="114" t="s">
        <v>2337</v>
      </c>
      <c r="C387" s="114" t="s">
        <v>2338</v>
      </c>
      <c r="D387" s="114"/>
      <c r="E387" s="115" t="s">
        <v>2339</v>
      </c>
      <c r="F387" s="115" t="s">
        <v>2340</v>
      </c>
      <c r="G387" s="114" t="s">
        <v>176</v>
      </c>
      <c r="H387" s="116" t="n">
        <v>2100.0</v>
      </c>
      <c r="I387" s="116" t="n">
        <v>19.9</v>
      </c>
      <c r="J387" s="116" t="s">
        <v>103</v>
      </c>
      <c r="K387" s="116"/>
      <c r="L387" s="116"/>
      <c r="M387" s="116"/>
      <c r="N387" s="116"/>
      <c r="O387" s="116"/>
      <c r="P387" s="116"/>
      <c r="Q387" s="116"/>
      <c r="R387" s="116"/>
      <c r="S387" s="116"/>
      <c r="T387" s="116"/>
      <c r="U387" s="116" t="s">
        <v>104</v>
      </c>
      <c r="V387" s="118" t="s">
        <v>22</v>
      </c>
      <c r="W387" s="116" t="s">
        <v>106</v>
      </c>
      <c r="X387" s="116" t="s">
        <v>107</v>
      </c>
      <c r="Y387" s="116" t="s">
        <v>108</v>
      </c>
      <c r="Z387" s="114">
        <f>IF(INDIRECT("Y387")="Clássico","11.5%",IF(INDIRECT("Y387")="Premium","16.5%","-"))</f>
      </c>
      <c r="AA387" s="116" t="s">
        <v>1357</v>
      </c>
      <c r="AB387" s="116" t="s">
        <v>120</v>
      </c>
      <c r="AC387" s="116" t="n">
        <v>90.0</v>
      </c>
      <c r="AD387" s="116" t="s">
        <v>111</v>
      </c>
      <c r="AE387" s="117" t="s">
        <v>112</v>
      </c>
      <c r="AF387" s="114" t="s">
        <v>1424</v>
      </c>
      <c r="AG387" s="116"/>
      <c r="AH387" s="116"/>
      <c r="AI387" s="116"/>
      <c r="AJ387" s="116"/>
    </row>
    <row r="388" ht="50.0" customHeight="true">
      <c r="A388" s="114" t="s">
        <v>2341</v>
      </c>
      <c r="B388" s="114" t="s">
        <v>2342</v>
      </c>
      <c r="C388" s="114" t="s">
        <v>2343</v>
      </c>
      <c r="D388" s="114"/>
      <c r="E388" s="115" t="s">
        <v>2344</v>
      </c>
      <c r="F388" s="115" t="s">
        <v>2345</v>
      </c>
      <c r="G388" s="114" t="s">
        <v>2346</v>
      </c>
      <c r="H388" s="116" t="n">
        <v>5.0</v>
      </c>
      <c r="I388" s="116" t="n">
        <v>199.9</v>
      </c>
      <c r="J388" s="116" t="s">
        <v>103</v>
      </c>
      <c r="K388" s="116"/>
      <c r="L388" s="116"/>
      <c r="M388" s="116"/>
      <c r="N388" s="116"/>
      <c r="O388" s="116"/>
      <c r="P388" s="116"/>
      <c r="Q388" s="116"/>
      <c r="R388" s="116"/>
      <c r="S388" s="116"/>
      <c r="T388" s="116"/>
      <c r="U388" s="116" t="s">
        <v>104</v>
      </c>
      <c r="V388" s="118" t="s">
        <v>22</v>
      </c>
      <c r="W388" s="116" t="s">
        <v>130</v>
      </c>
      <c r="X388" s="116" t="s">
        <v>107</v>
      </c>
      <c r="Y388" s="116" t="s">
        <v>108</v>
      </c>
      <c r="Z388" s="114">
        <f>IF(INDIRECT("Y388")="Clássico","12.5%",IF(INDIRECT("Y388")="Premium","17.5%","-"))</f>
      </c>
      <c r="AA388" s="116" t="s">
        <v>1357</v>
      </c>
      <c r="AB388" s="116" t="s">
        <v>120</v>
      </c>
      <c r="AC388" s="116" t="n">
        <v>90.0</v>
      </c>
      <c r="AD388" s="116" t="s">
        <v>111</v>
      </c>
      <c r="AE388" s="117" t="s">
        <v>112</v>
      </c>
      <c r="AF388" s="114" t="s">
        <v>1644</v>
      </c>
      <c r="AG388" s="116"/>
      <c r="AH388" s="116"/>
      <c r="AI388" s="116"/>
      <c r="AJ388" s="116"/>
    </row>
    <row r="389" ht="50.0" customHeight="true">
      <c r="A389" s="114" t="s">
        <v>2347</v>
      </c>
      <c r="B389" s="114" t="s">
        <v>2348</v>
      </c>
      <c r="C389" s="114" t="s">
        <v>2349</v>
      </c>
      <c r="D389" s="114"/>
      <c r="E389" s="115" t="s">
        <v>2350</v>
      </c>
      <c r="F389" s="115" t="s">
        <v>2351</v>
      </c>
      <c r="G389" s="114" t="s">
        <v>2351</v>
      </c>
      <c r="H389" s="116" t="n">
        <v>3.0</v>
      </c>
      <c r="I389" s="116" t="n">
        <v>19.9</v>
      </c>
      <c r="J389" s="116" t="s">
        <v>103</v>
      </c>
      <c r="K389" s="116" t="n">
        <v>19.0</v>
      </c>
      <c r="L389" s="116" t="n">
        <v>2.0</v>
      </c>
      <c r="M389" s="116"/>
      <c r="N389" s="116"/>
      <c r="O389" s="116"/>
      <c r="P389" s="116"/>
      <c r="Q389" s="116"/>
      <c r="R389" s="116"/>
      <c r="S389" s="116"/>
      <c r="T389" s="116"/>
      <c r="U389" s="116" t="s">
        <v>104</v>
      </c>
      <c r="V389" s="118" t="s">
        <v>2352</v>
      </c>
      <c r="W389" s="116" t="s">
        <v>106</v>
      </c>
      <c r="X389" s="116" t="s">
        <v>143</v>
      </c>
      <c r="Y389" s="116" t="s">
        <v>108</v>
      </c>
      <c r="Z389" s="114">
        <f>IF(INDIRECT("Y389")="Clássico","12%",IF(INDIRECT("Y389")="Premium","17%","-"))</f>
      </c>
      <c r="AA389" s="116" t="s">
        <v>1357</v>
      </c>
      <c r="AB389" s="116" t="s">
        <v>110</v>
      </c>
      <c r="AC389" s="116" t="n">
        <v>3.0</v>
      </c>
      <c r="AD389" s="116" t="s">
        <v>121</v>
      </c>
      <c r="AE389" s="117" t="s">
        <v>112</v>
      </c>
      <c r="AF389" s="114" t="s">
        <v>122</v>
      </c>
      <c r="AG389" s="116" t="n">
        <v>24.0</v>
      </c>
      <c r="AH389" s="116" t="n">
        <v>17.0</v>
      </c>
      <c r="AI389" s="116" t="n">
        <v>4.0</v>
      </c>
      <c r="AJ389" s="116" t="n">
        <v>0.3</v>
      </c>
    </row>
    <row r="390" ht="50.0" customHeight="true">
      <c r="A390" s="114" t="s">
        <v>2353</v>
      </c>
      <c r="B390" s="114" t="s">
        <v>2354</v>
      </c>
      <c r="C390" s="114" t="s">
        <v>2355</v>
      </c>
      <c r="D390" s="114"/>
      <c r="E390" s="115" t="s">
        <v>2356</v>
      </c>
      <c r="F390" s="115" t="s">
        <v>2357</v>
      </c>
      <c r="G390" s="114" t="s">
        <v>574</v>
      </c>
      <c r="H390" s="116" t="n">
        <v>10.0</v>
      </c>
      <c r="I390" s="116" t="n">
        <v>70.0</v>
      </c>
      <c r="J390" s="116" t="s">
        <v>103</v>
      </c>
      <c r="K390" s="116"/>
      <c r="L390" s="116"/>
      <c r="M390" s="116"/>
      <c r="N390" s="116"/>
      <c r="O390" s="116"/>
      <c r="P390" s="116"/>
      <c r="Q390" s="116"/>
      <c r="R390" s="116"/>
      <c r="S390" s="116"/>
      <c r="T390" s="116"/>
      <c r="U390" s="116" t="s">
        <v>104</v>
      </c>
      <c r="V390" s="118" t="s">
        <v>2358</v>
      </c>
      <c r="W390" s="116" t="s">
        <v>106</v>
      </c>
      <c r="X390" s="116" t="s">
        <v>143</v>
      </c>
      <c r="Y390" s="116" t="s">
        <v>152</v>
      </c>
      <c r="Z390" s="114">
        <f>IF(INDIRECT("Y390")="Clássico","12.5%",IF(INDIRECT("Y390")="Premium","17.5%","-"))</f>
      </c>
      <c r="AA390" s="116" t="s">
        <v>1357</v>
      </c>
      <c r="AB390" s="116" t="s">
        <v>110</v>
      </c>
      <c r="AC390" s="116" t="n">
        <v>30.0</v>
      </c>
      <c r="AD390" s="116" t="s">
        <v>111</v>
      </c>
      <c r="AE390" s="117" t="s">
        <v>112</v>
      </c>
      <c r="AF390" s="114" t="s">
        <v>280</v>
      </c>
      <c r="AG390" s="116" t="n">
        <v>33.0</v>
      </c>
      <c r="AH390" s="116" t="n">
        <v>22.0</v>
      </c>
      <c r="AI390" s="116" t="n">
        <v>11.0</v>
      </c>
      <c r="AJ390" s="116" t="n">
        <v>1.85</v>
      </c>
    </row>
    <row r="391" ht="50.0" customHeight="true">
      <c r="A391" s="114" t="s">
        <v>2359</v>
      </c>
      <c r="B391" s="114" t="s">
        <v>2360</v>
      </c>
      <c r="C391" s="114" t="s">
        <v>2361</v>
      </c>
      <c r="D391" s="114"/>
      <c r="E391" s="115" t="s">
        <v>2362</v>
      </c>
      <c r="F391" s="115" t="s">
        <v>2363</v>
      </c>
      <c r="G391" s="114" t="s">
        <v>574</v>
      </c>
      <c r="H391" s="116" t="n">
        <v>10.0</v>
      </c>
      <c r="I391" s="116" t="n">
        <v>76.0</v>
      </c>
      <c r="J391" s="116" t="s">
        <v>103</v>
      </c>
      <c r="K391" s="116"/>
      <c r="L391" s="116"/>
      <c r="M391" s="116"/>
      <c r="N391" s="116"/>
      <c r="O391" s="116"/>
      <c r="P391" s="116"/>
      <c r="Q391" s="116"/>
      <c r="R391" s="116"/>
      <c r="S391" s="116"/>
      <c r="T391" s="116"/>
      <c r="U391" s="116" t="s">
        <v>104</v>
      </c>
      <c r="V391" s="118" t="s">
        <v>2364</v>
      </c>
      <c r="W391" s="116" t="s">
        <v>106</v>
      </c>
      <c r="X391" s="116" t="s">
        <v>143</v>
      </c>
      <c r="Y391" s="116" t="s">
        <v>152</v>
      </c>
      <c r="Z391" s="114">
        <f>IF(INDIRECT("Y391")="Clássico","12.5%",IF(INDIRECT("Y391")="Premium","17.5%","-"))</f>
      </c>
      <c r="AA391" s="116" t="s">
        <v>1357</v>
      </c>
      <c r="AB391" s="116" t="s">
        <v>110</v>
      </c>
      <c r="AC391" s="116" t="n">
        <v>30.0</v>
      </c>
      <c r="AD391" s="116" t="s">
        <v>111</v>
      </c>
      <c r="AE391" s="117" t="s">
        <v>112</v>
      </c>
      <c r="AF391" s="114" t="s">
        <v>280</v>
      </c>
      <c r="AG391" s="116" t="n">
        <v>37.0</v>
      </c>
      <c r="AH391" s="116" t="n">
        <v>31.0</v>
      </c>
      <c r="AI391" s="116" t="n">
        <v>11.0</v>
      </c>
      <c r="AJ391" s="116" t="n">
        <v>2.55</v>
      </c>
    </row>
    <row r="392" ht="50.0" customHeight="true">
      <c r="A392" s="114" t="s">
        <v>2365</v>
      </c>
      <c r="B392" s="114" t="s">
        <v>2366</v>
      </c>
      <c r="C392" s="114" t="s">
        <v>2367</v>
      </c>
      <c r="D392" s="114"/>
      <c r="E392" s="115" t="s">
        <v>2368</v>
      </c>
      <c r="F392" s="115" t="s">
        <v>2369</v>
      </c>
      <c r="G392" s="114" t="s">
        <v>574</v>
      </c>
      <c r="H392" s="116" t="n">
        <v>10.0</v>
      </c>
      <c r="I392" s="116" t="n">
        <v>140.0</v>
      </c>
      <c r="J392" s="116" t="s">
        <v>103</v>
      </c>
      <c r="K392" s="116"/>
      <c r="L392" s="116"/>
      <c r="M392" s="116"/>
      <c r="N392" s="116"/>
      <c r="O392" s="116"/>
      <c r="P392" s="116"/>
      <c r="Q392" s="116"/>
      <c r="R392" s="116"/>
      <c r="S392" s="116"/>
      <c r="T392" s="116"/>
      <c r="U392" s="116" t="s">
        <v>104</v>
      </c>
      <c r="V392" s="118" t="s">
        <v>2370</v>
      </c>
      <c r="W392" s="116" t="s">
        <v>130</v>
      </c>
      <c r="X392" s="116" t="s">
        <v>143</v>
      </c>
      <c r="Y392" s="116" t="s">
        <v>152</v>
      </c>
      <c r="Z392" s="114">
        <f>IF(INDIRECT("Y392")="Clássico","12.5%",IF(INDIRECT("Y392")="Premium","17.5%","-"))</f>
      </c>
      <c r="AA392" s="116" t="s">
        <v>1357</v>
      </c>
      <c r="AB392" s="116" t="s">
        <v>110</v>
      </c>
      <c r="AC392" s="116" t="n">
        <v>30.0</v>
      </c>
      <c r="AD392" s="116" t="s">
        <v>111</v>
      </c>
      <c r="AE392" s="117" t="s">
        <v>112</v>
      </c>
      <c r="AF392" s="114" t="s">
        <v>280</v>
      </c>
      <c r="AG392" s="116" t="n">
        <v>36.0</v>
      </c>
      <c r="AH392" s="116" t="n">
        <v>32.0</v>
      </c>
      <c r="AI392" s="116" t="n">
        <v>12.0</v>
      </c>
      <c r="AJ392" s="116" t="n">
        <v>2.06</v>
      </c>
    </row>
    <row r="393" ht="50.0" customHeight="true">
      <c r="A393" s="114" t="s">
        <v>2371</v>
      </c>
      <c r="B393" s="114" t="s">
        <v>2372</v>
      </c>
      <c r="C393" s="114" t="s">
        <v>2373</v>
      </c>
      <c r="D393" s="114"/>
      <c r="E393" s="115" t="s">
        <v>2374</v>
      </c>
      <c r="F393" s="115" t="s">
        <v>2375</v>
      </c>
      <c r="G393" s="114" t="s">
        <v>2375</v>
      </c>
      <c r="H393" s="116" t="n">
        <v>1.0</v>
      </c>
      <c r="I393" s="116" t="n">
        <v>90.0</v>
      </c>
      <c r="J393" s="116" t="s">
        <v>103</v>
      </c>
      <c r="K393" s="116"/>
      <c r="L393" s="116"/>
      <c r="M393" s="116"/>
      <c r="N393" s="116"/>
      <c r="O393" s="116"/>
      <c r="P393" s="116"/>
      <c r="Q393" s="116"/>
      <c r="R393" s="116"/>
      <c r="S393" s="116"/>
      <c r="T393" s="116"/>
      <c r="U393" s="116" t="s">
        <v>104</v>
      </c>
      <c r="V393" s="118" t="s">
        <v>2376</v>
      </c>
      <c r="W393" s="116" t="s">
        <v>130</v>
      </c>
      <c r="X393" s="116" t="s">
        <v>143</v>
      </c>
      <c r="Y393" s="116" t="s">
        <v>152</v>
      </c>
      <c r="Z393" s="114">
        <f>IF(INDIRECT("Y393")="Clássico","12%",IF(INDIRECT("Y393")="Premium","17%","-"))</f>
      </c>
      <c r="AA393" s="116" t="s">
        <v>1357</v>
      </c>
      <c r="AB393" s="116" t="s">
        <v>110</v>
      </c>
      <c r="AC393" s="116" t="n">
        <v>30.0</v>
      </c>
      <c r="AD393" s="116" t="s">
        <v>111</v>
      </c>
      <c r="AE393" s="117" t="s">
        <v>112</v>
      </c>
      <c r="AF393" s="114" t="s">
        <v>1851</v>
      </c>
      <c r="AG393" s="116" t="n">
        <v>19.0</v>
      </c>
      <c r="AH393" s="116" t="n">
        <v>10.0</v>
      </c>
      <c r="AI393" s="116" t="n">
        <v>10.0</v>
      </c>
      <c r="AJ393" s="116" t="n">
        <v>0.65</v>
      </c>
    </row>
    <row r="394" ht="50.0" customHeight="true">
      <c r="A394" s="114" t="s">
        <v>2377</v>
      </c>
      <c r="B394" s="114" t="s">
        <v>2378</v>
      </c>
      <c r="C394" s="114" t="s">
        <v>2379</v>
      </c>
      <c r="D394" s="114"/>
      <c r="E394" s="115" t="s">
        <v>2380</v>
      </c>
      <c r="F394" s="115" t="s">
        <v>2381</v>
      </c>
      <c r="G394" s="114" t="s">
        <v>419</v>
      </c>
      <c r="H394" s="116" t="n">
        <v>5000.0</v>
      </c>
      <c r="I394" s="116" t="n">
        <v>50.0</v>
      </c>
      <c r="J394" s="116" t="s">
        <v>103</v>
      </c>
      <c r="K394" s="116"/>
      <c r="L394" s="116"/>
      <c r="M394" s="116"/>
      <c r="N394" s="116"/>
      <c r="O394" s="116"/>
      <c r="P394" s="116"/>
      <c r="Q394" s="116"/>
      <c r="R394" s="116"/>
      <c r="S394" s="116"/>
      <c r="T394" s="116"/>
      <c r="U394" s="116" t="s">
        <v>104</v>
      </c>
      <c r="V394" s="118" t="s">
        <v>2382</v>
      </c>
      <c r="W394" s="116" t="s">
        <v>106</v>
      </c>
      <c r="X394" s="116" t="s">
        <v>107</v>
      </c>
      <c r="Y394" s="116" t="s">
        <v>108</v>
      </c>
      <c r="Z394" s="114">
        <f>IF(INDIRECT("Y394")="Clássico","12%",IF(INDIRECT("Y394")="Premium","17%","-"))</f>
      </c>
      <c r="AA394" s="116" t="s">
        <v>1357</v>
      </c>
      <c r="AB394" s="116" t="s">
        <v>110</v>
      </c>
      <c r="AC394" s="116" t="n">
        <v>7.0</v>
      </c>
      <c r="AD394" s="116" t="s">
        <v>111</v>
      </c>
      <c r="AE394" s="117" t="s">
        <v>112</v>
      </c>
      <c r="AF394" s="114" t="s">
        <v>658</v>
      </c>
      <c r="AG394" s="116" t="n">
        <v>19.0</v>
      </c>
      <c r="AH394" s="116" t="n">
        <v>15.0</v>
      </c>
      <c r="AI394" s="116" t="n">
        <v>13.0</v>
      </c>
      <c r="AJ394" s="116" t="n">
        <v>0.58</v>
      </c>
    </row>
    <row r="395" ht="50.0" customHeight="true">
      <c r="A395" s="114" t="s">
        <v>2383</v>
      </c>
      <c r="B395" s="114" t="s">
        <v>2384</v>
      </c>
      <c r="C395" s="114" t="s">
        <v>2385</v>
      </c>
      <c r="D395" s="114"/>
      <c r="E395" s="115" t="s">
        <v>2386</v>
      </c>
      <c r="F395" s="115" t="s">
        <v>2387</v>
      </c>
      <c r="G395" s="114" t="s">
        <v>2387</v>
      </c>
      <c r="H395" s="116" t="n">
        <v>5.0</v>
      </c>
      <c r="I395" s="116" t="n">
        <v>60.0</v>
      </c>
      <c r="J395" s="116" t="s">
        <v>103</v>
      </c>
      <c r="K395" s="116"/>
      <c r="L395" s="116"/>
      <c r="M395" s="116"/>
      <c r="N395" s="116"/>
      <c r="O395" s="116"/>
      <c r="P395" s="116"/>
      <c r="Q395" s="116"/>
      <c r="R395" s="116"/>
      <c r="S395" s="116"/>
      <c r="T395" s="116"/>
      <c r="U395" s="116" t="s">
        <v>104</v>
      </c>
      <c r="V395" s="118" t="s">
        <v>2388</v>
      </c>
      <c r="W395" s="116" t="s">
        <v>106</v>
      </c>
      <c r="X395" s="116" t="s">
        <v>143</v>
      </c>
      <c r="Y395" s="116" t="s">
        <v>108</v>
      </c>
      <c r="Z395" s="114">
        <f>IF(INDIRECT("Y395")="Clássico","11.5%",IF(INDIRECT("Y395")="Premium","16.5%","-"))</f>
      </c>
      <c r="AA395" s="116" t="s">
        <v>1357</v>
      </c>
      <c r="AB395" s="116" t="s">
        <v>110</v>
      </c>
      <c r="AC395" s="116" t="n">
        <v>30.0</v>
      </c>
      <c r="AD395" s="116" t="s">
        <v>111</v>
      </c>
      <c r="AE395" s="117" t="s">
        <v>112</v>
      </c>
      <c r="AF395" s="114" t="s">
        <v>2389</v>
      </c>
      <c r="AG395" s="116" t="n">
        <v>36.0</v>
      </c>
      <c r="AH395" s="116" t="n">
        <v>27.0</v>
      </c>
      <c r="AI395" s="116" t="n">
        <v>8.0</v>
      </c>
      <c r="AJ395" s="116" t="n">
        <v>0.92</v>
      </c>
    </row>
    <row r="396" ht="50.0" customHeight="true">
      <c r="A396" s="114" t="s">
        <v>2390</v>
      </c>
      <c r="B396" s="114" t="s">
        <v>2391</v>
      </c>
      <c r="C396" s="114" t="s">
        <v>2392</v>
      </c>
      <c r="D396" s="114"/>
      <c r="E396" s="115"/>
      <c r="F396" s="115" t="s">
        <v>2393</v>
      </c>
      <c r="G396" s="114" t="s">
        <v>128</v>
      </c>
      <c r="H396" s="116" t="n">
        <v>20.0</v>
      </c>
      <c r="I396" s="116" t="n">
        <v>4350.0</v>
      </c>
      <c r="J396" s="116" t="s">
        <v>103</v>
      </c>
      <c r="K396" s="116"/>
      <c r="L396" s="116"/>
      <c r="M396" s="116"/>
      <c r="N396" s="116"/>
      <c r="O396" s="116"/>
      <c r="P396" s="116"/>
      <c r="Q396" s="116"/>
      <c r="R396" s="116"/>
      <c r="S396" s="116"/>
      <c r="T396" s="116"/>
      <c r="U396" s="116" t="s">
        <v>104</v>
      </c>
      <c r="V396" s="118" t="s">
        <v>2394</v>
      </c>
      <c r="W396" s="116" t="s">
        <v>130</v>
      </c>
      <c r="X396" s="116" t="s">
        <v>107</v>
      </c>
      <c r="Y396" s="116" t="s">
        <v>152</v>
      </c>
      <c r="Z396" s="114">
        <f>IF(INDIRECT("Y396")="Clássico","12%",IF(INDIRECT("Y396")="Premium","17%","-"))</f>
      </c>
      <c r="AA396" s="116" t="s">
        <v>1357</v>
      </c>
      <c r="AB396" s="116" t="s">
        <v>120</v>
      </c>
      <c r="AC396" s="116" t="n">
        <v>3.0</v>
      </c>
      <c r="AD396" s="116" t="s">
        <v>121</v>
      </c>
      <c r="AE396" s="117" t="s">
        <v>112</v>
      </c>
      <c r="AF396" s="114" t="s">
        <v>213</v>
      </c>
      <c r="AG396" s="116"/>
      <c r="AH396" s="116"/>
      <c r="AI396" s="116"/>
      <c r="AJ396" s="116"/>
    </row>
    <row r="397" ht="50.0" customHeight="true">
      <c r="A397" s="114" t="s">
        <v>2395</v>
      </c>
      <c r="B397" s="114" t="s">
        <v>2396</v>
      </c>
      <c r="C397" s="114" t="s">
        <v>2397</v>
      </c>
      <c r="D397" s="114"/>
      <c r="E397" s="115" t="s">
        <v>2398</v>
      </c>
      <c r="F397" s="115" t="s">
        <v>2399</v>
      </c>
      <c r="G397" s="114" t="s">
        <v>2399</v>
      </c>
      <c r="H397" s="116" t="n">
        <v>1.0</v>
      </c>
      <c r="I397" s="116" t="n">
        <v>120.0</v>
      </c>
      <c r="J397" s="116" t="s">
        <v>103</v>
      </c>
      <c r="K397" s="116"/>
      <c r="L397" s="116"/>
      <c r="M397" s="116"/>
      <c r="N397" s="116"/>
      <c r="O397" s="116"/>
      <c r="P397" s="116"/>
      <c r="Q397" s="116"/>
      <c r="R397" s="116"/>
      <c r="S397" s="116"/>
      <c r="T397" s="116"/>
      <c r="U397" s="116" t="s">
        <v>104</v>
      </c>
      <c r="V397" s="118" t="s">
        <v>2400</v>
      </c>
      <c r="W397" s="116" t="s">
        <v>130</v>
      </c>
      <c r="X397" s="116" t="s">
        <v>107</v>
      </c>
      <c r="Y397" s="116" t="s">
        <v>152</v>
      </c>
      <c r="Z397" s="114">
        <f>IF(INDIRECT("Y397")="Clássico","12%",IF(INDIRECT("Y397")="Premium","17%","-"))</f>
      </c>
      <c r="AA397" s="116" t="s">
        <v>1357</v>
      </c>
      <c r="AB397" s="116" t="s">
        <v>110</v>
      </c>
      <c r="AC397" s="116" t="n">
        <v>30.0</v>
      </c>
      <c r="AD397" s="116" t="s">
        <v>111</v>
      </c>
      <c r="AE397" s="117" t="s">
        <v>112</v>
      </c>
      <c r="AF397" s="114" t="s">
        <v>1851</v>
      </c>
      <c r="AG397" s="116" t="n">
        <v>27.0</v>
      </c>
      <c r="AH397" s="116" t="n">
        <v>19.0</v>
      </c>
      <c r="AI397" s="116" t="n">
        <v>12.0</v>
      </c>
      <c r="AJ397" s="116" t="n">
        <v>1.03</v>
      </c>
    </row>
    <row r="398" ht="50.0" customHeight="true">
      <c r="A398" s="114" t="s">
        <v>2401</v>
      </c>
      <c r="B398" s="114" t="s">
        <v>2402</v>
      </c>
      <c r="C398" s="114" t="s">
        <v>2403</v>
      </c>
      <c r="D398" s="114"/>
      <c r="E398" s="115" t="s">
        <v>2404</v>
      </c>
      <c r="F398" s="115" t="s">
        <v>2405</v>
      </c>
      <c r="G398" s="114" t="s">
        <v>192</v>
      </c>
      <c r="H398" s="116" t="n">
        <v>15.0</v>
      </c>
      <c r="I398" s="116" t="n">
        <v>22.0</v>
      </c>
      <c r="J398" s="116" t="s">
        <v>103</v>
      </c>
      <c r="K398" s="116"/>
      <c r="L398" s="116"/>
      <c r="M398" s="116"/>
      <c r="N398" s="116"/>
      <c r="O398" s="116"/>
      <c r="P398" s="116"/>
      <c r="Q398" s="116"/>
      <c r="R398" s="116"/>
      <c r="S398" s="116"/>
      <c r="T398" s="116"/>
      <c r="U398" s="116" t="s">
        <v>104</v>
      </c>
      <c r="V398" s="118" t="s">
        <v>2406</v>
      </c>
      <c r="W398" s="116" t="s">
        <v>106</v>
      </c>
      <c r="X398" s="116" t="s">
        <v>143</v>
      </c>
      <c r="Y398" s="116" t="s">
        <v>108</v>
      </c>
      <c r="Z398" s="114">
        <f>IF(INDIRECT("Y398")="Clássico","12%",IF(INDIRECT("Y398")="Premium","17%","-"))</f>
      </c>
      <c r="AA398" s="116" t="s">
        <v>1357</v>
      </c>
      <c r="AB398" s="116" t="s">
        <v>110</v>
      </c>
      <c r="AC398" s="116" t="n">
        <v>30.0</v>
      </c>
      <c r="AD398" s="116" t="s">
        <v>111</v>
      </c>
      <c r="AE398" s="117" t="s">
        <v>112</v>
      </c>
      <c r="AF398" s="114" t="s">
        <v>1062</v>
      </c>
      <c r="AG398" s="116" t="n">
        <v>72.0</v>
      </c>
      <c r="AH398" s="116" t="n">
        <v>40.0</v>
      </c>
      <c r="AI398" s="116" t="n">
        <v>16.0</v>
      </c>
      <c r="AJ398" s="116" t="n">
        <v>2.39</v>
      </c>
    </row>
    <row r="399" ht="50.0" customHeight="true">
      <c r="A399" s="114" t="s">
        <v>2407</v>
      </c>
      <c r="B399" s="114" t="s">
        <v>2408</v>
      </c>
      <c r="C399" s="114" t="s">
        <v>2409</v>
      </c>
      <c r="D399" s="114"/>
      <c r="E399" s="115" t="s">
        <v>2410</v>
      </c>
      <c r="F399" s="115" t="s">
        <v>2351</v>
      </c>
      <c r="G399" s="114" t="s">
        <v>2351</v>
      </c>
      <c r="H399" s="116" t="n">
        <v>9.0</v>
      </c>
      <c r="I399" s="116" t="n">
        <v>19.9</v>
      </c>
      <c r="J399" s="116" t="s">
        <v>103</v>
      </c>
      <c r="K399" s="116" t="n">
        <v>19.0</v>
      </c>
      <c r="L399" s="116" t="n">
        <v>2.0</v>
      </c>
      <c r="M399" s="116"/>
      <c r="N399" s="116"/>
      <c r="O399" s="116"/>
      <c r="P399" s="116"/>
      <c r="Q399" s="116"/>
      <c r="R399" s="116"/>
      <c r="S399" s="116"/>
      <c r="T399" s="116"/>
      <c r="U399" s="116" t="s">
        <v>104</v>
      </c>
      <c r="V399" s="118" t="s">
        <v>433</v>
      </c>
      <c r="W399" s="116" t="s">
        <v>106</v>
      </c>
      <c r="X399" s="116" t="s">
        <v>143</v>
      </c>
      <c r="Y399" s="116" t="s">
        <v>108</v>
      </c>
      <c r="Z399" s="114">
        <f>IF(INDIRECT("Y399")="Clássico","12%",IF(INDIRECT("Y399")="Premium","17%","-"))</f>
      </c>
      <c r="AA399" s="116" t="s">
        <v>1357</v>
      </c>
      <c r="AB399" s="116" t="s">
        <v>110</v>
      </c>
      <c r="AC399" s="116" t="n">
        <v>3.0</v>
      </c>
      <c r="AD399" s="116" t="s">
        <v>121</v>
      </c>
      <c r="AE399" s="117" t="s">
        <v>112</v>
      </c>
      <c r="AF399" s="114" t="s">
        <v>658</v>
      </c>
      <c r="AG399" s="116"/>
      <c r="AH399" s="116"/>
      <c r="AI399" s="116"/>
      <c r="AJ399" s="116"/>
    </row>
    <row r="400" ht="50.0" customHeight="true">
      <c r="A400" s="114" t="s">
        <v>2411</v>
      </c>
      <c r="B400" s="114" t="s">
        <v>2412</v>
      </c>
      <c r="C400" s="114" t="s">
        <v>2413</v>
      </c>
      <c r="D400" s="114"/>
      <c r="E400" s="115" t="s">
        <v>2414</v>
      </c>
      <c r="F400" s="115" t="s">
        <v>2415</v>
      </c>
      <c r="G400" s="114" t="s">
        <v>2415</v>
      </c>
      <c r="H400" s="116" t="n">
        <v>5.0</v>
      </c>
      <c r="I400" s="116" t="n">
        <v>29.9</v>
      </c>
      <c r="J400" s="116" t="s">
        <v>103</v>
      </c>
      <c r="K400" s="116"/>
      <c r="L400" s="116"/>
      <c r="M400" s="116"/>
      <c r="N400" s="116"/>
      <c r="O400" s="116"/>
      <c r="P400" s="116"/>
      <c r="Q400" s="116"/>
      <c r="R400" s="116"/>
      <c r="S400" s="116"/>
      <c r="T400" s="116"/>
      <c r="U400" s="116" t="s">
        <v>104</v>
      </c>
      <c r="V400" s="118" t="s">
        <v>433</v>
      </c>
      <c r="W400" s="116" t="s">
        <v>106</v>
      </c>
      <c r="X400" s="116" t="s">
        <v>143</v>
      </c>
      <c r="Y400" s="116" t="s">
        <v>108</v>
      </c>
      <c r="Z400" s="114">
        <f>IF(INDIRECT("Y400")="Clássico","12%",IF(INDIRECT("Y400")="Premium","17%","-"))</f>
      </c>
      <c r="AA400" s="116" t="s">
        <v>1357</v>
      </c>
      <c r="AB400" s="116" t="s">
        <v>110</v>
      </c>
      <c r="AC400" s="116" t="n">
        <v>3.0</v>
      </c>
      <c r="AD400" s="116" t="s">
        <v>121</v>
      </c>
      <c r="AE400" s="117" t="s">
        <v>112</v>
      </c>
      <c r="AF400" s="114" t="s">
        <v>122</v>
      </c>
      <c r="AG400" s="116"/>
      <c r="AH400" s="116"/>
      <c r="AI400" s="116"/>
      <c r="AJ400" s="116"/>
    </row>
    <row r="401" ht="50.0" customHeight="true">
      <c r="A401" s="114" t="s">
        <v>2416</v>
      </c>
      <c r="B401" s="114" t="s">
        <v>2417</v>
      </c>
      <c r="C401" s="114" t="s">
        <v>2418</v>
      </c>
      <c r="D401" s="114"/>
      <c r="E401" s="115" t="s">
        <v>2419</v>
      </c>
      <c r="F401" s="115" t="s">
        <v>2420</v>
      </c>
      <c r="G401" s="114" t="s">
        <v>419</v>
      </c>
      <c r="H401" s="116" t="n">
        <v>5.0</v>
      </c>
      <c r="I401" s="116" t="n">
        <v>79.9</v>
      </c>
      <c r="J401" s="116" t="s">
        <v>103</v>
      </c>
      <c r="K401" s="116" t="n">
        <v>52.0</v>
      </c>
      <c r="L401" s="116" t="n">
        <v>2.0</v>
      </c>
      <c r="M401" s="116"/>
      <c r="N401" s="116"/>
      <c r="O401" s="116"/>
      <c r="P401" s="116"/>
      <c r="Q401" s="116"/>
      <c r="R401" s="116"/>
      <c r="S401" s="116"/>
      <c r="T401" s="116"/>
      <c r="U401" s="116" t="s">
        <v>104</v>
      </c>
      <c r="V401" s="118" t="s">
        <v>2421</v>
      </c>
      <c r="W401" s="116" t="s">
        <v>130</v>
      </c>
      <c r="X401" s="116" t="s">
        <v>107</v>
      </c>
      <c r="Y401" s="116" t="s">
        <v>108</v>
      </c>
      <c r="Z401" s="114">
        <f>IF(INDIRECT("Y401")="Clássico","12%",IF(INDIRECT("Y401")="Premium","17%","-"))</f>
      </c>
      <c r="AA401" s="116" t="s">
        <v>1357</v>
      </c>
      <c r="AB401" s="116" t="s">
        <v>110</v>
      </c>
      <c r="AC401" s="116" t="n">
        <v>30.0</v>
      </c>
      <c r="AD401" s="116" t="s">
        <v>111</v>
      </c>
      <c r="AE401" s="117" t="s">
        <v>112</v>
      </c>
      <c r="AF401" s="114" t="s">
        <v>1749</v>
      </c>
      <c r="AG401" s="116" t="n">
        <v>28.0</v>
      </c>
      <c r="AH401" s="116" t="n">
        <v>22.0</v>
      </c>
      <c r="AI401" s="116" t="n">
        <v>16.0</v>
      </c>
      <c r="AJ401" s="116" t="n">
        <v>0.36</v>
      </c>
    </row>
    <row r="402" ht="50.0" customHeight="true">
      <c r="A402" s="114" t="s">
        <v>2422</v>
      </c>
      <c r="B402" s="114" t="s">
        <v>2423</v>
      </c>
      <c r="C402" s="114" t="s">
        <v>2424</v>
      </c>
      <c r="D402" s="114"/>
      <c r="E402" s="115"/>
      <c r="F402" s="115" t="s">
        <v>2425</v>
      </c>
      <c r="G402" s="114" t="s">
        <v>2056</v>
      </c>
      <c r="H402" s="116" t="n">
        <v>2.0</v>
      </c>
      <c r="I402" s="116" t="n">
        <v>13500.0</v>
      </c>
      <c r="J402" s="116" t="s">
        <v>103</v>
      </c>
      <c r="K402" s="116" t="n">
        <v>13499.0</v>
      </c>
      <c r="L402" s="116" t="n">
        <v>2.0</v>
      </c>
      <c r="M402" s="116"/>
      <c r="N402" s="116"/>
      <c r="O402" s="116"/>
      <c r="P402" s="116"/>
      <c r="Q402" s="116"/>
      <c r="R402" s="116"/>
      <c r="S402" s="116"/>
      <c r="T402" s="116"/>
      <c r="U402" s="116" t="s">
        <v>104</v>
      </c>
      <c r="V402" s="118" t="s">
        <v>2426</v>
      </c>
      <c r="W402" s="116" t="s">
        <v>771</v>
      </c>
      <c r="X402" s="116" t="s">
        <v>107</v>
      </c>
      <c r="Y402" s="116" t="s">
        <v>108</v>
      </c>
      <c r="Z402" s="114">
        <f>IF(INDIRECT("Y402")="Clássico","11.5%",IF(INDIRECT("Y402")="Premium","16.5%","-"))</f>
      </c>
      <c r="AA402" s="116" t="s">
        <v>1357</v>
      </c>
      <c r="AB402" s="116" t="s">
        <v>110</v>
      </c>
      <c r="AC402" s="116" t="n">
        <v>30.0</v>
      </c>
      <c r="AD402" s="116" t="s">
        <v>111</v>
      </c>
      <c r="AE402" s="117" t="s">
        <v>112</v>
      </c>
      <c r="AF402" s="114" t="s">
        <v>772</v>
      </c>
      <c r="AG402" s="114" t="s">
        <v>2427</v>
      </c>
      <c r="AH402" s="114" t="s">
        <v>134</v>
      </c>
      <c r="AI402" s="114" t="s">
        <v>2428</v>
      </c>
      <c r="AJ402" s="114" t="s">
        <v>2429</v>
      </c>
    </row>
    <row r="403" ht="50.0" customHeight="true">
      <c r="A403" s="114" t="s">
        <v>2430</v>
      </c>
      <c r="B403" s="114" t="s">
        <v>2431</v>
      </c>
      <c r="C403" s="114" t="s">
        <v>2432</v>
      </c>
      <c r="D403" s="114"/>
      <c r="E403" s="115" t="s">
        <v>2433</v>
      </c>
      <c r="F403" s="115" t="s">
        <v>2434</v>
      </c>
      <c r="G403" s="114" t="s">
        <v>2434</v>
      </c>
      <c r="H403" s="116" t="n">
        <v>1.0</v>
      </c>
      <c r="I403" s="116" t="n">
        <v>39.9</v>
      </c>
      <c r="J403" s="116" t="s">
        <v>103</v>
      </c>
      <c r="K403" s="116"/>
      <c r="L403" s="116"/>
      <c r="M403" s="116"/>
      <c r="N403" s="116"/>
      <c r="O403" s="116"/>
      <c r="P403" s="116"/>
      <c r="Q403" s="116"/>
      <c r="R403" s="116"/>
      <c r="S403" s="116"/>
      <c r="T403" s="116"/>
      <c r="U403" s="116" t="s">
        <v>1416</v>
      </c>
      <c r="V403" s="118" t="s">
        <v>2435</v>
      </c>
      <c r="W403" s="116" t="s">
        <v>106</v>
      </c>
      <c r="X403" s="116" t="s">
        <v>143</v>
      </c>
      <c r="Y403" s="116" t="s">
        <v>152</v>
      </c>
      <c r="Z403" s="114">
        <f>IF(INDIRECT("Y403")="Clássico","12%",IF(INDIRECT("Y403")="Premium","17%","-"))</f>
      </c>
      <c r="AA403" s="116" t="s">
        <v>1357</v>
      </c>
      <c r="AB403" s="116" t="s">
        <v>110</v>
      </c>
      <c r="AC403" s="116" t="n">
        <v>3.0</v>
      </c>
      <c r="AD403" s="116" t="s">
        <v>121</v>
      </c>
      <c r="AE403" s="114" t="s">
        <v>131</v>
      </c>
      <c r="AF403" s="114" t="s">
        <v>2106</v>
      </c>
      <c r="AG403" s="116"/>
      <c r="AH403" s="116"/>
      <c r="AI403" s="116"/>
      <c r="AJ403" s="116"/>
    </row>
    <row r="404" ht="50.0" customHeight="true">
      <c r="A404" s="114" t="s">
        <v>2436</v>
      </c>
      <c r="B404" s="114" t="s">
        <v>2437</v>
      </c>
      <c r="C404" s="114" t="s">
        <v>2438</v>
      </c>
      <c r="D404" s="114"/>
      <c r="E404" s="115" t="s">
        <v>553</v>
      </c>
      <c r="F404" s="115" t="s">
        <v>2439</v>
      </c>
      <c r="G404" s="114" t="s">
        <v>2439</v>
      </c>
      <c r="H404" s="116" t="n">
        <v>500.0</v>
      </c>
      <c r="I404" s="116" t="n">
        <v>99.9</v>
      </c>
      <c r="J404" s="116" t="s">
        <v>103</v>
      </c>
      <c r="K404" s="116"/>
      <c r="L404" s="116"/>
      <c r="M404" s="116"/>
      <c r="N404" s="116"/>
      <c r="O404" s="116"/>
      <c r="P404" s="116"/>
      <c r="Q404" s="116"/>
      <c r="R404" s="116"/>
      <c r="S404" s="116"/>
      <c r="T404" s="116"/>
      <c r="U404" s="116" t="s">
        <v>104</v>
      </c>
      <c r="V404" s="118" t="s">
        <v>2440</v>
      </c>
      <c r="W404" s="116" t="s">
        <v>130</v>
      </c>
      <c r="X404" s="116" t="s">
        <v>143</v>
      </c>
      <c r="Y404" s="116" t="s">
        <v>152</v>
      </c>
      <c r="Z404" s="114">
        <f>IF(INDIRECT("Y404")="Clássico","12%",IF(INDIRECT("Y404")="Premium","17%","-"))</f>
      </c>
      <c r="AA404" s="116" t="s">
        <v>1357</v>
      </c>
      <c r="AB404" s="116" t="s">
        <v>110</v>
      </c>
      <c r="AC404" s="116" t="n">
        <v>3.0</v>
      </c>
      <c r="AD404" s="116" t="s">
        <v>121</v>
      </c>
      <c r="AE404" s="117" t="s">
        <v>112</v>
      </c>
      <c r="AF404" s="114" t="s">
        <v>144</v>
      </c>
      <c r="AG404" s="116"/>
      <c r="AH404" s="116"/>
      <c r="AI404" s="116"/>
      <c r="AJ404" s="116"/>
    </row>
    <row r="405" ht="50.0" customHeight="true">
      <c r="A405" s="114" t="s">
        <v>2441</v>
      </c>
      <c r="B405" s="114" t="s">
        <v>2442</v>
      </c>
      <c r="C405" s="114" t="s">
        <v>2443</v>
      </c>
      <c r="D405" s="114"/>
      <c r="E405" s="115" t="s">
        <v>2444</v>
      </c>
      <c r="F405" s="115" t="s">
        <v>2445</v>
      </c>
      <c r="G405" s="114" t="s">
        <v>2446</v>
      </c>
      <c r="H405" s="116" t="n">
        <v>1.0</v>
      </c>
      <c r="I405" s="116" t="n">
        <v>39.99</v>
      </c>
      <c r="J405" s="116" t="s">
        <v>103</v>
      </c>
      <c r="K405" s="116"/>
      <c r="L405" s="116"/>
      <c r="M405" s="116"/>
      <c r="N405" s="116"/>
      <c r="O405" s="116"/>
      <c r="P405" s="116"/>
      <c r="Q405" s="116"/>
      <c r="R405" s="116"/>
      <c r="S405" s="116"/>
      <c r="T405" s="116"/>
      <c r="U405" s="116" t="s">
        <v>1416</v>
      </c>
      <c r="V405" s="118" t="s">
        <v>2447</v>
      </c>
      <c r="W405" s="116" t="s">
        <v>106</v>
      </c>
      <c r="X405" s="116" t="s">
        <v>143</v>
      </c>
      <c r="Y405" s="116" t="s">
        <v>152</v>
      </c>
      <c r="Z405" s="114">
        <f>IF(INDIRECT("Y405")="Clássico","12%",IF(INDIRECT("Y405")="Premium","17%","-"))</f>
      </c>
      <c r="AA405" s="116" t="s">
        <v>1357</v>
      </c>
      <c r="AB405" s="116" t="s">
        <v>110</v>
      </c>
      <c r="AC405" s="116" t="n">
        <v>3.0</v>
      </c>
      <c r="AD405" s="116" t="s">
        <v>121</v>
      </c>
      <c r="AE405" s="114" t="s">
        <v>131</v>
      </c>
      <c r="AF405" s="114" t="s">
        <v>2030</v>
      </c>
      <c r="AG405" s="116"/>
      <c r="AH405" s="116"/>
      <c r="AI405" s="116"/>
      <c r="AJ405" s="116"/>
    </row>
    <row r="406" ht="50.0" customHeight="true">
      <c r="A406" s="114" t="s">
        <v>2448</v>
      </c>
      <c r="B406" s="114" t="s">
        <v>2449</v>
      </c>
      <c r="C406" s="114" t="s">
        <v>2450</v>
      </c>
      <c r="D406" s="114"/>
      <c r="E406" s="115" t="s">
        <v>2451</v>
      </c>
      <c r="F406" s="115" t="s">
        <v>2452</v>
      </c>
      <c r="G406" s="114" t="s">
        <v>192</v>
      </c>
      <c r="H406" s="116" t="n">
        <v>1.0</v>
      </c>
      <c r="I406" s="116" t="n">
        <v>39.9</v>
      </c>
      <c r="J406" s="116" t="s">
        <v>103</v>
      </c>
      <c r="K406" s="116"/>
      <c r="L406" s="116"/>
      <c r="M406" s="116"/>
      <c r="N406" s="116"/>
      <c r="O406" s="116"/>
      <c r="P406" s="116"/>
      <c r="Q406" s="116"/>
      <c r="R406" s="116"/>
      <c r="S406" s="116"/>
      <c r="T406" s="116"/>
      <c r="U406" s="116" t="s">
        <v>1416</v>
      </c>
      <c r="V406" s="118" t="s">
        <v>2453</v>
      </c>
      <c r="W406" s="116" t="s">
        <v>106</v>
      </c>
      <c r="X406" s="116" t="s">
        <v>143</v>
      </c>
      <c r="Y406" s="116" t="s">
        <v>152</v>
      </c>
      <c r="Z406" s="114">
        <f>IF(INDIRECT("Y406")="Clássico","12%",IF(INDIRECT("Y406")="Premium","17%","-"))</f>
      </c>
      <c r="AA406" s="116" t="s">
        <v>1357</v>
      </c>
      <c r="AB406" s="116" t="s">
        <v>110</v>
      </c>
      <c r="AC406" s="116" t="n">
        <v>3.0</v>
      </c>
      <c r="AD406" s="116" t="s">
        <v>121</v>
      </c>
      <c r="AE406" s="114" t="s">
        <v>131</v>
      </c>
      <c r="AF406" s="114" t="s">
        <v>2454</v>
      </c>
      <c r="AG406" s="116"/>
      <c r="AH406" s="116"/>
      <c r="AI406" s="116"/>
      <c r="AJ406" s="116"/>
    </row>
    <row r="407" ht="50.0" customHeight="true">
      <c r="A407" s="114" t="s">
        <v>2455</v>
      </c>
      <c r="B407" s="114" t="s">
        <v>2456</v>
      </c>
      <c r="C407" s="114" t="s">
        <v>2457</v>
      </c>
      <c r="D407" s="114"/>
      <c r="E407" s="115" t="s">
        <v>2458</v>
      </c>
      <c r="F407" s="115" t="s">
        <v>2459</v>
      </c>
      <c r="G407" s="114" t="s">
        <v>2459</v>
      </c>
      <c r="H407" s="116" t="n">
        <v>1.0</v>
      </c>
      <c r="I407" s="116" t="n">
        <v>24.9</v>
      </c>
      <c r="J407" s="116" t="s">
        <v>103</v>
      </c>
      <c r="K407" s="116"/>
      <c r="L407" s="116"/>
      <c r="M407" s="116"/>
      <c r="N407" s="116"/>
      <c r="O407" s="116"/>
      <c r="P407" s="116"/>
      <c r="Q407" s="116"/>
      <c r="R407" s="116"/>
      <c r="S407" s="116"/>
      <c r="T407" s="116"/>
      <c r="U407" s="116" t="s">
        <v>1416</v>
      </c>
      <c r="V407" s="118" t="s">
        <v>2460</v>
      </c>
      <c r="W407" s="116" t="s">
        <v>106</v>
      </c>
      <c r="X407" s="116" t="s">
        <v>143</v>
      </c>
      <c r="Y407" s="116" t="s">
        <v>152</v>
      </c>
      <c r="Z407" s="114">
        <f>IF(INDIRECT("Y407")="Clássico","12%",IF(INDIRECT("Y407")="Premium","17%","-"))</f>
      </c>
      <c r="AA407" s="116" t="s">
        <v>1357</v>
      </c>
      <c r="AB407" s="116" t="s">
        <v>110</v>
      </c>
      <c r="AC407" s="116" t="n">
        <v>3.0</v>
      </c>
      <c r="AD407" s="116" t="s">
        <v>121</v>
      </c>
      <c r="AE407" s="114" t="s">
        <v>131</v>
      </c>
      <c r="AF407" s="114" t="s">
        <v>2106</v>
      </c>
      <c r="AG407" s="116"/>
      <c r="AH407" s="116"/>
      <c r="AI407" s="116"/>
      <c r="AJ407" s="116"/>
    </row>
    <row r="408" ht="50.0" customHeight="true">
      <c r="A408" s="114" t="s">
        <v>2461</v>
      </c>
      <c r="B408" s="114" t="s">
        <v>2462</v>
      </c>
      <c r="C408" s="114" t="s">
        <v>2463</v>
      </c>
      <c r="D408" s="114"/>
      <c r="E408" s="115" t="s">
        <v>2464</v>
      </c>
      <c r="F408" s="115" t="s">
        <v>2465</v>
      </c>
      <c r="G408" s="114" t="s">
        <v>2465</v>
      </c>
      <c r="H408" s="116" t="n">
        <v>1.0</v>
      </c>
      <c r="I408" s="116" t="n">
        <v>24.9</v>
      </c>
      <c r="J408" s="116" t="s">
        <v>103</v>
      </c>
      <c r="K408" s="116"/>
      <c r="L408" s="116"/>
      <c r="M408" s="116"/>
      <c r="N408" s="116"/>
      <c r="O408" s="116"/>
      <c r="P408" s="116"/>
      <c r="Q408" s="116"/>
      <c r="R408" s="116"/>
      <c r="S408" s="116"/>
      <c r="T408" s="116"/>
      <c r="U408" s="116" t="s">
        <v>1416</v>
      </c>
      <c r="V408" s="118" t="s">
        <v>2460</v>
      </c>
      <c r="W408" s="116" t="s">
        <v>106</v>
      </c>
      <c r="X408" s="116" t="s">
        <v>143</v>
      </c>
      <c r="Y408" s="116" t="s">
        <v>152</v>
      </c>
      <c r="Z408" s="114">
        <f>IF(INDIRECT("Y408")="Clássico","12%",IF(INDIRECT("Y408")="Premium","17%","-"))</f>
      </c>
      <c r="AA408" s="116" t="s">
        <v>1357</v>
      </c>
      <c r="AB408" s="116" t="s">
        <v>110</v>
      </c>
      <c r="AC408" s="116" t="n">
        <v>3.0</v>
      </c>
      <c r="AD408" s="116" t="s">
        <v>121</v>
      </c>
      <c r="AE408" s="114" t="s">
        <v>131</v>
      </c>
      <c r="AF408" s="114" t="s">
        <v>2106</v>
      </c>
      <c r="AG408" s="116"/>
      <c r="AH408" s="116"/>
      <c r="AI408" s="116"/>
      <c r="AJ408" s="116"/>
    </row>
    <row r="409" ht="50.0" customHeight="true">
      <c r="A409" s="114" t="s">
        <v>2466</v>
      </c>
      <c r="B409" s="114" t="s">
        <v>2467</v>
      </c>
      <c r="C409" s="114" t="s">
        <v>2468</v>
      </c>
      <c r="D409" s="114"/>
      <c r="E409" s="115" t="s">
        <v>2469</v>
      </c>
      <c r="F409" s="115" t="s">
        <v>2470</v>
      </c>
      <c r="G409" s="114" t="s">
        <v>2470</v>
      </c>
      <c r="H409" s="116" t="n">
        <v>1.0</v>
      </c>
      <c r="I409" s="116" t="n">
        <v>24.9</v>
      </c>
      <c r="J409" s="116" t="s">
        <v>103</v>
      </c>
      <c r="K409" s="116"/>
      <c r="L409" s="116"/>
      <c r="M409" s="116"/>
      <c r="N409" s="116"/>
      <c r="O409" s="116"/>
      <c r="P409" s="116"/>
      <c r="Q409" s="116"/>
      <c r="R409" s="116"/>
      <c r="S409" s="116"/>
      <c r="T409" s="116"/>
      <c r="U409" s="116" t="s">
        <v>1416</v>
      </c>
      <c r="V409" s="118" t="s">
        <v>2471</v>
      </c>
      <c r="W409" s="116" t="s">
        <v>106</v>
      </c>
      <c r="X409" s="116" t="s">
        <v>143</v>
      </c>
      <c r="Y409" s="116" t="s">
        <v>152</v>
      </c>
      <c r="Z409" s="114">
        <f>IF(INDIRECT("Y409")="Clássico","12%",IF(INDIRECT("Y409")="Premium","17%","-"))</f>
      </c>
      <c r="AA409" s="116" t="s">
        <v>1357</v>
      </c>
      <c r="AB409" s="116" t="s">
        <v>110</v>
      </c>
      <c r="AC409" s="116" t="n">
        <v>3.0</v>
      </c>
      <c r="AD409" s="116" t="s">
        <v>121</v>
      </c>
      <c r="AE409" s="114" t="s">
        <v>131</v>
      </c>
      <c r="AF409" s="114" t="s">
        <v>2106</v>
      </c>
      <c r="AG409" s="116"/>
      <c r="AH409" s="116"/>
      <c r="AI409" s="116"/>
      <c r="AJ409" s="116"/>
    </row>
    <row r="410" ht="50.0" customHeight="true">
      <c r="A410" s="114" t="s">
        <v>2472</v>
      </c>
      <c r="B410" s="114" t="s">
        <v>2473</v>
      </c>
      <c r="C410" s="114" t="s">
        <v>2474</v>
      </c>
      <c r="D410" s="114"/>
      <c r="E410" s="115" t="s">
        <v>2475</v>
      </c>
      <c r="F410" s="115" t="s">
        <v>2476</v>
      </c>
      <c r="G410" s="114" t="s">
        <v>2477</v>
      </c>
      <c r="H410" s="116" t="n">
        <v>1.0</v>
      </c>
      <c r="I410" s="116" t="n">
        <v>129.9</v>
      </c>
      <c r="J410" s="116" t="s">
        <v>103</v>
      </c>
      <c r="K410" s="116"/>
      <c r="L410" s="116"/>
      <c r="M410" s="116"/>
      <c r="N410" s="116"/>
      <c r="O410" s="116"/>
      <c r="P410" s="116"/>
      <c r="Q410" s="116"/>
      <c r="R410" s="116"/>
      <c r="S410" s="116"/>
      <c r="T410" s="116"/>
      <c r="U410" s="116" t="s">
        <v>1416</v>
      </c>
      <c r="V410" s="118" t="s">
        <v>2478</v>
      </c>
      <c r="W410" s="116" t="s">
        <v>2193</v>
      </c>
      <c r="X410" s="116" t="s">
        <v>143</v>
      </c>
      <c r="Y410" s="116" t="s">
        <v>152</v>
      </c>
      <c r="Z410" s="114">
        <f>IF(INDIRECT("Y410")="Clássico","12%",IF(INDIRECT("Y410")="Premium","17%","-"))</f>
      </c>
      <c r="AA410" s="116" t="s">
        <v>1357</v>
      </c>
      <c r="AB410" s="116" t="s">
        <v>110</v>
      </c>
      <c r="AC410" s="116" t="n">
        <v>3.0</v>
      </c>
      <c r="AD410" s="116" t="s">
        <v>121</v>
      </c>
      <c r="AE410" s="114" t="s">
        <v>131</v>
      </c>
      <c r="AF410" s="114" t="s">
        <v>2479</v>
      </c>
      <c r="AG410" s="116"/>
      <c r="AH410" s="116"/>
      <c r="AI410" s="116"/>
      <c r="AJ410" s="116"/>
    </row>
    <row r="411" ht="50.0" customHeight="true">
      <c r="A411" s="114" t="s">
        <v>2480</v>
      </c>
      <c r="B411" s="114" t="s">
        <v>2481</v>
      </c>
      <c r="C411" s="114" t="s">
        <v>2482</v>
      </c>
      <c r="D411" s="114"/>
      <c r="E411" s="115" t="s">
        <v>2483</v>
      </c>
      <c r="F411" s="115" t="s">
        <v>2484</v>
      </c>
      <c r="G411" s="114" t="s">
        <v>2485</v>
      </c>
      <c r="H411" s="116" t="n">
        <v>1.0</v>
      </c>
      <c r="I411" s="116" t="n">
        <v>41.9</v>
      </c>
      <c r="J411" s="116" t="s">
        <v>103</v>
      </c>
      <c r="K411" s="116"/>
      <c r="L411" s="116"/>
      <c r="M411" s="116"/>
      <c r="N411" s="116"/>
      <c r="O411" s="116"/>
      <c r="P411" s="116"/>
      <c r="Q411" s="116"/>
      <c r="R411" s="116"/>
      <c r="S411" s="116"/>
      <c r="T411" s="116"/>
      <c r="U411" s="116" t="s">
        <v>1416</v>
      </c>
      <c r="V411" s="118" t="s">
        <v>2486</v>
      </c>
      <c r="W411" s="116" t="s">
        <v>106</v>
      </c>
      <c r="X411" s="116" t="s">
        <v>143</v>
      </c>
      <c r="Y411" s="116" t="s">
        <v>152</v>
      </c>
      <c r="Z411" s="114">
        <f>IF(INDIRECT("Y411")="Clássico","12%",IF(INDIRECT("Y411")="Premium","17%","-"))</f>
      </c>
      <c r="AA411" s="116" t="s">
        <v>1357</v>
      </c>
      <c r="AB411" s="116" t="s">
        <v>110</v>
      </c>
      <c r="AC411" s="116" t="n">
        <v>3.0</v>
      </c>
      <c r="AD411" s="116" t="s">
        <v>121</v>
      </c>
      <c r="AE411" s="114" t="s">
        <v>131</v>
      </c>
      <c r="AF411" s="114" t="s">
        <v>2231</v>
      </c>
      <c r="AG411" s="116"/>
      <c r="AH411" s="116"/>
      <c r="AI411" s="116"/>
      <c r="AJ411" s="116"/>
    </row>
    <row r="412" ht="50.0" customHeight="true">
      <c r="A412" s="114" t="s">
        <v>2487</v>
      </c>
      <c r="B412" s="114" t="s">
        <v>2488</v>
      </c>
      <c r="C412" s="114" t="s">
        <v>2489</v>
      </c>
      <c r="D412" s="114"/>
      <c r="E412" s="115" t="s">
        <v>2490</v>
      </c>
      <c r="F412" s="115" t="s">
        <v>2491</v>
      </c>
      <c r="G412" s="114" t="s">
        <v>2491</v>
      </c>
      <c r="H412" s="116" t="n">
        <v>1.0</v>
      </c>
      <c r="I412" s="116" t="n">
        <v>11.9</v>
      </c>
      <c r="J412" s="116" t="s">
        <v>103</v>
      </c>
      <c r="K412" s="116"/>
      <c r="L412" s="116"/>
      <c r="M412" s="116"/>
      <c r="N412" s="116"/>
      <c r="O412" s="116"/>
      <c r="P412" s="116"/>
      <c r="Q412" s="116"/>
      <c r="R412" s="116"/>
      <c r="S412" s="116"/>
      <c r="T412" s="116"/>
      <c r="U412" s="116" t="s">
        <v>1416</v>
      </c>
      <c r="V412" s="118" t="s">
        <v>2492</v>
      </c>
      <c r="W412" s="116" t="s">
        <v>106</v>
      </c>
      <c r="X412" s="116" t="s">
        <v>143</v>
      </c>
      <c r="Y412" s="116" t="s">
        <v>152</v>
      </c>
      <c r="Z412" s="114">
        <f>IF(INDIRECT("Y412")="Clássico","12%",IF(INDIRECT("Y412")="Premium","17%","-"))</f>
      </c>
      <c r="AA412" s="116" t="s">
        <v>1357</v>
      </c>
      <c r="AB412" s="116" t="s">
        <v>110</v>
      </c>
      <c r="AC412" s="116" t="n">
        <v>3.0</v>
      </c>
      <c r="AD412" s="116" t="s">
        <v>121</v>
      </c>
      <c r="AE412" s="114" t="s">
        <v>131</v>
      </c>
      <c r="AF412" s="114" t="s">
        <v>2493</v>
      </c>
      <c r="AG412" s="116"/>
      <c r="AH412" s="116"/>
      <c r="AI412" s="116"/>
      <c r="AJ412" s="116"/>
    </row>
    <row r="413" ht="50.0" customHeight="true">
      <c r="A413" s="114" t="s">
        <v>2494</v>
      </c>
      <c r="B413" s="114" t="s">
        <v>2495</v>
      </c>
      <c r="C413" s="114" t="s">
        <v>2496</v>
      </c>
      <c r="D413" s="114"/>
      <c r="E413" s="115" t="s">
        <v>2497</v>
      </c>
      <c r="F413" s="115" t="s">
        <v>2498</v>
      </c>
      <c r="G413" s="114" t="s">
        <v>2498</v>
      </c>
      <c r="H413" s="116" t="n">
        <v>1.0</v>
      </c>
      <c r="I413" s="116" t="n">
        <v>15.9</v>
      </c>
      <c r="J413" s="116" t="s">
        <v>103</v>
      </c>
      <c r="K413" s="116"/>
      <c r="L413" s="116"/>
      <c r="M413" s="116"/>
      <c r="N413" s="116"/>
      <c r="O413" s="116"/>
      <c r="P413" s="116"/>
      <c r="Q413" s="116"/>
      <c r="R413" s="116"/>
      <c r="S413" s="116"/>
      <c r="T413" s="116"/>
      <c r="U413" s="116" t="s">
        <v>1416</v>
      </c>
      <c r="V413" s="118" t="s">
        <v>2499</v>
      </c>
      <c r="W413" s="116" t="s">
        <v>106</v>
      </c>
      <c r="X413" s="116" t="s">
        <v>143</v>
      </c>
      <c r="Y413" s="116" t="s">
        <v>152</v>
      </c>
      <c r="Z413" s="114">
        <f>IF(INDIRECT("Y413")="Clássico","12%",IF(INDIRECT("Y413")="Premium","17%","-"))</f>
      </c>
      <c r="AA413" s="116" t="s">
        <v>1357</v>
      </c>
      <c r="AB413" s="116" t="s">
        <v>110</v>
      </c>
      <c r="AC413" s="116" t="n">
        <v>3.0</v>
      </c>
      <c r="AD413" s="116" t="s">
        <v>121</v>
      </c>
      <c r="AE413" s="114" t="s">
        <v>131</v>
      </c>
      <c r="AF413" s="114" t="s">
        <v>2106</v>
      </c>
      <c r="AG413" s="116"/>
      <c r="AH413" s="116"/>
      <c r="AI413" s="116"/>
      <c r="AJ413" s="116"/>
    </row>
    <row r="414" ht="50.0" customHeight="true">
      <c r="A414" s="114" t="s">
        <v>2500</v>
      </c>
      <c r="B414" s="114" t="s">
        <v>2501</v>
      </c>
      <c r="C414" s="114" t="s">
        <v>2502</v>
      </c>
      <c r="D414" s="114"/>
      <c r="E414" s="115" t="s">
        <v>2503</v>
      </c>
      <c r="F414" s="115" t="s">
        <v>2504</v>
      </c>
      <c r="G414" s="114" t="s">
        <v>2504</v>
      </c>
      <c r="H414" s="116" t="n">
        <v>1.0</v>
      </c>
      <c r="I414" s="116" t="n">
        <v>15.9</v>
      </c>
      <c r="J414" s="116" t="s">
        <v>103</v>
      </c>
      <c r="K414" s="116"/>
      <c r="L414" s="116"/>
      <c r="M414" s="116"/>
      <c r="N414" s="116"/>
      <c r="O414" s="116"/>
      <c r="P414" s="116"/>
      <c r="Q414" s="116"/>
      <c r="R414" s="116"/>
      <c r="S414" s="116"/>
      <c r="T414" s="116"/>
      <c r="U414" s="116" t="s">
        <v>1416</v>
      </c>
      <c r="V414" s="118" t="s">
        <v>2505</v>
      </c>
      <c r="W414" s="116" t="s">
        <v>106</v>
      </c>
      <c r="X414" s="116" t="s">
        <v>143</v>
      </c>
      <c r="Y414" s="116" t="s">
        <v>152</v>
      </c>
      <c r="Z414" s="114">
        <f>IF(INDIRECT("Y414")="Clássico","12%",IF(INDIRECT("Y414")="Premium","17%","-"))</f>
      </c>
      <c r="AA414" s="116" t="s">
        <v>1357</v>
      </c>
      <c r="AB414" s="116" t="s">
        <v>110</v>
      </c>
      <c r="AC414" s="116" t="n">
        <v>3.0</v>
      </c>
      <c r="AD414" s="116" t="s">
        <v>121</v>
      </c>
      <c r="AE414" s="114" t="s">
        <v>131</v>
      </c>
      <c r="AF414" s="114" t="s">
        <v>2106</v>
      </c>
      <c r="AG414" s="116"/>
      <c r="AH414" s="116"/>
      <c r="AI414" s="116"/>
      <c r="AJ414" s="116"/>
    </row>
    <row r="415" ht="50.0" customHeight="true">
      <c r="A415" s="114" t="s">
        <v>2506</v>
      </c>
      <c r="B415" s="114" t="s">
        <v>2507</v>
      </c>
      <c r="C415" s="114" t="s">
        <v>2508</v>
      </c>
      <c r="D415" s="114"/>
      <c r="E415" s="115" t="s">
        <v>2509</v>
      </c>
      <c r="F415" s="115" t="s">
        <v>2510</v>
      </c>
      <c r="G415" s="114" t="s">
        <v>2229</v>
      </c>
      <c r="H415" s="116" t="n">
        <v>1.0</v>
      </c>
      <c r="I415" s="116" t="n">
        <v>15.9</v>
      </c>
      <c r="J415" s="116" t="s">
        <v>103</v>
      </c>
      <c r="K415" s="116"/>
      <c r="L415" s="116"/>
      <c r="M415" s="116"/>
      <c r="N415" s="116"/>
      <c r="O415" s="116"/>
      <c r="P415" s="116"/>
      <c r="Q415" s="116"/>
      <c r="R415" s="116"/>
      <c r="S415" s="116"/>
      <c r="T415" s="116"/>
      <c r="U415" s="116" t="s">
        <v>1416</v>
      </c>
      <c r="V415" s="118" t="s">
        <v>2511</v>
      </c>
      <c r="W415" s="116" t="s">
        <v>106</v>
      </c>
      <c r="X415" s="116" t="s">
        <v>143</v>
      </c>
      <c r="Y415" s="116" t="s">
        <v>152</v>
      </c>
      <c r="Z415" s="114">
        <f>IF(INDIRECT("Y415")="Clássico","12%",IF(INDIRECT("Y415")="Premium","17%","-"))</f>
      </c>
      <c r="AA415" s="116" t="s">
        <v>1357</v>
      </c>
      <c r="AB415" s="116" t="s">
        <v>110</v>
      </c>
      <c r="AC415" s="116" t="n">
        <v>3.0</v>
      </c>
      <c r="AD415" s="116" t="s">
        <v>121</v>
      </c>
      <c r="AE415" s="114" t="s">
        <v>131</v>
      </c>
      <c r="AF415" s="114" t="s">
        <v>2231</v>
      </c>
      <c r="AG415" s="116"/>
      <c r="AH415" s="116"/>
      <c r="AI415" s="116"/>
      <c r="AJ415" s="116"/>
    </row>
    <row r="416" ht="50.0" customHeight="true">
      <c r="A416" s="114" t="s">
        <v>2512</v>
      </c>
      <c r="B416" s="114" t="s">
        <v>2513</v>
      </c>
      <c r="C416" s="114" t="s">
        <v>2514</v>
      </c>
      <c r="D416" s="114"/>
      <c r="E416" s="115" t="s">
        <v>2515</v>
      </c>
      <c r="F416" s="115" t="s">
        <v>2516</v>
      </c>
      <c r="G416" s="114" t="s">
        <v>2516</v>
      </c>
      <c r="H416" s="116" t="n">
        <v>1.0</v>
      </c>
      <c r="I416" s="116" t="n">
        <v>29.9</v>
      </c>
      <c r="J416" s="116" t="s">
        <v>103</v>
      </c>
      <c r="K416" s="116"/>
      <c r="L416" s="116"/>
      <c r="M416" s="116"/>
      <c r="N416" s="116"/>
      <c r="O416" s="116"/>
      <c r="P416" s="116"/>
      <c r="Q416" s="116"/>
      <c r="R416" s="116"/>
      <c r="S416" s="116"/>
      <c r="T416" s="116"/>
      <c r="U416" s="116" t="s">
        <v>1416</v>
      </c>
      <c r="V416" s="118" t="s">
        <v>2517</v>
      </c>
      <c r="W416" s="116" t="s">
        <v>106</v>
      </c>
      <c r="X416" s="116" t="s">
        <v>143</v>
      </c>
      <c r="Y416" s="116" t="s">
        <v>152</v>
      </c>
      <c r="Z416" s="114">
        <f>IF(INDIRECT("Y416")="Clássico","12%",IF(INDIRECT("Y416")="Premium","17%","-"))</f>
      </c>
      <c r="AA416" s="116" t="s">
        <v>1357</v>
      </c>
      <c r="AB416" s="116" t="s">
        <v>110</v>
      </c>
      <c r="AC416" s="116" t="n">
        <v>3.0</v>
      </c>
      <c r="AD416" s="116" t="s">
        <v>121</v>
      </c>
      <c r="AE416" s="114" t="s">
        <v>131</v>
      </c>
      <c r="AF416" s="114" t="s">
        <v>2106</v>
      </c>
      <c r="AG416" s="116"/>
      <c r="AH416" s="116"/>
      <c r="AI416" s="116"/>
      <c r="AJ416" s="116"/>
    </row>
    <row r="417" ht="50.0" customHeight="true">
      <c r="A417" s="114" t="s">
        <v>2518</v>
      </c>
      <c r="B417" s="114" t="s">
        <v>2519</v>
      </c>
      <c r="C417" s="114" t="s">
        <v>2520</v>
      </c>
      <c r="D417" s="114"/>
      <c r="E417" s="115" t="s">
        <v>2521</v>
      </c>
      <c r="F417" s="115" t="s">
        <v>2522</v>
      </c>
      <c r="G417" s="114" t="s">
        <v>2522</v>
      </c>
      <c r="H417" s="116" t="n">
        <v>1.0</v>
      </c>
      <c r="I417" s="116" t="n">
        <v>35.9</v>
      </c>
      <c r="J417" s="116" t="s">
        <v>103</v>
      </c>
      <c r="K417" s="116"/>
      <c r="L417" s="116"/>
      <c r="M417" s="116"/>
      <c r="N417" s="116"/>
      <c r="O417" s="116"/>
      <c r="P417" s="116"/>
      <c r="Q417" s="116"/>
      <c r="R417" s="116"/>
      <c r="S417" s="116"/>
      <c r="T417" s="116"/>
      <c r="U417" s="116" t="s">
        <v>1416</v>
      </c>
      <c r="V417" s="118" t="s">
        <v>2523</v>
      </c>
      <c r="W417" s="116" t="s">
        <v>106</v>
      </c>
      <c r="X417" s="116" t="s">
        <v>143</v>
      </c>
      <c r="Y417" s="116" t="s">
        <v>152</v>
      </c>
      <c r="Z417" s="114">
        <f>IF(INDIRECT("Y417")="Clássico","12%",IF(INDIRECT("Y417")="Premium","17%","-"))</f>
      </c>
      <c r="AA417" s="116" t="s">
        <v>1357</v>
      </c>
      <c r="AB417" s="116" t="s">
        <v>110</v>
      </c>
      <c r="AC417" s="116" t="n">
        <v>3.0</v>
      </c>
      <c r="AD417" s="116" t="s">
        <v>121</v>
      </c>
      <c r="AE417" s="114" t="s">
        <v>131</v>
      </c>
      <c r="AF417" s="114" t="s">
        <v>2106</v>
      </c>
      <c r="AG417" s="116"/>
      <c r="AH417" s="116"/>
      <c r="AI417" s="116"/>
      <c r="AJ417" s="116"/>
    </row>
    <row r="418" ht="50.0" customHeight="true">
      <c r="A418" s="114" t="s">
        <v>2524</v>
      </c>
      <c r="B418" s="114" t="s">
        <v>2525</v>
      </c>
      <c r="C418" s="114" t="s">
        <v>2526</v>
      </c>
      <c r="D418" s="114"/>
      <c r="E418" s="115" t="s">
        <v>2527</v>
      </c>
      <c r="F418" s="115" t="s">
        <v>2528</v>
      </c>
      <c r="G418" s="114" t="s">
        <v>2528</v>
      </c>
      <c r="H418" s="116" t="n">
        <v>1.0</v>
      </c>
      <c r="I418" s="116" t="n">
        <v>35.9</v>
      </c>
      <c r="J418" s="116" t="s">
        <v>103</v>
      </c>
      <c r="K418" s="116"/>
      <c r="L418" s="116"/>
      <c r="M418" s="116"/>
      <c r="N418" s="116"/>
      <c r="O418" s="116"/>
      <c r="P418" s="116"/>
      <c r="Q418" s="116"/>
      <c r="R418" s="116"/>
      <c r="S418" s="116"/>
      <c r="T418" s="116"/>
      <c r="U418" s="116" t="s">
        <v>1416</v>
      </c>
      <c r="V418" s="118" t="s">
        <v>2523</v>
      </c>
      <c r="W418" s="116" t="s">
        <v>106</v>
      </c>
      <c r="X418" s="116" t="s">
        <v>143</v>
      </c>
      <c r="Y418" s="116" t="s">
        <v>152</v>
      </c>
      <c r="Z418" s="114">
        <f>IF(INDIRECT("Y418")="Clássico","12%",IF(INDIRECT("Y418")="Premium","17%","-"))</f>
      </c>
      <c r="AA418" s="116" t="s">
        <v>1357</v>
      </c>
      <c r="AB418" s="116" t="s">
        <v>110</v>
      </c>
      <c r="AC418" s="116" t="n">
        <v>3.0</v>
      </c>
      <c r="AD418" s="116" t="s">
        <v>121</v>
      </c>
      <c r="AE418" s="114" t="s">
        <v>131</v>
      </c>
      <c r="AF418" s="114" t="s">
        <v>2106</v>
      </c>
      <c r="AG418" s="116"/>
      <c r="AH418" s="116"/>
      <c r="AI418" s="116"/>
      <c r="AJ418" s="116"/>
    </row>
    <row r="419" ht="50.0" customHeight="true">
      <c r="A419" s="114" t="s">
        <v>2529</v>
      </c>
      <c r="B419" s="114" t="s">
        <v>2530</v>
      </c>
      <c r="C419" s="114" t="s">
        <v>2531</v>
      </c>
      <c r="D419" s="114"/>
      <c r="E419" s="115" t="s">
        <v>2532</v>
      </c>
      <c r="F419" s="115" t="s">
        <v>2533</v>
      </c>
      <c r="G419" s="114" t="s">
        <v>2534</v>
      </c>
      <c r="H419" s="116" t="n">
        <v>4.0</v>
      </c>
      <c r="I419" s="116" t="n">
        <v>69.9</v>
      </c>
      <c r="J419" s="116" t="s">
        <v>103</v>
      </c>
      <c r="K419" s="116"/>
      <c r="L419" s="116"/>
      <c r="M419" s="116"/>
      <c r="N419" s="116"/>
      <c r="O419" s="116"/>
      <c r="P419" s="116"/>
      <c r="Q419" s="116"/>
      <c r="R419" s="116"/>
      <c r="S419" s="116"/>
      <c r="T419" s="116"/>
      <c r="U419" s="116" t="s">
        <v>104</v>
      </c>
      <c r="V419" s="118" t="s">
        <v>2535</v>
      </c>
      <c r="W419" s="116" t="s">
        <v>130</v>
      </c>
      <c r="X419" s="116" t="s">
        <v>143</v>
      </c>
      <c r="Y419" s="116" t="s">
        <v>152</v>
      </c>
      <c r="Z419" s="114">
        <f>IF(INDIRECT("Y419")="Clássico","11.5%",IF(INDIRECT("Y419")="Premium","16.5%","-"))</f>
      </c>
      <c r="AA419" s="116" t="s">
        <v>1357</v>
      </c>
      <c r="AB419" s="116" t="s">
        <v>110</v>
      </c>
      <c r="AC419" s="116" t="n">
        <v>3.0</v>
      </c>
      <c r="AD419" s="116" t="s">
        <v>121</v>
      </c>
      <c r="AE419" s="117" t="s">
        <v>112</v>
      </c>
      <c r="AF419" s="114" t="s">
        <v>651</v>
      </c>
      <c r="AG419" s="116"/>
      <c r="AH419" s="116"/>
      <c r="AI419" s="116"/>
      <c r="AJ419" s="116"/>
    </row>
    <row r="420" ht="50.0" customHeight="true">
      <c r="A420" s="114" t="s">
        <v>2536</v>
      </c>
      <c r="B420" s="114" t="s">
        <v>2537</v>
      </c>
      <c r="C420" s="114" t="s">
        <v>2538</v>
      </c>
      <c r="D420" s="114"/>
      <c r="E420" s="115" t="s">
        <v>197</v>
      </c>
      <c r="F420" s="115" t="s">
        <v>2539</v>
      </c>
      <c r="G420" s="114" t="s">
        <v>2539</v>
      </c>
      <c r="H420" s="116" t="n">
        <v>1.0</v>
      </c>
      <c r="I420" s="116" t="n">
        <v>149.9</v>
      </c>
      <c r="J420" s="116" t="s">
        <v>103</v>
      </c>
      <c r="K420" s="116"/>
      <c r="L420" s="116"/>
      <c r="M420" s="116"/>
      <c r="N420" s="116"/>
      <c r="O420" s="116"/>
      <c r="P420" s="116"/>
      <c r="Q420" s="116"/>
      <c r="R420" s="116"/>
      <c r="S420" s="116"/>
      <c r="T420" s="116"/>
      <c r="U420" s="116" t="s">
        <v>104</v>
      </c>
      <c r="V420" s="118" t="s">
        <v>2540</v>
      </c>
      <c r="W420" s="116" t="s">
        <v>130</v>
      </c>
      <c r="X420" s="116" t="s">
        <v>143</v>
      </c>
      <c r="Y420" s="116" t="s">
        <v>152</v>
      </c>
      <c r="Z420" s="114">
        <f>IF(INDIRECT("Y420")="Clássico","12%",IF(INDIRECT("Y420")="Premium","17%","-"))</f>
      </c>
      <c r="AA420" s="116" t="s">
        <v>1357</v>
      </c>
      <c r="AB420" s="116" t="s">
        <v>110</v>
      </c>
      <c r="AC420" s="116" t="n">
        <v>3.0</v>
      </c>
      <c r="AD420" s="116" t="s">
        <v>121</v>
      </c>
      <c r="AE420" s="117" t="s">
        <v>112</v>
      </c>
      <c r="AF420" s="114" t="s">
        <v>718</v>
      </c>
      <c r="AG420" s="116"/>
      <c r="AH420" s="116"/>
      <c r="AI420" s="116"/>
      <c r="AJ420" s="116"/>
    </row>
    <row r="421" ht="50.0" customHeight="true">
      <c r="A421" s="114" t="s">
        <v>2541</v>
      </c>
      <c r="B421" s="114" t="s">
        <v>2542</v>
      </c>
      <c r="C421" s="114" t="s">
        <v>2543</v>
      </c>
      <c r="D421" s="114"/>
      <c r="E421" s="115" t="s">
        <v>2544</v>
      </c>
      <c r="F421" s="115" t="s">
        <v>2545</v>
      </c>
      <c r="G421" s="114" t="s">
        <v>2545</v>
      </c>
      <c r="H421" s="116" t="n">
        <v>1.0</v>
      </c>
      <c r="I421" s="116" t="n">
        <v>8.99</v>
      </c>
      <c r="J421" s="116" t="s">
        <v>103</v>
      </c>
      <c r="K421" s="116"/>
      <c r="L421" s="116"/>
      <c r="M421" s="116"/>
      <c r="N421" s="116"/>
      <c r="O421" s="116"/>
      <c r="P421" s="116"/>
      <c r="Q421" s="116"/>
      <c r="R421" s="116"/>
      <c r="S421" s="116"/>
      <c r="T421" s="116"/>
      <c r="U421" s="116" t="s">
        <v>1416</v>
      </c>
      <c r="V421" s="118" t="s">
        <v>2546</v>
      </c>
      <c r="W421" s="116" t="s">
        <v>106</v>
      </c>
      <c r="X421" s="116" t="s">
        <v>143</v>
      </c>
      <c r="Y421" s="116" t="s">
        <v>152</v>
      </c>
      <c r="Z421" s="114">
        <f>IF(INDIRECT("Y421")="Clássico","12%",IF(INDIRECT("Y421")="Premium","17%","-"))</f>
      </c>
      <c r="AA421" s="116" t="s">
        <v>1357</v>
      </c>
      <c r="AB421" s="116" t="s">
        <v>110</v>
      </c>
      <c r="AC421" s="116" t="n">
        <v>3.0</v>
      </c>
      <c r="AD421" s="116" t="s">
        <v>121</v>
      </c>
      <c r="AE421" s="114" t="s">
        <v>131</v>
      </c>
      <c r="AF421" s="114" t="s">
        <v>2106</v>
      </c>
      <c r="AG421" s="116"/>
      <c r="AH421" s="116"/>
      <c r="AI421" s="116"/>
      <c r="AJ421" s="116"/>
    </row>
    <row r="422" ht="50.0" customHeight="true">
      <c r="A422" s="114" t="s">
        <v>2547</v>
      </c>
      <c r="B422" s="114" t="s">
        <v>2548</v>
      </c>
      <c r="C422" s="114" t="s">
        <v>2549</v>
      </c>
      <c r="D422" s="114"/>
      <c r="E422" s="115" t="s">
        <v>2550</v>
      </c>
      <c r="F422" s="115" t="s">
        <v>2551</v>
      </c>
      <c r="G422" s="114" t="s">
        <v>2551</v>
      </c>
      <c r="H422" s="116" t="n">
        <v>1.0</v>
      </c>
      <c r="I422" s="116" t="n">
        <v>8.99</v>
      </c>
      <c r="J422" s="116" t="s">
        <v>103</v>
      </c>
      <c r="K422" s="116"/>
      <c r="L422" s="116"/>
      <c r="M422" s="116"/>
      <c r="N422" s="116"/>
      <c r="O422" s="116"/>
      <c r="P422" s="116"/>
      <c r="Q422" s="116"/>
      <c r="R422" s="116"/>
      <c r="S422" s="116"/>
      <c r="T422" s="116"/>
      <c r="U422" s="116" t="s">
        <v>1416</v>
      </c>
      <c r="V422" s="118" t="s">
        <v>2546</v>
      </c>
      <c r="W422" s="116" t="s">
        <v>106</v>
      </c>
      <c r="X422" s="116" t="s">
        <v>143</v>
      </c>
      <c r="Y422" s="116" t="s">
        <v>152</v>
      </c>
      <c r="Z422" s="114">
        <f>IF(INDIRECT("Y422")="Clássico","12%",IF(INDIRECT("Y422")="Premium","17%","-"))</f>
      </c>
      <c r="AA422" s="116" t="s">
        <v>1357</v>
      </c>
      <c r="AB422" s="116" t="s">
        <v>110</v>
      </c>
      <c r="AC422" s="116" t="n">
        <v>3.0</v>
      </c>
      <c r="AD422" s="116" t="s">
        <v>121</v>
      </c>
      <c r="AE422" s="114" t="s">
        <v>131</v>
      </c>
      <c r="AF422" s="114" t="s">
        <v>2106</v>
      </c>
      <c r="AG422" s="116"/>
      <c r="AH422" s="116"/>
      <c r="AI422" s="116"/>
      <c r="AJ422" s="116"/>
    </row>
    <row r="423" ht="50.0" customHeight="true">
      <c r="A423" s="114" t="s">
        <v>2552</v>
      </c>
      <c r="B423" s="114" t="s">
        <v>2553</v>
      </c>
      <c r="C423" s="114" t="s">
        <v>2554</v>
      </c>
      <c r="D423" s="114"/>
      <c r="E423" s="115" t="s">
        <v>2555</v>
      </c>
      <c r="F423" s="115" t="s">
        <v>2556</v>
      </c>
      <c r="G423" s="114" t="s">
        <v>2557</v>
      </c>
      <c r="H423" s="116" t="n">
        <v>1.0</v>
      </c>
      <c r="I423" s="116" t="n">
        <v>39.9</v>
      </c>
      <c r="J423" s="116" t="s">
        <v>103</v>
      </c>
      <c r="K423" s="116"/>
      <c r="L423" s="116"/>
      <c r="M423" s="116"/>
      <c r="N423" s="116"/>
      <c r="O423" s="116"/>
      <c r="P423" s="116"/>
      <c r="Q423" s="116"/>
      <c r="R423" s="116"/>
      <c r="S423" s="116"/>
      <c r="T423" s="116"/>
      <c r="U423" s="116" t="s">
        <v>104</v>
      </c>
      <c r="V423" s="118" t="s">
        <v>2558</v>
      </c>
      <c r="W423" s="116" t="s">
        <v>106</v>
      </c>
      <c r="X423" s="116" t="s">
        <v>143</v>
      </c>
      <c r="Y423" s="116" t="s">
        <v>152</v>
      </c>
      <c r="Z423" s="114">
        <f>IF(INDIRECT("Y423")="Clássico","12%",IF(INDIRECT("Y423")="Premium","17%","-"))</f>
      </c>
      <c r="AA423" s="116" t="s">
        <v>1357</v>
      </c>
      <c r="AB423" s="116" t="s">
        <v>110</v>
      </c>
      <c r="AC423" s="116" t="n">
        <v>3.0</v>
      </c>
      <c r="AD423" s="116" t="s">
        <v>121</v>
      </c>
      <c r="AE423" s="117" t="s">
        <v>112</v>
      </c>
      <c r="AF423" s="114" t="s">
        <v>2030</v>
      </c>
      <c r="AG423" s="116"/>
      <c r="AH423" s="116"/>
      <c r="AI423" s="116"/>
      <c r="AJ423" s="116"/>
    </row>
    <row r="424" ht="50.0" customHeight="true">
      <c r="A424" s="114" t="s">
        <v>2559</v>
      </c>
      <c r="B424" s="114" t="s">
        <v>2560</v>
      </c>
      <c r="C424" s="114" t="s">
        <v>2561</v>
      </c>
      <c r="D424" s="114"/>
      <c r="E424" s="115" t="s">
        <v>1463</v>
      </c>
      <c r="F424" s="115" t="s">
        <v>1433</v>
      </c>
      <c r="G424" s="114" t="s">
        <v>1378</v>
      </c>
      <c r="H424" s="116" t="n">
        <v>1440.0</v>
      </c>
      <c r="I424" s="116" t="n">
        <v>14.5</v>
      </c>
      <c r="J424" s="116" t="s">
        <v>103</v>
      </c>
      <c r="K424" s="116"/>
      <c r="L424" s="116"/>
      <c r="M424" s="116"/>
      <c r="N424" s="116"/>
      <c r="O424" s="116"/>
      <c r="P424" s="116"/>
      <c r="Q424" s="116"/>
      <c r="R424" s="116"/>
      <c r="S424" s="116"/>
      <c r="T424" s="116"/>
      <c r="U424" s="116" t="s">
        <v>104</v>
      </c>
      <c r="V424" s="118" t="s">
        <v>22</v>
      </c>
      <c r="W424" s="116" t="s">
        <v>106</v>
      </c>
      <c r="X424" s="116" t="s">
        <v>107</v>
      </c>
      <c r="Y424" s="116" t="s">
        <v>108</v>
      </c>
      <c r="Z424" s="114">
        <f>IF(INDIRECT("Y424")="Clássico","11.5%",IF(INDIRECT("Y424")="Premium","16.5%","-"))</f>
      </c>
      <c r="AA424" s="116" t="s">
        <v>1357</v>
      </c>
      <c r="AB424" s="116" t="s">
        <v>120</v>
      </c>
      <c r="AC424" s="116" t="n">
        <v>90.0</v>
      </c>
      <c r="AD424" s="116" t="s">
        <v>111</v>
      </c>
      <c r="AE424" s="117" t="s">
        <v>112</v>
      </c>
      <c r="AF424" s="114" t="s">
        <v>1424</v>
      </c>
      <c r="AG424" s="116"/>
      <c r="AH424" s="116"/>
      <c r="AI424" s="116"/>
      <c r="AJ424" s="116"/>
    </row>
    <row r="425" ht="50.0" customHeight="true">
      <c r="A425" s="114" t="s">
        <v>2559</v>
      </c>
      <c r="B425" s="114" t="s">
        <v>2562</v>
      </c>
      <c r="C425" s="114" t="s">
        <v>2563</v>
      </c>
      <c r="D425" s="114"/>
      <c r="E425" s="115" t="s">
        <v>1465</v>
      </c>
      <c r="F425" s="115" t="s">
        <v>1433</v>
      </c>
      <c r="G425" s="114" t="s">
        <v>1383</v>
      </c>
      <c r="H425" s="116" t="n">
        <v>1440.0</v>
      </c>
      <c r="I425" s="116" t="n">
        <v>14.5</v>
      </c>
      <c r="J425" s="116" t="s">
        <v>103</v>
      </c>
      <c r="K425" s="116"/>
      <c r="L425" s="116"/>
      <c r="M425" s="116"/>
      <c r="N425" s="116"/>
      <c r="O425" s="116"/>
      <c r="P425" s="116"/>
      <c r="Q425" s="116"/>
      <c r="R425" s="116"/>
      <c r="S425" s="116"/>
      <c r="T425" s="116"/>
      <c r="U425" s="116" t="s">
        <v>104</v>
      </c>
      <c r="V425" s="118" t="s">
        <v>22</v>
      </c>
      <c r="W425" s="116" t="s">
        <v>106</v>
      </c>
      <c r="X425" s="116" t="s">
        <v>107</v>
      </c>
      <c r="Y425" s="116" t="s">
        <v>108</v>
      </c>
      <c r="Z425" s="114">
        <f>IF(INDIRECT("Y425")="Clássico","11.5%",IF(INDIRECT("Y425")="Premium","16.5%","-"))</f>
      </c>
      <c r="AA425" s="116" t="s">
        <v>1357</v>
      </c>
      <c r="AB425" s="116" t="s">
        <v>120</v>
      </c>
      <c r="AC425" s="116" t="n">
        <v>90.0</v>
      </c>
      <c r="AD425" s="116" t="s">
        <v>111</v>
      </c>
      <c r="AE425" s="117" t="s">
        <v>112</v>
      </c>
      <c r="AF425" s="114" t="s">
        <v>1424</v>
      </c>
      <c r="AG425" s="116"/>
      <c r="AH425" s="116"/>
      <c r="AI425" s="116"/>
      <c r="AJ425" s="116"/>
    </row>
    <row r="426" ht="50.0" customHeight="true">
      <c r="A426" s="114" t="s">
        <v>2031</v>
      </c>
      <c r="B426" s="114" t="s">
        <v>2564</v>
      </c>
      <c r="C426" s="114" t="s">
        <v>2565</v>
      </c>
      <c r="D426" s="114"/>
      <c r="E426" s="115"/>
      <c r="F426" s="115" t="s">
        <v>1406</v>
      </c>
      <c r="G426" s="114" t="s">
        <v>411</v>
      </c>
      <c r="H426" s="116" t="n">
        <v>0.0</v>
      </c>
      <c r="I426" s="116" t="n">
        <v>7500.0</v>
      </c>
      <c r="J426" s="116" t="s">
        <v>103</v>
      </c>
      <c r="K426" s="116"/>
      <c r="L426" s="116"/>
      <c r="M426" s="116"/>
      <c r="N426" s="116"/>
      <c r="O426" s="116"/>
      <c r="P426" s="116"/>
      <c r="Q426" s="116"/>
      <c r="R426" s="116"/>
      <c r="S426" s="116"/>
      <c r="T426" s="116"/>
      <c r="U426" s="116" t="s">
        <v>104</v>
      </c>
      <c r="V426" s="118" t="s">
        <v>1408</v>
      </c>
      <c r="W426" s="116" t="s">
        <v>130</v>
      </c>
      <c r="X426" s="116" t="s">
        <v>107</v>
      </c>
      <c r="Y426" s="116" t="s">
        <v>152</v>
      </c>
      <c r="Z426" s="114">
        <f>IF(INDIRECT("Y426")="Clássico","12%",IF(INDIRECT("Y426")="Premium","17%","-"))</f>
      </c>
      <c r="AA426" s="116" t="s">
        <v>1357</v>
      </c>
      <c r="AB426" s="116" t="s">
        <v>120</v>
      </c>
      <c r="AC426" s="116" t="n">
        <v>3.0</v>
      </c>
      <c r="AD426" s="116" t="s">
        <v>121</v>
      </c>
      <c r="AE426" s="117" t="s">
        <v>112</v>
      </c>
      <c r="AF426" s="114" t="s">
        <v>1409</v>
      </c>
      <c r="AG426" s="116"/>
      <c r="AH426" s="116"/>
      <c r="AI426" s="116"/>
      <c r="AJ426" s="116"/>
    </row>
    <row r="427" ht="50.0" customHeight="true">
      <c r="A427" s="114" t="s">
        <v>2034</v>
      </c>
      <c r="B427" s="114" t="s">
        <v>2566</v>
      </c>
      <c r="C427" s="114" t="s">
        <v>2567</v>
      </c>
      <c r="D427" s="114"/>
      <c r="E427" s="115" t="s">
        <v>1373</v>
      </c>
      <c r="F427" s="115" t="s">
        <v>1359</v>
      </c>
      <c r="G427" s="114" t="s">
        <v>1374</v>
      </c>
      <c r="H427" s="116" t="n">
        <v>570.0</v>
      </c>
      <c r="I427" s="114" t="s">
        <v>22</v>
      </c>
      <c r="J427" s="116" t="s">
        <v>103</v>
      </c>
      <c r="K427" s="116"/>
      <c r="L427" s="116"/>
      <c r="M427" s="116"/>
      <c r="N427" s="116"/>
      <c r="O427" s="116"/>
      <c r="P427" s="116"/>
      <c r="Q427" s="116"/>
      <c r="R427" s="116"/>
      <c r="S427" s="116"/>
      <c r="T427" s="116"/>
      <c r="U427" s="116" t="s">
        <v>104</v>
      </c>
      <c r="V427" s="118" t="s">
        <v>1361</v>
      </c>
      <c r="W427" s="116" t="s">
        <v>106</v>
      </c>
      <c r="X427" s="116" t="s">
        <v>143</v>
      </c>
      <c r="Y427" s="116" t="s">
        <v>108</v>
      </c>
      <c r="Z427" s="114">
        <f>IF(INDIRECT("Y427")="Clássico","11.5%",IF(INDIRECT("Y427")="Premium","16.5%","-"))</f>
      </c>
      <c r="AA427" s="116" t="s">
        <v>1357</v>
      </c>
      <c r="AB427" s="116" t="s">
        <v>120</v>
      </c>
      <c r="AC427" s="116" t="n">
        <v>90.0</v>
      </c>
      <c r="AD427" s="116" t="s">
        <v>111</v>
      </c>
      <c r="AE427" s="117" t="s">
        <v>112</v>
      </c>
      <c r="AF427" s="114" t="s">
        <v>1362</v>
      </c>
      <c r="AG427" s="116" t="n">
        <v>35.0</v>
      </c>
      <c r="AH427" s="116" t="n">
        <v>28.0</v>
      </c>
      <c r="AI427" s="116" t="n">
        <v>12.0</v>
      </c>
      <c r="AJ427" s="116" t="n">
        <v>0.5</v>
      </c>
    </row>
    <row r="428" ht="50.0" customHeight="true">
      <c r="A428" s="114" t="s">
        <v>2034</v>
      </c>
      <c r="B428" s="114" t="s">
        <v>2568</v>
      </c>
      <c r="C428" s="114" t="s">
        <v>2569</v>
      </c>
      <c r="D428" s="114"/>
      <c r="E428" s="115"/>
      <c r="F428" s="115" t="s">
        <v>1359</v>
      </c>
      <c r="G428" s="114" t="s">
        <v>419</v>
      </c>
      <c r="H428" s="116" t="n">
        <v>10.0</v>
      </c>
      <c r="I428" s="116" t="n">
        <v>24.9</v>
      </c>
      <c r="J428" s="116" t="s">
        <v>103</v>
      </c>
      <c r="K428" s="116"/>
      <c r="L428" s="116"/>
      <c r="M428" s="116"/>
      <c r="N428" s="116"/>
      <c r="O428" s="116"/>
      <c r="P428" s="116"/>
      <c r="Q428" s="116"/>
      <c r="R428" s="116"/>
      <c r="S428" s="116"/>
      <c r="T428" s="116"/>
      <c r="U428" s="116" t="s">
        <v>104</v>
      </c>
      <c r="V428" s="118" t="s">
        <v>1361</v>
      </c>
      <c r="W428" s="116" t="s">
        <v>106</v>
      </c>
      <c r="X428" s="116" t="s">
        <v>143</v>
      </c>
      <c r="Y428" s="116" t="s">
        <v>108</v>
      </c>
      <c r="Z428" s="114">
        <f>IF(INDIRECT("Y428")="Clássico","11.5%",IF(INDIRECT("Y428")="Premium","16.5%","-"))</f>
      </c>
      <c r="AA428" s="116" t="s">
        <v>1357</v>
      </c>
      <c r="AB428" s="116" t="s">
        <v>120</v>
      </c>
      <c r="AC428" s="116" t="n">
        <v>90.0</v>
      </c>
      <c r="AD428" s="116" t="s">
        <v>111</v>
      </c>
      <c r="AE428" s="117" t="s">
        <v>112</v>
      </c>
      <c r="AF428" s="114" t="s">
        <v>1362</v>
      </c>
      <c r="AG428" s="116" t="n">
        <v>35.0</v>
      </c>
      <c r="AH428" s="116" t="n">
        <v>28.0</v>
      </c>
      <c r="AI428" s="116" t="n">
        <v>12.0</v>
      </c>
      <c r="AJ428" s="116" t="n">
        <v>0.5</v>
      </c>
    </row>
    <row r="429" ht="50.0" customHeight="true">
      <c r="A429" s="114" t="s">
        <v>2034</v>
      </c>
      <c r="B429" s="114" t="s">
        <v>2570</v>
      </c>
      <c r="C429" s="114" t="s">
        <v>2571</v>
      </c>
      <c r="D429" s="114"/>
      <c r="E429" s="115" t="s">
        <v>1377</v>
      </c>
      <c r="F429" s="115" t="s">
        <v>1359</v>
      </c>
      <c r="G429" s="114" t="s">
        <v>1378</v>
      </c>
      <c r="H429" s="116" t="n">
        <v>600.0</v>
      </c>
      <c r="I429" s="116" t="n">
        <v>24.9</v>
      </c>
      <c r="J429" s="116" t="s">
        <v>103</v>
      </c>
      <c r="K429" s="116"/>
      <c r="L429" s="116"/>
      <c r="M429" s="116"/>
      <c r="N429" s="116"/>
      <c r="O429" s="116"/>
      <c r="P429" s="116"/>
      <c r="Q429" s="116"/>
      <c r="R429" s="116"/>
      <c r="S429" s="116"/>
      <c r="T429" s="116"/>
      <c r="U429" s="116" t="s">
        <v>104</v>
      </c>
      <c r="V429" s="118" t="s">
        <v>1361</v>
      </c>
      <c r="W429" s="116" t="s">
        <v>106</v>
      </c>
      <c r="X429" s="116" t="s">
        <v>143</v>
      </c>
      <c r="Y429" s="116" t="s">
        <v>108</v>
      </c>
      <c r="Z429" s="114">
        <f>IF(INDIRECT("Y429")="Clássico","11.5%",IF(INDIRECT("Y429")="Premium","16.5%","-"))</f>
      </c>
      <c r="AA429" s="116" t="s">
        <v>1357</v>
      </c>
      <c r="AB429" s="116" t="s">
        <v>120</v>
      </c>
      <c r="AC429" s="116" t="n">
        <v>90.0</v>
      </c>
      <c r="AD429" s="116" t="s">
        <v>111</v>
      </c>
      <c r="AE429" s="117" t="s">
        <v>112</v>
      </c>
      <c r="AF429" s="114" t="s">
        <v>1362</v>
      </c>
      <c r="AG429" s="116" t="n">
        <v>35.0</v>
      </c>
      <c r="AH429" s="116" t="n">
        <v>28.0</v>
      </c>
      <c r="AI429" s="116" t="n">
        <v>12.0</v>
      </c>
      <c r="AJ429" s="116" t="n">
        <v>0.5</v>
      </c>
    </row>
    <row r="430" ht="50.0" customHeight="true">
      <c r="A430" s="114" t="s">
        <v>2034</v>
      </c>
      <c r="B430" s="114" t="s">
        <v>2572</v>
      </c>
      <c r="C430" s="114" t="s">
        <v>2573</v>
      </c>
      <c r="D430" s="114"/>
      <c r="E430" s="115" t="s">
        <v>1382</v>
      </c>
      <c r="F430" s="115" t="s">
        <v>1359</v>
      </c>
      <c r="G430" s="114" t="s">
        <v>1383</v>
      </c>
      <c r="H430" s="116" t="n">
        <v>270.0</v>
      </c>
      <c r="I430" s="116" t="n">
        <v>24.9</v>
      </c>
      <c r="J430" s="116" t="s">
        <v>103</v>
      </c>
      <c r="K430" s="116"/>
      <c r="L430" s="116"/>
      <c r="M430" s="116"/>
      <c r="N430" s="116"/>
      <c r="O430" s="116"/>
      <c r="P430" s="116"/>
      <c r="Q430" s="116"/>
      <c r="R430" s="116"/>
      <c r="S430" s="116"/>
      <c r="T430" s="116"/>
      <c r="U430" s="116" t="s">
        <v>104</v>
      </c>
      <c r="V430" s="118" t="s">
        <v>1361</v>
      </c>
      <c r="W430" s="116" t="s">
        <v>106</v>
      </c>
      <c r="X430" s="116" t="s">
        <v>143</v>
      </c>
      <c r="Y430" s="116" t="s">
        <v>108</v>
      </c>
      <c r="Z430" s="114">
        <f>IF(INDIRECT("Y430")="Clássico","11.5%",IF(INDIRECT("Y430")="Premium","16.5%","-"))</f>
      </c>
      <c r="AA430" s="116" t="s">
        <v>1357</v>
      </c>
      <c r="AB430" s="116" t="s">
        <v>120</v>
      </c>
      <c r="AC430" s="116" t="n">
        <v>90.0</v>
      </c>
      <c r="AD430" s="116" t="s">
        <v>111</v>
      </c>
      <c r="AE430" s="117" t="s">
        <v>112</v>
      </c>
      <c r="AF430" s="114" t="s">
        <v>1362</v>
      </c>
      <c r="AG430" s="116" t="n">
        <v>35.0</v>
      </c>
      <c r="AH430" s="116" t="n">
        <v>28.0</v>
      </c>
      <c r="AI430" s="116" t="n">
        <v>12.0</v>
      </c>
      <c r="AJ430" s="116" t="n">
        <v>0.5</v>
      </c>
    </row>
    <row r="431" ht="50.0" customHeight="true">
      <c r="A431" s="114" t="s">
        <v>2034</v>
      </c>
      <c r="B431" s="114" t="s">
        <v>2574</v>
      </c>
      <c r="C431" s="114" t="s">
        <v>2575</v>
      </c>
      <c r="D431" s="114"/>
      <c r="E431" s="115" t="s">
        <v>1385</v>
      </c>
      <c r="F431" s="115" t="s">
        <v>1359</v>
      </c>
      <c r="G431" s="114" t="s">
        <v>1386</v>
      </c>
      <c r="H431" s="116" t="n">
        <v>780.0</v>
      </c>
      <c r="I431" s="116" t="n">
        <v>24.9</v>
      </c>
      <c r="J431" s="116" t="s">
        <v>103</v>
      </c>
      <c r="K431" s="116"/>
      <c r="L431" s="116"/>
      <c r="M431" s="116"/>
      <c r="N431" s="116"/>
      <c r="O431" s="116"/>
      <c r="P431" s="116"/>
      <c r="Q431" s="116"/>
      <c r="R431" s="116"/>
      <c r="S431" s="116"/>
      <c r="T431" s="116"/>
      <c r="U431" s="116" t="s">
        <v>104</v>
      </c>
      <c r="V431" s="118" t="s">
        <v>1361</v>
      </c>
      <c r="W431" s="116" t="s">
        <v>106</v>
      </c>
      <c r="X431" s="116" t="s">
        <v>143</v>
      </c>
      <c r="Y431" s="116" t="s">
        <v>108</v>
      </c>
      <c r="Z431" s="114">
        <f>IF(INDIRECT("Y431")="Clássico","11.5%",IF(INDIRECT("Y431")="Premium","16.5%","-"))</f>
      </c>
      <c r="AA431" s="116" t="s">
        <v>1357</v>
      </c>
      <c r="AB431" s="116" t="s">
        <v>120</v>
      </c>
      <c r="AC431" s="116" t="n">
        <v>90.0</v>
      </c>
      <c r="AD431" s="116" t="s">
        <v>111</v>
      </c>
      <c r="AE431" s="117" t="s">
        <v>112</v>
      </c>
      <c r="AF431" s="114" t="s">
        <v>1362</v>
      </c>
      <c r="AG431" s="116" t="n">
        <v>35.0</v>
      </c>
      <c r="AH431" s="116" t="n">
        <v>28.0</v>
      </c>
      <c r="AI431" s="116" t="n">
        <v>12.0</v>
      </c>
      <c r="AJ431" s="116" t="n">
        <v>0.5</v>
      </c>
    </row>
    <row r="432" ht="50.0" customHeight="true">
      <c r="A432" s="114" t="s">
        <v>2034</v>
      </c>
      <c r="B432" s="114" t="s">
        <v>2576</v>
      </c>
      <c r="C432" s="114" t="s">
        <v>2577</v>
      </c>
      <c r="D432" s="114"/>
      <c r="E432" s="115" t="s">
        <v>1388</v>
      </c>
      <c r="F432" s="115" t="s">
        <v>1359</v>
      </c>
      <c r="G432" s="114" t="s">
        <v>1389</v>
      </c>
      <c r="H432" s="116" t="n">
        <v>930.0</v>
      </c>
      <c r="I432" s="116" t="n">
        <v>24.9</v>
      </c>
      <c r="J432" s="116" t="s">
        <v>103</v>
      </c>
      <c r="K432" s="116"/>
      <c r="L432" s="116"/>
      <c r="M432" s="116"/>
      <c r="N432" s="116"/>
      <c r="O432" s="116"/>
      <c r="P432" s="116"/>
      <c r="Q432" s="116"/>
      <c r="R432" s="116"/>
      <c r="S432" s="116"/>
      <c r="T432" s="116"/>
      <c r="U432" s="116" t="s">
        <v>104</v>
      </c>
      <c r="V432" s="118" t="s">
        <v>1361</v>
      </c>
      <c r="W432" s="116" t="s">
        <v>106</v>
      </c>
      <c r="X432" s="116" t="s">
        <v>143</v>
      </c>
      <c r="Y432" s="116" t="s">
        <v>108</v>
      </c>
      <c r="Z432" s="114">
        <f>IF(INDIRECT("Y432")="Clássico","11.5%",IF(INDIRECT("Y432")="Premium","16.5%","-"))</f>
      </c>
      <c r="AA432" s="116" t="s">
        <v>1357</v>
      </c>
      <c r="AB432" s="116" t="s">
        <v>120</v>
      </c>
      <c r="AC432" s="116" t="n">
        <v>90.0</v>
      </c>
      <c r="AD432" s="116" t="s">
        <v>111</v>
      </c>
      <c r="AE432" s="117" t="s">
        <v>112</v>
      </c>
      <c r="AF432" s="114" t="s">
        <v>1362</v>
      </c>
      <c r="AG432" s="116" t="n">
        <v>35.0</v>
      </c>
      <c r="AH432" s="116" t="n">
        <v>28.0</v>
      </c>
      <c r="AI432" s="116" t="n">
        <v>12.0</v>
      </c>
      <c r="AJ432" s="116" t="n">
        <v>0.5</v>
      </c>
    </row>
    <row r="433" ht="50.0" customHeight="true">
      <c r="A433" s="114" t="s">
        <v>2034</v>
      </c>
      <c r="B433" s="114" t="s">
        <v>2578</v>
      </c>
      <c r="C433" s="114" t="s">
        <v>2579</v>
      </c>
      <c r="D433" s="114"/>
      <c r="E433" s="115" t="s">
        <v>1391</v>
      </c>
      <c r="F433" s="115" t="s">
        <v>1359</v>
      </c>
      <c r="G433" s="114" t="s">
        <v>1392</v>
      </c>
      <c r="H433" s="116" t="n">
        <v>720.0</v>
      </c>
      <c r="I433" s="116" t="n">
        <v>24.9</v>
      </c>
      <c r="J433" s="116" t="s">
        <v>103</v>
      </c>
      <c r="K433" s="116"/>
      <c r="L433" s="116"/>
      <c r="M433" s="116"/>
      <c r="N433" s="116"/>
      <c r="O433" s="116"/>
      <c r="P433" s="116"/>
      <c r="Q433" s="116"/>
      <c r="R433" s="116"/>
      <c r="S433" s="116"/>
      <c r="T433" s="116"/>
      <c r="U433" s="116" t="s">
        <v>104</v>
      </c>
      <c r="V433" s="118" t="s">
        <v>1361</v>
      </c>
      <c r="W433" s="116" t="s">
        <v>106</v>
      </c>
      <c r="X433" s="116" t="s">
        <v>143</v>
      </c>
      <c r="Y433" s="116" t="s">
        <v>108</v>
      </c>
      <c r="Z433" s="114">
        <f>IF(INDIRECT("Y433")="Clássico","11.5%",IF(INDIRECT("Y433")="Premium","16.5%","-"))</f>
      </c>
      <c r="AA433" s="116" t="s">
        <v>1357</v>
      </c>
      <c r="AB433" s="116" t="s">
        <v>120</v>
      </c>
      <c r="AC433" s="116" t="n">
        <v>90.0</v>
      </c>
      <c r="AD433" s="116" t="s">
        <v>111</v>
      </c>
      <c r="AE433" s="117" t="s">
        <v>112</v>
      </c>
      <c r="AF433" s="114" t="s">
        <v>1362</v>
      </c>
      <c r="AG433" s="116" t="n">
        <v>35.0</v>
      </c>
      <c r="AH433" s="116" t="n">
        <v>28.0</v>
      </c>
      <c r="AI433" s="116" t="n">
        <v>12.0</v>
      </c>
      <c r="AJ433" s="116" t="n">
        <v>0.5</v>
      </c>
    </row>
    <row r="434" ht="50.0" customHeight="true">
      <c r="A434" s="114" t="s">
        <v>2034</v>
      </c>
      <c r="B434" s="114" t="s">
        <v>2580</v>
      </c>
      <c r="C434" s="114" t="s">
        <v>2581</v>
      </c>
      <c r="D434" s="114"/>
      <c r="E434" s="115" t="s">
        <v>1394</v>
      </c>
      <c r="F434" s="115" t="s">
        <v>1359</v>
      </c>
      <c r="G434" s="114" t="s">
        <v>1395</v>
      </c>
      <c r="H434" s="116" t="n">
        <v>600.0</v>
      </c>
      <c r="I434" s="116" t="n">
        <v>24.9</v>
      </c>
      <c r="J434" s="116" t="s">
        <v>103</v>
      </c>
      <c r="K434" s="116"/>
      <c r="L434" s="116"/>
      <c r="M434" s="116"/>
      <c r="N434" s="116"/>
      <c r="O434" s="116"/>
      <c r="P434" s="116"/>
      <c r="Q434" s="116"/>
      <c r="R434" s="116"/>
      <c r="S434" s="116"/>
      <c r="T434" s="116"/>
      <c r="U434" s="116" t="s">
        <v>104</v>
      </c>
      <c r="V434" s="118" t="s">
        <v>1361</v>
      </c>
      <c r="W434" s="116" t="s">
        <v>106</v>
      </c>
      <c r="X434" s="116" t="s">
        <v>143</v>
      </c>
      <c r="Y434" s="116" t="s">
        <v>108</v>
      </c>
      <c r="Z434" s="114">
        <f>IF(INDIRECT("Y434")="Clássico","11.5%",IF(INDIRECT("Y434")="Premium","16.5%","-"))</f>
      </c>
      <c r="AA434" s="116" t="s">
        <v>1357</v>
      </c>
      <c r="AB434" s="116" t="s">
        <v>120</v>
      </c>
      <c r="AC434" s="116" t="n">
        <v>90.0</v>
      </c>
      <c r="AD434" s="116" t="s">
        <v>111</v>
      </c>
      <c r="AE434" s="117" t="s">
        <v>112</v>
      </c>
      <c r="AF434" s="114" t="s">
        <v>1362</v>
      </c>
      <c r="AG434" s="116" t="n">
        <v>35.0</v>
      </c>
      <c r="AH434" s="116" t="n">
        <v>28.0</v>
      </c>
      <c r="AI434" s="116" t="n">
        <v>12.0</v>
      </c>
      <c r="AJ434" s="116" t="n">
        <v>0.5</v>
      </c>
    </row>
    <row r="435" ht="50.0" customHeight="true">
      <c r="A435" s="114" t="s">
        <v>2034</v>
      </c>
      <c r="B435" s="114" t="s">
        <v>2582</v>
      </c>
      <c r="C435" s="114" t="s">
        <v>2583</v>
      </c>
      <c r="D435" s="114"/>
      <c r="E435" s="115" t="s">
        <v>1397</v>
      </c>
      <c r="F435" s="115" t="s">
        <v>1359</v>
      </c>
      <c r="G435" s="114" t="s">
        <v>1398</v>
      </c>
      <c r="H435" s="116" t="n">
        <v>810.0</v>
      </c>
      <c r="I435" s="116" t="n">
        <v>24.9</v>
      </c>
      <c r="J435" s="116" t="s">
        <v>103</v>
      </c>
      <c r="K435" s="116"/>
      <c r="L435" s="116"/>
      <c r="M435" s="116"/>
      <c r="N435" s="116"/>
      <c r="O435" s="116"/>
      <c r="P435" s="116"/>
      <c r="Q435" s="116"/>
      <c r="R435" s="116"/>
      <c r="S435" s="116"/>
      <c r="T435" s="116"/>
      <c r="U435" s="116" t="s">
        <v>104</v>
      </c>
      <c r="V435" s="118" t="s">
        <v>1361</v>
      </c>
      <c r="W435" s="116" t="s">
        <v>106</v>
      </c>
      <c r="X435" s="116" t="s">
        <v>143</v>
      </c>
      <c r="Y435" s="116" t="s">
        <v>108</v>
      </c>
      <c r="Z435" s="114">
        <f>IF(INDIRECT("Y435")="Clássico","11.5%",IF(INDIRECT("Y435")="Premium","16.5%","-"))</f>
      </c>
      <c r="AA435" s="116" t="s">
        <v>1357</v>
      </c>
      <c r="AB435" s="116" t="s">
        <v>120</v>
      </c>
      <c r="AC435" s="116" t="n">
        <v>90.0</v>
      </c>
      <c r="AD435" s="116" t="s">
        <v>111</v>
      </c>
      <c r="AE435" s="117" t="s">
        <v>112</v>
      </c>
      <c r="AF435" s="114" t="s">
        <v>1362</v>
      </c>
      <c r="AG435" s="116" t="n">
        <v>35.0</v>
      </c>
      <c r="AH435" s="116" t="n">
        <v>28.0</v>
      </c>
      <c r="AI435" s="116" t="n">
        <v>12.0</v>
      </c>
      <c r="AJ435" s="116" t="n">
        <v>0.5</v>
      </c>
    </row>
    <row r="436" ht="50.0" customHeight="true">
      <c r="A436" s="114" t="s">
        <v>2034</v>
      </c>
      <c r="B436" s="114" t="s">
        <v>2584</v>
      </c>
      <c r="C436" s="114" t="s">
        <v>2585</v>
      </c>
      <c r="D436" s="114"/>
      <c r="E436" s="115" t="s">
        <v>1400</v>
      </c>
      <c r="F436" s="115" t="s">
        <v>1359</v>
      </c>
      <c r="G436" s="114" t="s">
        <v>1401</v>
      </c>
      <c r="H436" s="116" t="n">
        <v>570.0</v>
      </c>
      <c r="I436" s="116" t="n">
        <v>24.9</v>
      </c>
      <c r="J436" s="116" t="s">
        <v>103</v>
      </c>
      <c r="K436" s="116"/>
      <c r="L436" s="116"/>
      <c r="M436" s="116"/>
      <c r="N436" s="116"/>
      <c r="O436" s="116"/>
      <c r="P436" s="116"/>
      <c r="Q436" s="116"/>
      <c r="R436" s="116"/>
      <c r="S436" s="116"/>
      <c r="T436" s="116"/>
      <c r="U436" s="116" t="s">
        <v>104</v>
      </c>
      <c r="V436" s="118" t="s">
        <v>1361</v>
      </c>
      <c r="W436" s="116" t="s">
        <v>106</v>
      </c>
      <c r="X436" s="116" t="s">
        <v>143</v>
      </c>
      <c r="Y436" s="116" t="s">
        <v>108</v>
      </c>
      <c r="Z436" s="114">
        <f>IF(INDIRECT("Y436")="Clássico","11.5%",IF(INDIRECT("Y436")="Premium","16.5%","-"))</f>
      </c>
      <c r="AA436" s="116" t="s">
        <v>1357</v>
      </c>
      <c r="AB436" s="116" t="s">
        <v>120</v>
      </c>
      <c r="AC436" s="116" t="n">
        <v>90.0</v>
      </c>
      <c r="AD436" s="116" t="s">
        <v>111</v>
      </c>
      <c r="AE436" s="117" t="s">
        <v>112</v>
      </c>
      <c r="AF436" s="114" t="s">
        <v>1362</v>
      </c>
      <c r="AG436" s="116" t="n">
        <v>35.0</v>
      </c>
      <c r="AH436" s="116" t="n">
        <v>28.0</v>
      </c>
      <c r="AI436" s="116" t="n">
        <v>12.0</v>
      </c>
      <c r="AJ436" s="116" t="n">
        <v>0.5</v>
      </c>
    </row>
    <row r="437" ht="50.0" customHeight="true">
      <c r="A437" s="114" t="s">
        <v>2034</v>
      </c>
      <c r="B437" s="114" t="s">
        <v>2586</v>
      </c>
      <c r="C437" s="114" t="s">
        <v>2587</v>
      </c>
      <c r="D437" s="114"/>
      <c r="E437" s="115" t="s">
        <v>1403</v>
      </c>
      <c r="F437" s="115" t="s">
        <v>1359</v>
      </c>
      <c r="G437" s="114" t="s">
        <v>1404</v>
      </c>
      <c r="H437" s="116" t="n">
        <v>990.0</v>
      </c>
      <c r="I437" s="116" t="n">
        <v>24.9</v>
      </c>
      <c r="J437" s="116" t="s">
        <v>103</v>
      </c>
      <c r="K437" s="116"/>
      <c r="L437" s="116"/>
      <c r="M437" s="116"/>
      <c r="N437" s="116"/>
      <c r="O437" s="116"/>
      <c r="P437" s="116"/>
      <c r="Q437" s="116"/>
      <c r="R437" s="116"/>
      <c r="S437" s="116"/>
      <c r="T437" s="116"/>
      <c r="U437" s="116" t="s">
        <v>104</v>
      </c>
      <c r="V437" s="118" t="s">
        <v>1361</v>
      </c>
      <c r="W437" s="116" t="s">
        <v>106</v>
      </c>
      <c r="X437" s="116" t="s">
        <v>143</v>
      </c>
      <c r="Y437" s="116" t="s">
        <v>108</v>
      </c>
      <c r="Z437" s="114">
        <f>IF(INDIRECT("Y437")="Clássico","11.5%",IF(INDIRECT("Y437")="Premium","16.5%","-"))</f>
      </c>
      <c r="AA437" s="116" t="s">
        <v>1357</v>
      </c>
      <c r="AB437" s="116" t="s">
        <v>120</v>
      </c>
      <c r="AC437" s="116" t="n">
        <v>90.0</v>
      </c>
      <c r="AD437" s="116" t="s">
        <v>111</v>
      </c>
      <c r="AE437" s="117" t="s">
        <v>112</v>
      </c>
      <c r="AF437" s="114" t="s">
        <v>1362</v>
      </c>
      <c r="AG437" s="116" t="n">
        <v>35.0</v>
      </c>
      <c r="AH437" s="116" t="n">
        <v>28.0</v>
      </c>
      <c r="AI437" s="116" t="n">
        <v>12.0</v>
      </c>
      <c r="AJ437" s="116" t="n">
        <v>0.5</v>
      </c>
    </row>
    <row r="438" ht="50.0" customHeight="true">
      <c r="A438" s="114" t="s">
        <v>2588</v>
      </c>
      <c r="B438" s="114" t="s">
        <v>2589</v>
      </c>
      <c r="C438" s="114" t="s">
        <v>2590</v>
      </c>
      <c r="D438" s="114"/>
      <c r="E438" s="115" t="s">
        <v>1445</v>
      </c>
      <c r="F438" s="115" t="s">
        <v>1442</v>
      </c>
      <c r="G438" s="114" t="s">
        <v>1446</v>
      </c>
      <c r="H438" s="116" t="n">
        <v>2220.0</v>
      </c>
      <c r="I438" s="116" t="n">
        <v>18.5</v>
      </c>
      <c r="J438" s="116" t="s">
        <v>103</v>
      </c>
      <c r="K438" s="116"/>
      <c r="L438" s="116"/>
      <c r="M438" s="116"/>
      <c r="N438" s="116"/>
      <c r="O438" s="116"/>
      <c r="P438" s="116"/>
      <c r="Q438" s="116"/>
      <c r="R438" s="116"/>
      <c r="S438" s="116"/>
      <c r="T438" s="116"/>
      <c r="U438" s="116" t="s">
        <v>104</v>
      </c>
      <c r="V438" s="118" t="s">
        <v>1423</v>
      </c>
      <c r="W438" s="116" t="s">
        <v>106</v>
      </c>
      <c r="X438" s="116" t="s">
        <v>107</v>
      </c>
      <c r="Y438" s="116" t="s">
        <v>108</v>
      </c>
      <c r="Z438" s="114">
        <f>IF(INDIRECT("Y438")="Clássico","11.5%",IF(INDIRECT("Y438")="Premium","16.5%","-"))</f>
      </c>
      <c r="AA438" s="116" t="s">
        <v>1357</v>
      </c>
      <c r="AB438" s="116" t="s">
        <v>120</v>
      </c>
      <c r="AC438" s="116" t="n">
        <v>90.0</v>
      </c>
      <c r="AD438" s="116" t="s">
        <v>111</v>
      </c>
      <c r="AE438" s="117" t="s">
        <v>112</v>
      </c>
      <c r="AF438" s="114" t="s">
        <v>1424</v>
      </c>
      <c r="AG438" s="116"/>
      <c r="AH438" s="116"/>
      <c r="AI438" s="116"/>
      <c r="AJ438" s="116"/>
    </row>
    <row r="439" ht="50.0" customHeight="true">
      <c r="A439" s="114" t="s">
        <v>2588</v>
      </c>
      <c r="B439" s="114" t="s">
        <v>2591</v>
      </c>
      <c r="C439" s="114" t="s">
        <v>2592</v>
      </c>
      <c r="D439" s="114"/>
      <c r="E439" s="115" t="s">
        <v>1448</v>
      </c>
      <c r="F439" s="115" t="s">
        <v>1442</v>
      </c>
      <c r="G439" s="114" t="s">
        <v>1429</v>
      </c>
      <c r="H439" s="116" t="n">
        <v>3060.0</v>
      </c>
      <c r="I439" s="116" t="n">
        <v>18.5</v>
      </c>
      <c r="J439" s="116" t="s">
        <v>103</v>
      </c>
      <c r="K439" s="116"/>
      <c r="L439" s="116"/>
      <c r="M439" s="116"/>
      <c r="N439" s="116"/>
      <c r="O439" s="116"/>
      <c r="P439" s="116"/>
      <c r="Q439" s="116"/>
      <c r="R439" s="116"/>
      <c r="S439" s="116"/>
      <c r="T439" s="116"/>
      <c r="U439" s="116" t="s">
        <v>104</v>
      </c>
      <c r="V439" s="118" t="s">
        <v>1423</v>
      </c>
      <c r="W439" s="116" t="s">
        <v>106</v>
      </c>
      <c r="X439" s="116" t="s">
        <v>107</v>
      </c>
      <c r="Y439" s="116" t="s">
        <v>108</v>
      </c>
      <c r="Z439" s="114">
        <f>IF(INDIRECT("Y439")="Clássico","11.5%",IF(INDIRECT("Y439")="Premium","16.5%","-"))</f>
      </c>
      <c r="AA439" s="116" t="s">
        <v>1357</v>
      </c>
      <c r="AB439" s="116" t="s">
        <v>120</v>
      </c>
      <c r="AC439" s="116" t="n">
        <v>90.0</v>
      </c>
      <c r="AD439" s="116" t="s">
        <v>111</v>
      </c>
      <c r="AE439" s="117" t="s">
        <v>112</v>
      </c>
      <c r="AF439" s="114" t="s">
        <v>1424</v>
      </c>
      <c r="AG439" s="116"/>
      <c r="AH439" s="116"/>
      <c r="AI439" s="116"/>
      <c r="AJ439" s="116"/>
    </row>
    <row r="440" ht="50.0" customHeight="true">
      <c r="A440" s="114" t="s">
        <v>2593</v>
      </c>
      <c r="B440" s="114" t="s">
        <v>2594</v>
      </c>
      <c r="C440" s="114" t="s">
        <v>2595</v>
      </c>
      <c r="D440" s="114"/>
      <c r="E440" s="115" t="s">
        <v>1426</v>
      </c>
      <c r="F440" s="115" t="s">
        <v>1421</v>
      </c>
      <c r="G440" s="114" t="s">
        <v>419</v>
      </c>
      <c r="H440" s="116" t="n">
        <v>2160.0</v>
      </c>
      <c r="I440" s="116" t="n">
        <v>15.5</v>
      </c>
      <c r="J440" s="116" t="s">
        <v>103</v>
      </c>
      <c r="K440" s="116"/>
      <c r="L440" s="116"/>
      <c r="M440" s="116"/>
      <c r="N440" s="116"/>
      <c r="O440" s="116"/>
      <c r="P440" s="116"/>
      <c r="Q440" s="116"/>
      <c r="R440" s="116"/>
      <c r="S440" s="116"/>
      <c r="T440" s="116"/>
      <c r="U440" s="116" t="s">
        <v>104</v>
      </c>
      <c r="V440" s="118" t="s">
        <v>1423</v>
      </c>
      <c r="W440" s="116" t="s">
        <v>106</v>
      </c>
      <c r="X440" s="116" t="s">
        <v>107</v>
      </c>
      <c r="Y440" s="116" t="s">
        <v>108</v>
      </c>
      <c r="Z440" s="114">
        <f>IF(INDIRECT("Y440")="Clássico","11.5%",IF(INDIRECT("Y440")="Premium","16.5%","-"))</f>
      </c>
      <c r="AA440" s="116" t="s">
        <v>1357</v>
      </c>
      <c r="AB440" s="116" t="s">
        <v>120</v>
      </c>
      <c r="AC440" s="116" t="n">
        <v>90.0</v>
      </c>
      <c r="AD440" s="116" t="s">
        <v>111</v>
      </c>
      <c r="AE440" s="117" t="s">
        <v>112</v>
      </c>
      <c r="AF440" s="114" t="s">
        <v>1424</v>
      </c>
      <c r="AG440" s="116"/>
      <c r="AH440" s="116"/>
      <c r="AI440" s="116"/>
      <c r="AJ440" s="116"/>
    </row>
    <row r="441" ht="50.0" customHeight="true">
      <c r="A441" s="114" t="s">
        <v>2593</v>
      </c>
      <c r="B441" s="114" t="s">
        <v>2596</v>
      </c>
      <c r="C441" s="114" t="s">
        <v>2597</v>
      </c>
      <c r="D441" s="114"/>
      <c r="E441" s="115" t="s">
        <v>1428</v>
      </c>
      <c r="F441" s="115" t="s">
        <v>1421</v>
      </c>
      <c r="G441" s="114" t="s">
        <v>1429</v>
      </c>
      <c r="H441" s="116" t="n">
        <v>2052.0</v>
      </c>
      <c r="I441" s="116" t="n">
        <v>15.5</v>
      </c>
      <c r="J441" s="116" t="s">
        <v>103</v>
      </c>
      <c r="K441" s="116"/>
      <c r="L441" s="116"/>
      <c r="M441" s="116"/>
      <c r="N441" s="116"/>
      <c r="O441" s="116"/>
      <c r="P441" s="116"/>
      <c r="Q441" s="116"/>
      <c r="R441" s="116"/>
      <c r="S441" s="116"/>
      <c r="T441" s="116"/>
      <c r="U441" s="116" t="s">
        <v>104</v>
      </c>
      <c r="V441" s="118" t="s">
        <v>1423</v>
      </c>
      <c r="W441" s="116" t="s">
        <v>106</v>
      </c>
      <c r="X441" s="116" t="s">
        <v>107</v>
      </c>
      <c r="Y441" s="116" t="s">
        <v>108</v>
      </c>
      <c r="Z441" s="114">
        <f>IF(INDIRECT("Y441")="Clássico","11.5%",IF(INDIRECT("Y441")="Premium","16.5%","-"))</f>
      </c>
      <c r="AA441" s="116" t="s">
        <v>1357</v>
      </c>
      <c r="AB441" s="116" t="s">
        <v>120</v>
      </c>
      <c r="AC441" s="116" t="n">
        <v>90.0</v>
      </c>
      <c r="AD441" s="116" t="s">
        <v>111</v>
      </c>
      <c r="AE441" s="117" t="s">
        <v>112</v>
      </c>
      <c r="AF441" s="114" t="s">
        <v>1424</v>
      </c>
      <c r="AG441" s="116"/>
      <c r="AH441" s="116"/>
      <c r="AI441" s="116"/>
      <c r="AJ441" s="116"/>
    </row>
    <row r="442" ht="50.0" customHeight="true">
      <c r="A442" s="114" t="s">
        <v>2593</v>
      </c>
      <c r="B442" s="114" t="s">
        <v>2598</v>
      </c>
      <c r="C442" s="114" t="s">
        <v>2599</v>
      </c>
      <c r="D442" s="114"/>
      <c r="E442" s="115" t="s">
        <v>1431</v>
      </c>
      <c r="F442" s="115" t="s">
        <v>1421</v>
      </c>
      <c r="G442" s="114" t="s">
        <v>1383</v>
      </c>
      <c r="H442" s="116" t="n">
        <v>432.0</v>
      </c>
      <c r="I442" s="116" t="n">
        <v>15.5</v>
      </c>
      <c r="J442" s="116" t="s">
        <v>103</v>
      </c>
      <c r="K442" s="116"/>
      <c r="L442" s="116"/>
      <c r="M442" s="116"/>
      <c r="N442" s="116"/>
      <c r="O442" s="116"/>
      <c r="P442" s="116"/>
      <c r="Q442" s="116"/>
      <c r="R442" s="116"/>
      <c r="S442" s="116"/>
      <c r="T442" s="116"/>
      <c r="U442" s="116" t="s">
        <v>104</v>
      </c>
      <c r="V442" s="118" t="s">
        <v>1423</v>
      </c>
      <c r="W442" s="116" t="s">
        <v>106</v>
      </c>
      <c r="X442" s="116" t="s">
        <v>107</v>
      </c>
      <c r="Y442" s="116" t="s">
        <v>108</v>
      </c>
      <c r="Z442" s="114">
        <f>IF(INDIRECT("Y442")="Clássico","11.5%",IF(INDIRECT("Y442")="Premium","16.5%","-"))</f>
      </c>
      <c r="AA442" s="116" t="s">
        <v>1357</v>
      </c>
      <c r="AB442" s="116" t="s">
        <v>120</v>
      </c>
      <c r="AC442" s="116" t="n">
        <v>90.0</v>
      </c>
      <c r="AD442" s="116" t="s">
        <v>111</v>
      </c>
      <c r="AE442" s="117" t="s">
        <v>112</v>
      </c>
      <c r="AF442" s="114" t="s">
        <v>1424</v>
      </c>
      <c r="AG442" s="116"/>
      <c r="AH442" s="116"/>
      <c r="AI442" s="116"/>
      <c r="AJ442" s="116"/>
    </row>
    <row r="443" ht="50.0" customHeight="true">
      <c r="A443" s="114" t="s">
        <v>2600</v>
      </c>
      <c r="B443" s="114" t="s">
        <v>2601</v>
      </c>
      <c r="C443" s="114" t="s">
        <v>2602</v>
      </c>
      <c r="D443" s="114"/>
      <c r="E443" s="115" t="s">
        <v>1453</v>
      </c>
      <c r="F443" s="115" t="s">
        <v>1450</v>
      </c>
      <c r="G443" s="114" t="s">
        <v>176</v>
      </c>
      <c r="H443" s="116" t="n">
        <v>2760.0</v>
      </c>
      <c r="I443" s="116" t="n">
        <v>18.5</v>
      </c>
      <c r="J443" s="116" t="s">
        <v>103</v>
      </c>
      <c r="K443" s="116"/>
      <c r="L443" s="116"/>
      <c r="M443" s="116"/>
      <c r="N443" s="116"/>
      <c r="O443" s="116"/>
      <c r="P443" s="116"/>
      <c r="Q443" s="116"/>
      <c r="R443" s="116"/>
      <c r="S443" s="116"/>
      <c r="T443" s="116"/>
      <c r="U443" s="116" t="s">
        <v>104</v>
      </c>
      <c r="V443" s="118" t="s">
        <v>22</v>
      </c>
      <c r="W443" s="116" t="s">
        <v>106</v>
      </c>
      <c r="X443" s="116" t="s">
        <v>107</v>
      </c>
      <c r="Y443" s="116" t="s">
        <v>108</v>
      </c>
      <c r="Z443" s="114">
        <f>IF(INDIRECT("Y443")="Clássico","11.5%",IF(INDIRECT("Y443")="Premium","16.5%","-"))</f>
      </c>
      <c r="AA443" s="116" t="s">
        <v>1357</v>
      </c>
      <c r="AB443" s="116" t="s">
        <v>120</v>
      </c>
      <c r="AC443" s="116" t="n">
        <v>90.0</v>
      </c>
      <c r="AD443" s="116" t="s">
        <v>111</v>
      </c>
      <c r="AE443" s="117" t="s">
        <v>112</v>
      </c>
      <c r="AF443" s="114" t="s">
        <v>1424</v>
      </c>
      <c r="AG443" s="116"/>
      <c r="AH443" s="116"/>
      <c r="AI443" s="116"/>
      <c r="AJ443" s="116"/>
    </row>
    <row r="444" ht="50.0" customHeight="true">
      <c r="A444" s="114" t="s">
        <v>2600</v>
      </c>
      <c r="B444" s="114" t="s">
        <v>2603</v>
      </c>
      <c r="C444" s="114" t="s">
        <v>2604</v>
      </c>
      <c r="D444" s="114"/>
      <c r="E444" s="115" t="s">
        <v>1455</v>
      </c>
      <c r="F444" s="115" t="s">
        <v>1450</v>
      </c>
      <c r="G444" s="114" t="s">
        <v>192</v>
      </c>
      <c r="H444" s="116" t="n">
        <v>840.0</v>
      </c>
      <c r="I444" s="116" t="n">
        <v>18.5</v>
      </c>
      <c r="J444" s="116" t="s">
        <v>103</v>
      </c>
      <c r="K444" s="116"/>
      <c r="L444" s="116"/>
      <c r="M444" s="116"/>
      <c r="N444" s="116"/>
      <c r="O444" s="116"/>
      <c r="P444" s="116"/>
      <c r="Q444" s="116"/>
      <c r="R444" s="116"/>
      <c r="S444" s="116"/>
      <c r="T444" s="116"/>
      <c r="U444" s="116" t="s">
        <v>104</v>
      </c>
      <c r="V444" s="118" t="s">
        <v>22</v>
      </c>
      <c r="W444" s="116" t="s">
        <v>106</v>
      </c>
      <c r="X444" s="116" t="s">
        <v>107</v>
      </c>
      <c r="Y444" s="116" t="s">
        <v>108</v>
      </c>
      <c r="Z444" s="114">
        <f>IF(INDIRECT("Y444")="Clássico","11.5%",IF(INDIRECT("Y444")="Premium","16.5%","-"))</f>
      </c>
      <c r="AA444" s="116" t="s">
        <v>1357</v>
      </c>
      <c r="AB444" s="116" t="s">
        <v>120</v>
      </c>
      <c r="AC444" s="116" t="n">
        <v>90.0</v>
      </c>
      <c r="AD444" s="116" t="s">
        <v>111</v>
      </c>
      <c r="AE444" s="117" t="s">
        <v>112</v>
      </c>
      <c r="AF444" s="114" t="s">
        <v>1424</v>
      </c>
      <c r="AG444" s="116"/>
      <c r="AH444" s="116"/>
      <c r="AI444" s="116"/>
      <c r="AJ444" s="116"/>
    </row>
    <row r="445" ht="50.0" customHeight="true">
      <c r="A445" s="114" t="s">
        <v>2600</v>
      </c>
      <c r="B445" s="114" t="s">
        <v>2605</v>
      </c>
      <c r="C445" s="114" t="s">
        <v>2606</v>
      </c>
      <c r="D445" s="114"/>
      <c r="E445" s="115" t="s">
        <v>1457</v>
      </c>
      <c r="F445" s="115" t="s">
        <v>1450</v>
      </c>
      <c r="G445" s="114" t="s">
        <v>1378</v>
      </c>
      <c r="H445" s="116" t="n">
        <v>2580.0</v>
      </c>
      <c r="I445" s="116" t="n">
        <v>18.5</v>
      </c>
      <c r="J445" s="116" t="s">
        <v>103</v>
      </c>
      <c r="K445" s="116"/>
      <c r="L445" s="116"/>
      <c r="M445" s="116"/>
      <c r="N445" s="116"/>
      <c r="O445" s="116"/>
      <c r="P445" s="116"/>
      <c r="Q445" s="116"/>
      <c r="R445" s="116"/>
      <c r="S445" s="116"/>
      <c r="T445" s="116"/>
      <c r="U445" s="116" t="s">
        <v>104</v>
      </c>
      <c r="V445" s="118" t="s">
        <v>22</v>
      </c>
      <c r="W445" s="116" t="s">
        <v>106</v>
      </c>
      <c r="X445" s="116" t="s">
        <v>107</v>
      </c>
      <c r="Y445" s="116" t="s">
        <v>108</v>
      </c>
      <c r="Z445" s="114">
        <f>IF(INDIRECT("Y445")="Clássico","11.5%",IF(INDIRECT("Y445")="Premium","16.5%","-"))</f>
      </c>
      <c r="AA445" s="116" t="s">
        <v>1357</v>
      </c>
      <c r="AB445" s="116" t="s">
        <v>120</v>
      </c>
      <c r="AC445" s="116" t="n">
        <v>90.0</v>
      </c>
      <c r="AD445" s="116" t="s">
        <v>111</v>
      </c>
      <c r="AE445" s="117" t="s">
        <v>112</v>
      </c>
      <c r="AF445" s="114" t="s">
        <v>1424</v>
      </c>
      <c r="AG445" s="116"/>
      <c r="AH445" s="116"/>
      <c r="AI445" s="116"/>
      <c r="AJ445" s="116"/>
    </row>
    <row r="446" ht="50.0" customHeight="true">
      <c r="A446" s="114" t="s">
        <v>2600</v>
      </c>
      <c r="B446" s="114" t="s">
        <v>2607</v>
      </c>
      <c r="C446" s="114" t="s">
        <v>2608</v>
      </c>
      <c r="D446" s="114"/>
      <c r="E446" s="115" t="s">
        <v>1459</v>
      </c>
      <c r="F446" s="115" t="s">
        <v>1450</v>
      </c>
      <c r="G446" s="114" t="s">
        <v>1383</v>
      </c>
      <c r="H446" s="116" t="n">
        <v>2700.0</v>
      </c>
      <c r="I446" s="116" t="n">
        <v>18.5</v>
      </c>
      <c r="J446" s="116" t="s">
        <v>103</v>
      </c>
      <c r="K446" s="116"/>
      <c r="L446" s="116"/>
      <c r="M446" s="116"/>
      <c r="N446" s="116"/>
      <c r="O446" s="116"/>
      <c r="P446" s="116"/>
      <c r="Q446" s="116"/>
      <c r="R446" s="116"/>
      <c r="S446" s="116"/>
      <c r="T446" s="116"/>
      <c r="U446" s="116" t="s">
        <v>104</v>
      </c>
      <c r="V446" s="118" t="s">
        <v>22</v>
      </c>
      <c r="W446" s="116" t="s">
        <v>106</v>
      </c>
      <c r="X446" s="116" t="s">
        <v>107</v>
      </c>
      <c r="Y446" s="116" t="s">
        <v>108</v>
      </c>
      <c r="Z446" s="114">
        <f>IF(INDIRECT("Y446")="Clássico","11.5%",IF(INDIRECT("Y446")="Premium","16.5%","-"))</f>
      </c>
      <c r="AA446" s="116" t="s">
        <v>1357</v>
      </c>
      <c r="AB446" s="116" t="s">
        <v>120</v>
      </c>
      <c r="AC446" s="116" t="n">
        <v>90.0</v>
      </c>
      <c r="AD446" s="116" t="s">
        <v>111</v>
      </c>
      <c r="AE446" s="117" t="s">
        <v>112</v>
      </c>
      <c r="AF446" s="114" t="s">
        <v>1424</v>
      </c>
      <c r="AG446" s="116"/>
      <c r="AH446" s="116"/>
      <c r="AI446" s="116"/>
      <c r="AJ446" s="116"/>
    </row>
    <row r="447" ht="50.0" customHeight="true">
      <c r="A447" s="114" t="s">
        <v>2609</v>
      </c>
      <c r="B447" s="114" t="s">
        <v>2610</v>
      </c>
      <c r="C447" s="114" t="s">
        <v>2611</v>
      </c>
      <c r="D447" s="114"/>
      <c r="E447" s="115" t="s">
        <v>2612</v>
      </c>
      <c r="F447" s="115" t="s">
        <v>2613</v>
      </c>
      <c r="G447" s="114" t="s">
        <v>2613</v>
      </c>
      <c r="H447" s="116" t="n">
        <v>1.0</v>
      </c>
      <c r="I447" s="116" t="n">
        <v>112437.5</v>
      </c>
      <c r="J447" s="116" t="s">
        <v>103</v>
      </c>
      <c r="K447" s="116"/>
      <c r="L447" s="116"/>
      <c r="M447" s="116"/>
      <c r="N447" s="116"/>
      <c r="O447" s="116"/>
      <c r="P447" s="116"/>
      <c r="Q447" s="116"/>
      <c r="R447" s="116"/>
      <c r="S447" s="116"/>
      <c r="T447" s="116"/>
      <c r="U447" s="116" t="s">
        <v>104</v>
      </c>
      <c r="V447" s="118" t="s">
        <v>2614</v>
      </c>
      <c r="W447" s="116" t="s">
        <v>771</v>
      </c>
      <c r="X447" s="116" t="s">
        <v>143</v>
      </c>
      <c r="Y447" s="116" t="s">
        <v>152</v>
      </c>
      <c r="Z447" s="114">
        <f>IF(INDIRECT("Y447")="Clássico","12%",IF(INDIRECT("Y447")="Premium","17%","-"))</f>
      </c>
      <c r="AA447" s="116" t="s">
        <v>1357</v>
      </c>
      <c r="AB447" s="116" t="s">
        <v>120</v>
      </c>
      <c r="AC447" s="116" t="n">
        <v>6.0</v>
      </c>
      <c r="AD447" s="116" t="s">
        <v>121</v>
      </c>
      <c r="AE447" s="117" t="s">
        <v>112</v>
      </c>
      <c r="AF447" s="114" t="s">
        <v>1663</v>
      </c>
      <c r="AG447" s="114" t="s">
        <v>22</v>
      </c>
      <c r="AH447" s="114" t="s">
        <v>22</v>
      </c>
      <c r="AI447" s="114" t="s">
        <v>22</v>
      </c>
      <c r="AJ447" s="114" t="s">
        <v>22</v>
      </c>
    </row>
    <row r="448" ht="50.0" customHeight="true">
      <c r="A448" s="114" t="s">
        <v>2615</v>
      </c>
      <c r="B448" s="114" t="s">
        <v>2616</v>
      </c>
      <c r="C448" s="114" t="s">
        <v>2617</v>
      </c>
      <c r="D448" s="114"/>
      <c r="E448" s="115" t="s">
        <v>2618</v>
      </c>
      <c r="F448" s="115" t="s">
        <v>2270</v>
      </c>
      <c r="G448" s="114" t="s">
        <v>2270</v>
      </c>
      <c r="H448" s="116" t="n">
        <v>10.0</v>
      </c>
      <c r="I448" s="116" t="n">
        <v>43425.0</v>
      </c>
      <c r="J448" s="116" t="s">
        <v>103</v>
      </c>
      <c r="K448" s="116"/>
      <c r="L448" s="116"/>
      <c r="M448" s="116"/>
      <c r="N448" s="116"/>
      <c r="O448" s="116"/>
      <c r="P448" s="116"/>
      <c r="Q448" s="116"/>
      <c r="R448" s="116"/>
      <c r="S448" s="116"/>
      <c r="T448" s="116"/>
      <c r="U448" s="116" t="s">
        <v>104</v>
      </c>
      <c r="V448" s="118" t="s">
        <v>2619</v>
      </c>
      <c r="W448" s="116" t="s">
        <v>771</v>
      </c>
      <c r="X448" s="116" t="s">
        <v>143</v>
      </c>
      <c r="Y448" s="116" t="s">
        <v>108</v>
      </c>
      <c r="Z448" s="114">
        <f>IF(INDIRECT("Y448")="Clássico","12%",IF(INDIRECT("Y448")="Premium","17%","-"))</f>
      </c>
      <c r="AA448" s="116" t="s">
        <v>1357</v>
      </c>
      <c r="AB448" s="116" t="s">
        <v>120</v>
      </c>
      <c r="AC448" s="116" t="n">
        <v>6.0</v>
      </c>
      <c r="AD448" s="116" t="s">
        <v>121</v>
      </c>
      <c r="AE448" s="117" t="s">
        <v>958</v>
      </c>
      <c r="AF448" s="114" t="s">
        <v>1663</v>
      </c>
      <c r="AG448" s="114" t="s">
        <v>22</v>
      </c>
      <c r="AH448" s="114" t="s">
        <v>22</v>
      </c>
      <c r="AI448" s="114" t="s">
        <v>22</v>
      </c>
      <c r="AJ448" s="114" t="s">
        <v>22</v>
      </c>
    </row>
    <row r="449" ht="50.0" customHeight="true">
      <c r="A449" s="114" t="s">
        <v>2620</v>
      </c>
      <c r="B449" s="114" t="s">
        <v>2621</v>
      </c>
      <c r="C449" s="114" t="s">
        <v>2622</v>
      </c>
      <c r="D449" s="114"/>
      <c r="E449" s="115" t="s">
        <v>2623</v>
      </c>
      <c r="F449" s="115" t="s">
        <v>2624</v>
      </c>
      <c r="G449" s="114" t="s">
        <v>2625</v>
      </c>
      <c r="H449" s="116" t="n">
        <v>10.0</v>
      </c>
      <c r="I449" s="116" t="n">
        <v>43608.4</v>
      </c>
      <c r="J449" s="116" t="s">
        <v>103</v>
      </c>
      <c r="K449" s="116"/>
      <c r="L449" s="116"/>
      <c r="M449" s="116"/>
      <c r="N449" s="116"/>
      <c r="O449" s="116"/>
      <c r="P449" s="116"/>
      <c r="Q449" s="116"/>
      <c r="R449" s="116"/>
      <c r="S449" s="116"/>
      <c r="T449" s="116"/>
      <c r="U449" s="116" t="s">
        <v>104</v>
      </c>
      <c r="V449" s="118" t="s">
        <v>2626</v>
      </c>
      <c r="W449" s="116" t="s">
        <v>771</v>
      </c>
      <c r="X449" s="116" t="s">
        <v>107</v>
      </c>
      <c r="Y449" s="116" t="s">
        <v>108</v>
      </c>
      <c r="Z449" s="114">
        <f>IF(INDIRECT("Y449")="Clássico","12%",IF(INDIRECT("Y449")="Premium","17%","-"))</f>
      </c>
      <c r="AA449" s="116" t="s">
        <v>1357</v>
      </c>
      <c r="AB449" s="116" t="s">
        <v>120</v>
      </c>
      <c r="AC449" s="116" t="n">
        <v>6.0</v>
      </c>
      <c r="AD449" s="116" t="s">
        <v>121</v>
      </c>
      <c r="AE449" s="117" t="s">
        <v>958</v>
      </c>
      <c r="AF449" s="114" t="s">
        <v>1663</v>
      </c>
      <c r="AG449" s="114" t="s">
        <v>22</v>
      </c>
      <c r="AH449" s="114" t="s">
        <v>22</v>
      </c>
      <c r="AI449" s="114" t="s">
        <v>22</v>
      </c>
      <c r="AJ449" s="114" t="s">
        <v>22</v>
      </c>
    </row>
    <row r="450" ht="50.0" customHeight="true">
      <c r="A450" s="114" t="s">
        <v>2627</v>
      </c>
      <c r="B450" s="114" t="s">
        <v>2628</v>
      </c>
      <c r="C450" s="114" t="s">
        <v>2629</v>
      </c>
      <c r="D450" s="114"/>
      <c r="E450" s="115" t="s">
        <v>2630</v>
      </c>
      <c r="F450" s="115" t="s">
        <v>2631</v>
      </c>
      <c r="G450" s="114" t="s">
        <v>2631</v>
      </c>
      <c r="H450" s="116" t="n">
        <v>10.0</v>
      </c>
      <c r="I450" s="116" t="n">
        <v>57375.0</v>
      </c>
      <c r="J450" s="116" t="s">
        <v>103</v>
      </c>
      <c r="K450" s="116"/>
      <c r="L450" s="116"/>
      <c r="M450" s="116"/>
      <c r="N450" s="116"/>
      <c r="O450" s="116"/>
      <c r="P450" s="116"/>
      <c r="Q450" s="116"/>
      <c r="R450" s="116"/>
      <c r="S450" s="116"/>
      <c r="T450" s="116"/>
      <c r="U450" s="116" t="s">
        <v>104</v>
      </c>
      <c r="V450" s="118" t="s">
        <v>2632</v>
      </c>
      <c r="W450" s="116" t="s">
        <v>771</v>
      </c>
      <c r="X450" s="116" t="s">
        <v>107</v>
      </c>
      <c r="Y450" s="116" t="s">
        <v>108</v>
      </c>
      <c r="Z450" s="114">
        <f>IF(INDIRECT("Y450")="Clássico","12%",IF(INDIRECT("Y450")="Premium","17%","-"))</f>
      </c>
      <c r="AA450" s="116" t="s">
        <v>1357</v>
      </c>
      <c r="AB450" s="116" t="s">
        <v>120</v>
      </c>
      <c r="AC450" s="116" t="n">
        <v>6.0</v>
      </c>
      <c r="AD450" s="116" t="s">
        <v>121</v>
      </c>
      <c r="AE450" s="117" t="s">
        <v>958</v>
      </c>
      <c r="AF450" s="114" t="s">
        <v>1663</v>
      </c>
      <c r="AG450" s="114" t="s">
        <v>22</v>
      </c>
      <c r="AH450" s="114" t="s">
        <v>22</v>
      </c>
      <c r="AI450" s="114" t="s">
        <v>22</v>
      </c>
      <c r="AJ450" s="114" t="s">
        <v>22</v>
      </c>
    </row>
    <row r="451" ht="50.0" customHeight="true">
      <c r="A451" s="114" t="s">
        <v>2633</v>
      </c>
      <c r="B451" s="114" t="s">
        <v>2634</v>
      </c>
      <c r="C451" s="114" t="s">
        <v>2635</v>
      </c>
      <c r="D451" s="114"/>
      <c r="E451" s="115" t="s">
        <v>2636</v>
      </c>
      <c r="F451" s="115" t="s">
        <v>2637</v>
      </c>
      <c r="G451" s="114" t="s">
        <v>2637</v>
      </c>
      <c r="H451" s="116" t="n">
        <v>10.0</v>
      </c>
      <c r="I451" s="116" t="n">
        <v>46537.5</v>
      </c>
      <c r="J451" s="116" t="s">
        <v>103</v>
      </c>
      <c r="K451" s="116"/>
      <c r="L451" s="116"/>
      <c r="M451" s="116"/>
      <c r="N451" s="116"/>
      <c r="O451" s="116"/>
      <c r="P451" s="116"/>
      <c r="Q451" s="116"/>
      <c r="R451" s="116"/>
      <c r="S451" s="116"/>
      <c r="T451" s="116"/>
      <c r="U451" s="116" t="s">
        <v>104</v>
      </c>
      <c r="V451" s="118" t="s">
        <v>2638</v>
      </c>
      <c r="W451" s="116" t="s">
        <v>771</v>
      </c>
      <c r="X451" s="116" t="s">
        <v>107</v>
      </c>
      <c r="Y451" s="116" t="s">
        <v>108</v>
      </c>
      <c r="Z451" s="114">
        <f>IF(INDIRECT("Y451")="Clássico","12%",IF(INDIRECT("Y451")="Premium","17%","-"))</f>
      </c>
      <c r="AA451" s="116" t="s">
        <v>1357</v>
      </c>
      <c r="AB451" s="116" t="s">
        <v>120</v>
      </c>
      <c r="AC451" s="116" t="n">
        <v>6.0</v>
      </c>
      <c r="AD451" s="116" t="s">
        <v>121</v>
      </c>
      <c r="AE451" s="117" t="s">
        <v>958</v>
      </c>
      <c r="AF451" s="114" t="s">
        <v>1663</v>
      </c>
      <c r="AG451" s="114" t="s">
        <v>22</v>
      </c>
      <c r="AH451" s="114" t="s">
        <v>22</v>
      </c>
      <c r="AI451" s="114" t="s">
        <v>22</v>
      </c>
      <c r="AJ451" s="114" t="s">
        <v>22</v>
      </c>
    </row>
    <row r="452" ht="50.0" customHeight="true">
      <c r="A452" s="114" t="s">
        <v>2627</v>
      </c>
      <c r="B452" s="114" t="s">
        <v>2639</v>
      </c>
      <c r="C452" s="114" t="s">
        <v>2640</v>
      </c>
      <c r="D452" s="114"/>
      <c r="E452" s="115" t="s">
        <v>2641</v>
      </c>
      <c r="F452" s="115" t="s">
        <v>2631</v>
      </c>
      <c r="G452" s="114" t="s">
        <v>2631</v>
      </c>
      <c r="H452" s="116" t="n">
        <v>10.0</v>
      </c>
      <c r="I452" s="116" t="n">
        <v>72675.0</v>
      </c>
      <c r="J452" s="116" t="s">
        <v>103</v>
      </c>
      <c r="K452" s="116"/>
      <c r="L452" s="116"/>
      <c r="M452" s="116"/>
      <c r="N452" s="116"/>
      <c r="O452" s="116"/>
      <c r="P452" s="116"/>
      <c r="Q452" s="116"/>
      <c r="R452" s="116"/>
      <c r="S452" s="116"/>
      <c r="T452" s="116"/>
      <c r="U452" s="116" t="s">
        <v>104</v>
      </c>
      <c r="V452" s="118" t="s">
        <v>2642</v>
      </c>
      <c r="W452" s="116" t="s">
        <v>771</v>
      </c>
      <c r="X452" s="116" t="s">
        <v>107</v>
      </c>
      <c r="Y452" s="116" t="s">
        <v>108</v>
      </c>
      <c r="Z452" s="114">
        <f>IF(INDIRECT("Y452")="Clássico","12%",IF(INDIRECT("Y452")="Premium","17%","-"))</f>
      </c>
      <c r="AA452" s="116" t="s">
        <v>1357</v>
      </c>
      <c r="AB452" s="116" t="s">
        <v>120</v>
      </c>
      <c r="AC452" s="116" t="n">
        <v>6.0</v>
      </c>
      <c r="AD452" s="116" t="s">
        <v>121</v>
      </c>
      <c r="AE452" s="117" t="s">
        <v>958</v>
      </c>
      <c r="AF452" s="114" t="s">
        <v>1663</v>
      </c>
      <c r="AG452" s="114" t="s">
        <v>22</v>
      </c>
      <c r="AH452" s="114" t="s">
        <v>22</v>
      </c>
      <c r="AI452" s="114" t="s">
        <v>22</v>
      </c>
      <c r="AJ452" s="114" t="s">
        <v>22</v>
      </c>
    </row>
    <row r="453" ht="50.0" customHeight="true">
      <c r="A453" s="114" t="s">
        <v>2643</v>
      </c>
      <c r="B453" s="114" t="s">
        <v>2644</v>
      </c>
      <c r="C453" s="114" t="s">
        <v>2645</v>
      </c>
      <c r="D453" s="114"/>
      <c r="E453" s="115" t="s">
        <v>2646</v>
      </c>
      <c r="F453" s="115" t="s">
        <v>2647</v>
      </c>
      <c r="G453" s="114" t="s">
        <v>2647</v>
      </c>
      <c r="H453" s="116" t="n">
        <v>10.0</v>
      </c>
      <c r="I453" s="116" t="n">
        <v>51000.0</v>
      </c>
      <c r="J453" s="116" t="s">
        <v>103</v>
      </c>
      <c r="K453" s="116"/>
      <c r="L453" s="116"/>
      <c r="M453" s="116"/>
      <c r="N453" s="116"/>
      <c r="O453" s="116"/>
      <c r="P453" s="116"/>
      <c r="Q453" s="116"/>
      <c r="R453" s="116"/>
      <c r="S453" s="116"/>
      <c r="T453" s="116"/>
      <c r="U453" s="116" t="s">
        <v>104</v>
      </c>
      <c r="V453" s="118" t="s">
        <v>2648</v>
      </c>
      <c r="W453" s="116" t="s">
        <v>771</v>
      </c>
      <c r="X453" s="116" t="s">
        <v>107</v>
      </c>
      <c r="Y453" s="116" t="s">
        <v>108</v>
      </c>
      <c r="Z453" s="114">
        <f>IF(INDIRECT("Y453")="Clássico","12%",IF(INDIRECT("Y453")="Premium","17%","-"))</f>
      </c>
      <c r="AA453" s="116" t="s">
        <v>1357</v>
      </c>
      <c r="AB453" s="116" t="s">
        <v>120</v>
      </c>
      <c r="AC453" s="116" t="n">
        <v>6.0</v>
      </c>
      <c r="AD453" s="116" t="s">
        <v>121</v>
      </c>
      <c r="AE453" s="117" t="s">
        <v>958</v>
      </c>
      <c r="AF453" s="114" t="s">
        <v>1663</v>
      </c>
      <c r="AG453" s="114" t="s">
        <v>22</v>
      </c>
      <c r="AH453" s="114" t="s">
        <v>22</v>
      </c>
      <c r="AI453" s="114" t="s">
        <v>22</v>
      </c>
      <c r="AJ453" s="114" t="s">
        <v>22</v>
      </c>
    </row>
    <row r="454" ht="50.0" customHeight="true">
      <c r="A454" s="114" t="s">
        <v>2627</v>
      </c>
      <c r="B454" s="114" t="s">
        <v>2649</v>
      </c>
      <c r="C454" s="114" t="s">
        <v>2650</v>
      </c>
      <c r="D454" s="114"/>
      <c r="E454" s="115" t="s">
        <v>2651</v>
      </c>
      <c r="F454" s="115" t="s">
        <v>2631</v>
      </c>
      <c r="G454" s="114" t="s">
        <v>2631</v>
      </c>
      <c r="H454" s="116" t="n">
        <v>10.0</v>
      </c>
      <c r="I454" s="116" t="n">
        <v>49597.5</v>
      </c>
      <c r="J454" s="116" t="s">
        <v>103</v>
      </c>
      <c r="K454" s="116"/>
      <c r="L454" s="116"/>
      <c r="M454" s="116"/>
      <c r="N454" s="116"/>
      <c r="O454" s="116"/>
      <c r="P454" s="116"/>
      <c r="Q454" s="116"/>
      <c r="R454" s="116"/>
      <c r="S454" s="116"/>
      <c r="T454" s="116"/>
      <c r="U454" s="116" t="s">
        <v>104</v>
      </c>
      <c r="V454" s="118" t="s">
        <v>2652</v>
      </c>
      <c r="W454" s="116" t="s">
        <v>771</v>
      </c>
      <c r="X454" s="116" t="s">
        <v>107</v>
      </c>
      <c r="Y454" s="116" t="s">
        <v>108</v>
      </c>
      <c r="Z454" s="114">
        <f>IF(INDIRECT("Y454")="Clássico","12%",IF(INDIRECT("Y454")="Premium","17%","-"))</f>
      </c>
      <c r="AA454" s="116" t="s">
        <v>1357</v>
      </c>
      <c r="AB454" s="116" t="s">
        <v>120</v>
      </c>
      <c r="AC454" s="116" t="n">
        <v>6.0</v>
      </c>
      <c r="AD454" s="116" t="s">
        <v>121</v>
      </c>
      <c r="AE454" s="117" t="s">
        <v>958</v>
      </c>
      <c r="AF454" s="114" t="s">
        <v>1663</v>
      </c>
      <c r="AG454" s="114" t="s">
        <v>22</v>
      </c>
      <c r="AH454" s="114" t="s">
        <v>22</v>
      </c>
      <c r="AI454" s="114" t="s">
        <v>22</v>
      </c>
      <c r="AJ454" s="114" t="s">
        <v>22</v>
      </c>
    </row>
    <row r="455" ht="50.0" customHeight="true">
      <c r="A455" s="114" t="s">
        <v>2653</v>
      </c>
      <c r="B455" s="114" t="s">
        <v>2654</v>
      </c>
      <c r="C455" s="114" t="s">
        <v>2655</v>
      </c>
      <c r="D455" s="114"/>
      <c r="E455" s="115" t="s">
        <v>2656</v>
      </c>
      <c r="F455" s="115" t="s">
        <v>2657</v>
      </c>
      <c r="G455" s="114" t="s">
        <v>2657</v>
      </c>
      <c r="H455" s="116" t="n">
        <v>10.0</v>
      </c>
      <c r="I455" s="116" t="n">
        <v>22312.5</v>
      </c>
      <c r="J455" s="116" t="s">
        <v>103</v>
      </c>
      <c r="K455" s="116"/>
      <c r="L455" s="116"/>
      <c r="M455" s="116"/>
      <c r="N455" s="116"/>
      <c r="O455" s="116"/>
      <c r="P455" s="116"/>
      <c r="Q455" s="116"/>
      <c r="R455" s="116"/>
      <c r="S455" s="116"/>
      <c r="T455" s="116"/>
      <c r="U455" s="116" t="s">
        <v>104</v>
      </c>
      <c r="V455" s="118" t="s">
        <v>2658</v>
      </c>
      <c r="W455" s="116" t="s">
        <v>771</v>
      </c>
      <c r="X455" s="116" t="s">
        <v>107</v>
      </c>
      <c r="Y455" s="116" t="s">
        <v>108</v>
      </c>
      <c r="Z455" s="114">
        <f>IF(INDIRECT("Y455")="Clássico","12%",IF(INDIRECT("Y455")="Premium","17%","-"))</f>
      </c>
      <c r="AA455" s="116" t="s">
        <v>1357</v>
      </c>
      <c r="AB455" s="116" t="s">
        <v>120</v>
      </c>
      <c r="AC455" s="116" t="n">
        <v>6.0</v>
      </c>
      <c r="AD455" s="116" t="s">
        <v>121</v>
      </c>
      <c r="AE455" s="117" t="s">
        <v>958</v>
      </c>
      <c r="AF455" s="114" t="s">
        <v>1663</v>
      </c>
      <c r="AG455" s="114" t="s">
        <v>22</v>
      </c>
      <c r="AH455" s="114" t="s">
        <v>22</v>
      </c>
      <c r="AI455" s="114" t="s">
        <v>22</v>
      </c>
      <c r="AJ455" s="114" t="s">
        <v>22</v>
      </c>
    </row>
    <row r="456" ht="50.0" customHeight="true">
      <c r="A456" s="114" t="s">
        <v>2659</v>
      </c>
      <c r="B456" s="114" t="s">
        <v>2660</v>
      </c>
      <c r="C456" s="114" t="s">
        <v>2661</v>
      </c>
      <c r="D456" s="114"/>
      <c r="E456" s="115" t="s">
        <v>2662</v>
      </c>
      <c r="F456" s="115" t="s">
        <v>2663</v>
      </c>
      <c r="G456" s="114" t="s">
        <v>2663</v>
      </c>
      <c r="H456" s="116" t="n">
        <v>10.0</v>
      </c>
      <c r="I456" s="116" t="n">
        <v>49130.0</v>
      </c>
      <c r="J456" s="116" t="s">
        <v>103</v>
      </c>
      <c r="K456" s="116"/>
      <c r="L456" s="116"/>
      <c r="M456" s="116"/>
      <c r="N456" s="116"/>
      <c r="O456" s="116"/>
      <c r="P456" s="116"/>
      <c r="Q456" s="116"/>
      <c r="R456" s="116"/>
      <c r="S456" s="116"/>
      <c r="T456" s="116"/>
      <c r="U456" s="116" t="s">
        <v>104</v>
      </c>
      <c r="V456" s="118" t="s">
        <v>2664</v>
      </c>
      <c r="W456" s="116" t="s">
        <v>771</v>
      </c>
      <c r="X456" s="116" t="s">
        <v>107</v>
      </c>
      <c r="Y456" s="116" t="s">
        <v>108</v>
      </c>
      <c r="Z456" s="114">
        <f>IF(INDIRECT("Y456")="Clássico","12%",IF(INDIRECT("Y456")="Premium","17%","-"))</f>
      </c>
      <c r="AA456" s="116" t="s">
        <v>1357</v>
      </c>
      <c r="AB456" s="116" t="s">
        <v>120</v>
      </c>
      <c r="AC456" s="116" t="n">
        <v>6.0</v>
      </c>
      <c r="AD456" s="116" t="s">
        <v>121</v>
      </c>
      <c r="AE456" s="117" t="s">
        <v>112</v>
      </c>
      <c r="AF456" s="114" t="s">
        <v>1663</v>
      </c>
      <c r="AG456" s="114" t="s">
        <v>22</v>
      </c>
      <c r="AH456" s="114" t="s">
        <v>22</v>
      </c>
      <c r="AI456" s="114" t="s">
        <v>22</v>
      </c>
      <c r="AJ456" s="114" t="s">
        <v>22</v>
      </c>
    </row>
    <row r="457" ht="50.0" customHeight="true">
      <c r="A457" s="114" t="s">
        <v>2665</v>
      </c>
      <c r="B457" s="114" t="s">
        <v>2666</v>
      </c>
      <c r="C457" s="114" t="s">
        <v>2667</v>
      </c>
      <c r="D457" s="114"/>
      <c r="E457" s="115"/>
      <c r="F457" s="115" t="s">
        <v>2668</v>
      </c>
      <c r="G457" s="114" t="s">
        <v>2668</v>
      </c>
      <c r="H457" s="116" t="n">
        <v>10.0</v>
      </c>
      <c r="I457" s="116" t="n">
        <v>83130.0</v>
      </c>
      <c r="J457" s="116" t="s">
        <v>103</v>
      </c>
      <c r="K457" s="116"/>
      <c r="L457" s="116"/>
      <c r="M457" s="116"/>
      <c r="N457" s="116"/>
      <c r="O457" s="116"/>
      <c r="P457" s="116"/>
      <c r="Q457" s="116"/>
      <c r="R457" s="116"/>
      <c r="S457" s="116"/>
      <c r="T457" s="116"/>
      <c r="U457" s="116" t="s">
        <v>104</v>
      </c>
      <c r="V457" s="118" t="s">
        <v>2664</v>
      </c>
      <c r="W457" s="116" t="s">
        <v>771</v>
      </c>
      <c r="X457" s="116" t="s">
        <v>107</v>
      </c>
      <c r="Y457" s="116" t="s">
        <v>108</v>
      </c>
      <c r="Z457" s="114">
        <f>IF(INDIRECT("Y457")="Clássico","12%",IF(INDIRECT("Y457")="Premium","17%","-"))</f>
      </c>
      <c r="AA457" s="116" t="s">
        <v>1357</v>
      </c>
      <c r="AB457" s="116" t="s">
        <v>120</v>
      </c>
      <c r="AC457" s="116" t="n">
        <v>6.0</v>
      </c>
      <c r="AD457" s="116" t="s">
        <v>121</v>
      </c>
      <c r="AE457" s="117" t="s">
        <v>112</v>
      </c>
      <c r="AF457" s="114" t="s">
        <v>1663</v>
      </c>
      <c r="AG457" s="114" t="s">
        <v>22</v>
      </c>
      <c r="AH457" s="114" t="s">
        <v>22</v>
      </c>
      <c r="AI457" s="114" t="s">
        <v>22</v>
      </c>
      <c r="AJ457" s="114" t="s">
        <v>22</v>
      </c>
    </row>
    <row r="458" ht="50.0" customHeight="true">
      <c r="A458" s="114" t="s">
        <v>2669</v>
      </c>
      <c r="B458" s="114" t="s">
        <v>2670</v>
      </c>
      <c r="C458" s="114" t="s">
        <v>2671</v>
      </c>
      <c r="D458" s="114"/>
      <c r="E458" s="115" t="s">
        <v>2672</v>
      </c>
      <c r="F458" s="115" t="s">
        <v>2673</v>
      </c>
      <c r="G458" s="114" t="s">
        <v>2673</v>
      </c>
      <c r="H458" s="116" t="n">
        <v>10.0</v>
      </c>
      <c r="I458" s="116" t="n">
        <v>57120.0</v>
      </c>
      <c r="J458" s="116" t="s">
        <v>103</v>
      </c>
      <c r="K458" s="116"/>
      <c r="L458" s="116"/>
      <c r="M458" s="116"/>
      <c r="N458" s="116"/>
      <c r="O458" s="116"/>
      <c r="P458" s="116"/>
      <c r="Q458" s="116"/>
      <c r="R458" s="116"/>
      <c r="S458" s="116"/>
      <c r="T458" s="116"/>
      <c r="U458" s="116" t="s">
        <v>104</v>
      </c>
      <c r="V458" s="118" t="s">
        <v>2674</v>
      </c>
      <c r="W458" s="116" t="s">
        <v>771</v>
      </c>
      <c r="X458" s="116" t="s">
        <v>107</v>
      </c>
      <c r="Y458" s="116" t="s">
        <v>108</v>
      </c>
      <c r="Z458" s="114">
        <f>IF(INDIRECT("Y458")="Clássico","12%",IF(INDIRECT("Y458")="Premium","17%","-"))</f>
      </c>
      <c r="AA458" s="116" t="s">
        <v>1357</v>
      </c>
      <c r="AB458" s="116" t="s">
        <v>120</v>
      </c>
      <c r="AC458" s="116" t="n">
        <v>6.0</v>
      </c>
      <c r="AD458" s="116" t="s">
        <v>121</v>
      </c>
      <c r="AE458" s="117" t="s">
        <v>112</v>
      </c>
      <c r="AF458" s="114" t="s">
        <v>1663</v>
      </c>
      <c r="AG458" s="114" t="s">
        <v>22</v>
      </c>
      <c r="AH458" s="114" t="s">
        <v>22</v>
      </c>
      <c r="AI458" s="114" t="s">
        <v>22</v>
      </c>
      <c r="AJ458" s="114" t="s">
        <v>22</v>
      </c>
    </row>
    <row r="459" ht="50.0" customHeight="true">
      <c r="A459" s="114" t="s">
        <v>2675</v>
      </c>
      <c r="B459" s="114" t="s">
        <v>2676</v>
      </c>
      <c r="C459" s="114" t="s">
        <v>2677</v>
      </c>
      <c r="D459" s="114"/>
      <c r="E459" s="115" t="s">
        <v>2678</v>
      </c>
      <c r="F459" s="115" t="s">
        <v>2679</v>
      </c>
      <c r="G459" s="114" t="s">
        <v>2679</v>
      </c>
      <c r="H459" s="116" t="n">
        <v>10.0</v>
      </c>
      <c r="I459" s="116" t="n">
        <v>91120.0</v>
      </c>
      <c r="J459" s="116" t="s">
        <v>103</v>
      </c>
      <c r="K459" s="116"/>
      <c r="L459" s="116"/>
      <c r="M459" s="116"/>
      <c r="N459" s="116"/>
      <c r="O459" s="116"/>
      <c r="P459" s="116"/>
      <c r="Q459" s="116"/>
      <c r="R459" s="116"/>
      <c r="S459" s="116"/>
      <c r="T459" s="116"/>
      <c r="U459" s="116" t="s">
        <v>104</v>
      </c>
      <c r="V459" s="118" t="s">
        <v>2674</v>
      </c>
      <c r="W459" s="116" t="s">
        <v>771</v>
      </c>
      <c r="X459" s="116" t="s">
        <v>107</v>
      </c>
      <c r="Y459" s="116" t="s">
        <v>108</v>
      </c>
      <c r="Z459" s="114">
        <f>IF(INDIRECT("Y459")="Clássico","12%",IF(INDIRECT("Y459")="Premium","17%","-"))</f>
      </c>
      <c r="AA459" s="116" t="s">
        <v>1357</v>
      </c>
      <c r="AB459" s="116" t="s">
        <v>120</v>
      </c>
      <c r="AC459" s="116" t="n">
        <v>6.0</v>
      </c>
      <c r="AD459" s="116" t="s">
        <v>121</v>
      </c>
      <c r="AE459" s="117" t="s">
        <v>112</v>
      </c>
      <c r="AF459" s="114" t="s">
        <v>1663</v>
      </c>
      <c r="AG459" s="114" t="s">
        <v>22</v>
      </c>
      <c r="AH459" s="114" t="s">
        <v>22</v>
      </c>
      <c r="AI459" s="114" t="s">
        <v>22</v>
      </c>
      <c r="AJ459" s="114" t="s">
        <v>22</v>
      </c>
    </row>
    <row r="460" ht="50.0" customHeight="true">
      <c r="A460" s="114" t="s">
        <v>2680</v>
      </c>
      <c r="B460" s="114" t="s">
        <v>2681</v>
      </c>
      <c r="C460" s="114" t="s">
        <v>2682</v>
      </c>
      <c r="D460" s="114"/>
      <c r="E460" s="115" t="s">
        <v>2683</v>
      </c>
      <c r="F460" s="115" t="s">
        <v>2684</v>
      </c>
      <c r="G460" s="114" t="s">
        <v>2684</v>
      </c>
      <c r="H460" s="116" t="n">
        <v>10.0</v>
      </c>
      <c r="I460" s="116" t="n">
        <v>93670.0</v>
      </c>
      <c r="J460" s="116" t="s">
        <v>103</v>
      </c>
      <c r="K460" s="116"/>
      <c r="L460" s="116"/>
      <c r="M460" s="116"/>
      <c r="N460" s="116"/>
      <c r="O460" s="116"/>
      <c r="P460" s="116"/>
      <c r="Q460" s="116"/>
      <c r="R460" s="116"/>
      <c r="S460" s="116"/>
      <c r="T460" s="116"/>
      <c r="U460" s="116" t="s">
        <v>104</v>
      </c>
      <c r="V460" s="118" t="s">
        <v>2685</v>
      </c>
      <c r="W460" s="116" t="s">
        <v>771</v>
      </c>
      <c r="X460" s="116" t="s">
        <v>107</v>
      </c>
      <c r="Y460" s="116" t="s">
        <v>108</v>
      </c>
      <c r="Z460" s="114">
        <f>IF(INDIRECT("Y460")="Clássico","12%",IF(INDIRECT("Y460")="Premium","17%","-"))</f>
      </c>
      <c r="AA460" s="116" t="s">
        <v>1357</v>
      </c>
      <c r="AB460" s="116" t="s">
        <v>120</v>
      </c>
      <c r="AC460" s="116" t="n">
        <v>6.0</v>
      </c>
      <c r="AD460" s="116" t="s">
        <v>121</v>
      </c>
      <c r="AE460" s="117" t="s">
        <v>112</v>
      </c>
      <c r="AF460" s="114" t="s">
        <v>1663</v>
      </c>
      <c r="AG460" s="114" t="s">
        <v>22</v>
      </c>
      <c r="AH460" s="114" t="s">
        <v>22</v>
      </c>
      <c r="AI460" s="114" t="s">
        <v>22</v>
      </c>
      <c r="AJ460" s="114" t="s">
        <v>22</v>
      </c>
    </row>
    <row r="461" ht="50.0" customHeight="true">
      <c r="A461" s="114" t="s">
        <v>2686</v>
      </c>
      <c r="B461" s="114" t="s">
        <v>2687</v>
      </c>
      <c r="C461" s="114" t="s">
        <v>2688</v>
      </c>
      <c r="D461" s="114"/>
      <c r="E461" s="115" t="s">
        <v>2689</v>
      </c>
      <c r="F461" s="115" t="s">
        <v>2690</v>
      </c>
      <c r="G461" s="114" t="s">
        <v>2690</v>
      </c>
      <c r="H461" s="116" t="n">
        <v>10.0</v>
      </c>
      <c r="I461" s="116" t="n">
        <v>112370.0</v>
      </c>
      <c r="J461" s="116" t="s">
        <v>103</v>
      </c>
      <c r="K461" s="116"/>
      <c r="L461" s="116"/>
      <c r="M461" s="116"/>
      <c r="N461" s="116"/>
      <c r="O461" s="116"/>
      <c r="P461" s="116"/>
      <c r="Q461" s="116"/>
      <c r="R461" s="116"/>
      <c r="S461" s="116"/>
      <c r="T461" s="116"/>
      <c r="U461" s="116" t="s">
        <v>104</v>
      </c>
      <c r="V461" s="118" t="s">
        <v>2691</v>
      </c>
      <c r="W461" s="116" t="s">
        <v>771</v>
      </c>
      <c r="X461" s="116" t="s">
        <v>107</v>
      </c>
      <c r="Y461" s="116" t="s">
        <v>108</v>
      </c>
      <c r="Z461" s="114">
        <f>IF(INDIRECT("Y461")="Clássico","12%",IF(INDIRECT("Y461")="Premium","17%","-"))</f>
      </c>
      <c r="AA461" s="116" t="s">
        <v>1357</v>
      </c>
      <c r="AB461" s="116" t="s">
        <v>120</v>
      </c>
      <c r="AC461" s="116" t="n">
        <v>6.0</v>
      </c>
      <c r="AD461" s="116" t="s">
        <v>121</v>
      </c>
      <c r="AE461" s="117" t="s">
        <v>112</v>
      </c>
      <c r="AF461" s="114" t="s">
        <v>1663</v>
      </c>
      <c r="AG461" s="114" t="s">
        <v>22</v>
      </c>
      <c r="AH461" s="114" t="s">
        <v>22</v>
      </c>
      <c r="AI461" s="114" t="s">
        <v>22</v>
      </c>
      <c r="AJ461" s="114" t="s">
        <v>22</v>
      </c>
    </row>
    <row r="462" ht="50.0" customHeight="true">
      <c r="A462" s="114" t="s">
        <v>2692</v>
      </c>
      <c r="B462" s="114" t="s">
        <v>2693</v>
      </c>
      <c r="C462" s="114" t="s">
        <v>2694</v>
      </c>
      <c r="D462" s="114"/>
      <c r="E462" s="115" t="s">
        <v>2695</v>
      </c>
      <c r="F462" s="115" t="s">
        <v>2696</v>
      </c>
      <c r="G462" s="114" t="s">
        <v>2696</v>
      </c>
      <c r="H462" s="116" t="n">
        <v>10.0</v>
      </c>
      <c r="I462" s="116" t="n">
        <v>114070.0</v>
      </c>
      <c r="J462" s="116" t="s">
        <v>103</v>
      </c>
      <c r="K462" s="116"/>
      <c r="L462" s="116"/>
      <c r="M462" s="116"/>
      <c r="N462" s="116"/>
      <c r="O462" s="116"/>
      <c r="P462" s="116"/>
      <c r="Q462" s="116"/>
      <c r="R462" s="116"/>
      <c r="S462" s="116"/>
      <c r="T462" s="116"/>
      <c r="U462" s="116" t="s">
        <v>104</v>
      </c>
      <c r="V462" s="118" t="s">
        <v>2697</v>
      </c>
      <c r="W462" s="116" t="s">
        <v>771</v>
      </c>
      <c r="X462" s="116" t="s">
        <v>107</v>
      </c>
      <c r="Y462" s="116" t="s">
        <v>108</v>
      </c>
      <c r="Z462" s="114">
        <f>IF(INDIRECT("Y462")="Clássico","12%",IF(INDIRECT("Y462")="Premium","17%","-"))</f>
      </c>
      <c r="AA462" s="116" t="s">
        <v>1357</v>
      </c>
      <c r="AB462" s="116" t="s">
        <v>120</v>
      </c>
      <c r="AC462" s="116" t="n">
        <v>6.0</v>
      </c>
      <c r="AD462" s="116" t="s">
        <v>121</v>
      </c>
      <c r="AE462" s="117" t="s">
        <v>112</v>
      </c>
      <c r="AF462" s="114" t="s">
        <v>1663</v>
      </c>
      <c r="AG462" s="114" t="s">
        <v>22</v>
      </c>
      <c r="AH462" s="114" t="s">
        <v>22</v>
      </c>
      <c r="AI462" s="114" t="s">
        <v>22</v>
      </c>
      <c r="AJ462" s="114" t="s">
        <v>22</v>
      </c>
    </row>
    <row r="463" ht="50.0" customHeight="true">
      <c r="A463" s="114" t="s">
        <v>2698</v>
      </c>
      <c r="B463" s="114" t="s">
        <v>2699</v>
      </c>
      <c r="C463" s="114" t="s">
        <v>2700</v>
      </c>
      <c r="D463" s="114"/>
      <c r="E463" s="115" t="s">
        <v>2701</v>
      </c>
      <c r="F463" s="115" t="s">
        <v>2702</v>
      </c>
      <c r="G463" s="114" t="s">
        <v>2702</v>
      </c>
      <c r="H463" s="116" t="n">
        <v>10.0</v>
      </c>
      <c r="I463" s="116" t="n">
        <v>117810.0</v>
      </c>
      <c r="J463" s="116" t="s">
        <v>103</v>
      </c>
      <c r="K463" s="116"/>
      <c r="L463" s="116"/>
      <c r="M463" s="116"/>
      <c r="N463" s="116"/>
      <c r="O463" s="116"/>
      <c r="P463" s="116"/>
      <c r="Q463" s="116"/>
      <c r="R463" s="116"/>
      <c r="S463" s="116"/>
      <c r="T463" s="116"/>
      <c r="U463" s="116" t="s">
        <v>104</v>
      </c>
      <c r="V463" s="118" t="s">
        <v>2703</v>
      </c>
      <c r="W463" s="116" t="s">
        <v>771</v>
      </c>
      <c r="X463" s="116" t="s">
        <v>107</v>
      </c>
      <c r="Y463" s="116" t="s">
        <v>108</v>
      </c>
      <c r="Z463" s="114">
        <f>IF(INDIRECT("Y463")="Clássico","12%",IF(INDIRECT("Y463")="Premium","17%","-"))</f>
      </c>
      <c r="AA463" s="116" t="s">
        <v>1357</v>
      </c>
      <c r="AB463" s="116" t="s">
        <v>120</v>
      </c>
      <c r="AC463" s="116" t="n">
        <v>6.0</v>
      </c>
      <c r="AD463" s="116" t="s">
        <v>121</v>
      </c>
      <c r="AE463" s="117" t="s">
        <v>112</v>
      </c>
      <c r="AF463" s="114" t="s">
        <v>1663</v>
      </c>
      <c r="AG463" s="114" t="s">
        <v>22</v>
      </c>
      <c r="AH463" s="114" t="s">
        <v>22</v>
      </c>
      <c r="AI463" s="114" t="s">
        <v>22</v>
      </c>
      <c r="AJ463" s="114" t="s">
        <v>22</v>
      </c>
    </row>
    <row r="464" ht="50.0" customHeight="true">
      <c r="A464" s="114" t="s">
        <v>2704</v>
      </c>
      <c r="B464" s="114" t="s">
        <v>2705</v>
      </c>
      <c r="C464" s="114" t="s">
        <v>2706</v>
      </c>
      <c r="D464" s="114"/>
      <c r="E464" s="115" t="s">
        <v>2707</v>
      </c>
      <c r="F464" s="115" t="s">
        <v>2708</v>
      </c>
      <c r="G464" s="114" t="s">
        <v>2708</v>
      </c>
      <c r="H464" s="116" t="n">
        <v>10.0</v>
      </c>
      <c r="I464" s="116" t="n">
        <v>35530.0</v>
      </c>
      <c r="J464" s="116" t="s">
        <v>103</v>
      </c>
      <c r="K464" s="116"/>
      <c r="L464" s="116"/>
      <c r="M464" s="116"/>
      <c r="N464" s="116"/>
      <c r="O464" s="116"/>
      <c r="P464" s="116"/>
      <c r="Q464" s="116"/>
      <c r="R464" s="116"/>
      <c r="S464" s="116"/>
      <c r="T464" s="116"/>
      <c r="U464" s="116" t="s">
        <v>104</v>
      </c>
      <c r="V464" s="118" t="s">
        <v>2709</v>
      </c>
      <c r="W464" s="116" t="s">
        <v>771</v>
      </c>
      <c r="X464" s="116" t="s">
        <v>107</v>
      </c>
      <c r="Y464" s="116" t="s">
        <v>108</v>
      </c>
      <c r="Z464" s="114">
        <f>IF(INDIRECT("Y464")="Clássico","12%",IF(INDIRECT("Y464")="Premium","17%","-"))</f>
      </c>
      <c r="AA464" s="116" t="s">
        <v>1357</v>
      </c>
      <c r="AB464" s="116" t="s">
        <v>120</v>
      </c>
      <c r="AC464" s="116" t="n">
        <v>6.0</v>
      </c>
      <c r="AD464" s="116" t="s">
        <v>121</v>
      </c>
      <c r="AE464" s="117" t="s">
        <v>112</v>
      </c>
      <c r="AF464" s="114" t="s">
        <v>1663</v>
      </c>
      <c r="AG464" s="114" t="s">
        <v>22</v>
      </c>
      <c r="AH464" s="114" t="s">
        <v>22</v>
      </c>
      <c r="AI464" s="114" t="s">
        <v>22</v>
      </c>
      <c r="AJ464" s="114" t="s">
        <v>22</v>
      </c>
    </row>
    <row r="465" ht="50.0" customHeight="true">
      <c r="A465" s="114" t="s">
        <v>2710</v>
      </c>
      <c r="B465" s="114" t="s">
        <v>2711</v>
      </c>
      <c r="C465" s="114" t="s">
        <v>2712</v>
      </c>
      <c r="D465" s="114"/>
      <c r="E465" s="115" t="s">
        <v>2713</v>
      </c>
      <c r="F465" s="115" t="s">
        <v>2714</v>
      </c>
      <c r="G465" s="114" t="s">
        <v>2714</v>
      </c>
      <c r="H465" s="116" t="n">
        <v>10.0</v>
      </c>
      <c r="I465" s="116" t="n">
        <v>99620.0</v>
      </c>
      <c r="J465" s="116" t="s">
        <v>103</v>
      </c>
      <c r="K465" s="116"/>
      <c r="L465" s="116"/>
      <c r="M465" s="116"/>
      <c r="N465" s="116"/>
      <c r="O465" s="116"/>
      <c r="P465" s="116"/>
      <c r="Q465" s="116"/>
      <c r="R465" s="116"/>
      <c r="S465" s="116"/>
      <c r="T465" s="116"/>
      <c r="U465" s="116" t="s">
        <v>104</v>
      </c>
      <c r="V465" s="118" t="s">
        <v>2715</v>
      </c>
      <c r="W465" s="116" t="s">
        <v>771</v>
      </c>
      <c r="X465" s="116" t="s">
        <v>107</v>
      </c>
      <c r="Y465" s="116" t="s">
        <v>108</v>
      </c>
      <c r="Z465" s="114">
        <f>IF(INDIRECT("Y465")="Clássico","12%",IF(INDIRECT("Y465")="Premium","17%","-"))</f>
      </c>
      <c r="AA465" s="116" t="s">
        <v>1357</v>
      </c>
      <c r="AB465" s="116" t="s">
        <v>120</v>
      </c>
      <c r="AC465" s="116" t="n">
        <v>6.0</v>
      </c>
      <c r="AD465" s="116" t="s">
        <v>121</v>
      </c>
      <c r="AE465" s="117" t="s">
        <v>112</v>
      </c>
      <c r="AF465" s="114" t="s">
        <v>1663</v>
      </c>
      <c r="AG465" s="114" t="s">
        <v>22</v>
      </c>
      <c r="AH465" s="114" t="s">
        <v>22</v>
      </c>
      <c r="AI465" s="114" t="s">
        <v>22</v>
      </c>
      <c r="AJ465" s="114" t="s">
        <v>22</v>
      </c>
    </row>
    <row r="466" ht="50.0" customHeight="true">
      <c r="A466" s="114" t="s">
        <v>2716</v>
      </c>
      <c r="B466" s="114" t="s">
        <v>2717</v>
      </c>
      <c r="C466" s="114" t="s">
        <v>2718</v>
      </c>
      <c r="D466" s="114"/>
      <c r="E466" s="115" t="s">
        <v>2707</v>
      </c>
      <c r="F466" s="115" t="s">
        <v>2719</v>
      </c>
      <c r="G466" s="114" t="s">
        <v>2719</v>
      </c>
      <c r="H466" s="116" t="n">
        <v>10.0</v>
      </c>
      <c r="I466" s="116" t="n">
        <v>28730.0</v>
      </c>
      <c r="J466" s="116" t="s">
        <v>103</v>
      </c>
      <c r="K466" s="116"/>
      <c r="L466" s="116"/>
      <c r="M466" s="116"/>
      <c r="N466" s="116"/>
      <c r="O466" s="116"/>
      <c r="P466" s="116"/>
      <c r="Q466" s="116"/>
      <c r="R466" s="116"/>
      <c r="S466" s="116"/>
      <c r="T466" s="116"/>
      <c r="U466" s="116" t="s">
        <v>104</v>
      </c>
      <c r="V466" s="118" t="s">
        <v>2720</v>
      </c>
      <c r="W466" s="116" t="s">
        <v>771</v>
      </c>
      <c r="X466" s="116" t="s">
        <v>107</v>
      </c>
      <c r="Y466" s="116" t="s">
        <v>108</v>
      </c>
      <c r="Z466" s="114">
        <f>IF(INDIRECT("Y466")="Clássico","12%",IF(INDIRECT("Y466")="Premium","17%","-"))</f>
      </c>
      <c r="AA466" s="116" t="s">
        <v>1357</v>
      </c>
      <c r="AB466" s="116" t="s">
        <v>120</v>
      </c>
      <c r="AC466" s="116" t="n">
        <v>6.0</v>
      </c>
      <c r="AD466" s="116" t="s">
        <v>121</v>
      </c>
      <c r="AE466" s="117" t="s">
        <v>112</v>
      </c>
      <c r="AF466" s="114" t="s">
        <v>1663</v>
      </c>
      <c r="AG466" s="114" t="s">
        <v>22</v>
      </c>
      <c r="AH466" s="114" t="s">
        <v>22</v>
      </c>
      <c r="AI466" s="114" t="s">
        <v>22</v>
      </c>
      <c r="AJ466" s="114" t="s">
        <v>22</v>
      </c>
    </row>
    <row r="467" ht="50.0" customHeight="true">
      <c r="A467" s="114" t="s">
        <v>2721</v>
      </c>
      <c r="B467" s="114" t="s">
        <v>2722</v>
      </c>
      <c r="C467" s="114" t="s">
        <v>2723</v>
      </c>
      <c r="D467" s="114"/>
      <c r="E467" s="115" t="s">
        <v>2724</v>
      </c>
      <c r="F467" s="115" t="s">
        <v>2725</v>
      </c>
      <c r="G467" s="114" t="s">
        <v>2725</v>
      </c>
      <c r="H467" s="116" t="n">
        <v>10.0</v>
      </c>
      <c r="I467" s="116" t="n">
        <v>108970.0</v>
      </c>
      <c r="J467" s="116" t="s">
        <v>103</v>
      </c>
      <c r="K467" s="116"/>
      <c r="L467" s="116"/>
      <c r="M467" s="116"/>
      <c r="N467" s="116"/>
      <c r="O467" s="116"/>
      <c r="P467" s="116"/>
      <c r="Q467" s="116"/>
      <c r="R467" s="116"/>
      <c r="S467" s="116"/>
      <c r="T467" s="116"/>
      <c r="U467" s="116" t="s">
        <v>104</v>
      </c>
      <c r="V467" s="118" t="s">
        <v>2726</v>
      </c>
      <c r="W467" s="116" t="s">
        <v>771</v>
      </c>
      <c r="X467" s="116" t="s">
        <v>107</v>
      </c>
      <c r="Y467" s="116" t="s">
        <v>108</v>
      </c>
      <c r="Z467" s="114">
        <f>IF(INDIRECT("Y467")="Clássico","12%",IF(INDIRECT("Y467")="Premium","17%","-"))</f>
      </c>
      <c r="AA467" s="116" t="s">
        <v>1357</v>
      </c>
      <c r="AB467" s="116" t="s">
        <v>120</v>
      </c>
      <c r="AC467" s="116" t="n">
        <v>6.0</v>
      </c>
      <c r="AD467" s="116" t="s">
        <v>121</v>
      </c>
      <c r="AE467" s="117" t="s">
        <v>112</v>
      </c>
      <c r="AF467" s="114" t="s">
        <v>1663</v>
      </c>
      <c r="AG467" s="114" t="s">
        <v>22</v>
      </c>
      <c r="AH467" s="114" t="s">
        <v>22</v>
      </c>
      <c r="AI467" s="114" t="s">
        <v>22</v>
      </c>
      <c r="AJ467" s="114" t="s">
        <v>22</v>
      </c>
    </row>
    <row r="468" ht="50.0" customHeight="true">
      <c r="A468" s="114" t="s">
        <v>2727</v>
      </c>
      <c r="B468" s="114" t="s">
        <v>2728</v>
      </c>
      <c r="C468" s="114" t="s">
        <v>2729</v>
      </c>
      <c r="D468" s="114"/>
      <c r="E468" s="115" t="s">
        <v>2730</v>
      </c>
      <c r="F468" s="115" t="s">
        <v>2731</v>
      </c>
      <c r="G468" s="114" t="s">
        <v>2731</v>
      </c>
      <c r="H468" s="116" t="n">
        <v>10.0</v>
      </c>
      <c r="I468" s="116" t="n">
        <v>60010.0</v>
      </c>
      <c r="J468" s="116" t="s">
        <v>103</v>
      </c>
      <c r="K468" s="116"/>
      <c r="L468" s="116"/>
      <c r="M468" s="116"/>
      <c r="N468" s="116"/>
      <c r="O468" s="116"/>
      <c r="P468" s="116"/>
      <c r="Q468" s="116"/>
      <c r="R468" s="116"/>
      <c r="S468" s="116"/>
      <c r="T468" s="116"/>
      <c r="U468" s="116" t="s">
        <v>104</v>
      </c>
      <c r="V468" s="118" t="s">
        <v>2732</v>
      </c>
      <c r="W468" s="116" t="s">
        <v>771</v>
      </c>
      <c r="X468" s="116" t="s">
        <v>107</v>
      </c>
      <c r="Y468" s="116" t="s">
        <v>108</v>
      </c>
      <c r="Z468" s="114">
        <f>IF(INDIRECT("Y468")="Clássico","12%",IF(INDIRECT("Y468")="Premium","17%","-"))</f>
      </c>
      <c r="AA468" s="116" t="s">
        <v>1357</v>
      </c>
      <c r="AB468" s="116" t="s">
        <v>120</v>
      </c>
      <c r="AC468" s="116" t="n">
        <v>6.0</v>
      </c>
      <c r="AD468" s="116" t="s">
        <v>121</v>
      </c>
      <c r="AE468" s="117" t="s">
        <v>112</v>
      </c>
      <c r="AF468" s="114" t="s">
        <v>1663</v>
      </c>
      <c r="AG468" s="114" t="s">
        <v>22</v>
      </c>
      <c r="AH468" s="114" t="s">
        <v>22</v>
      </c>
      <c r="AI468" s="114" t="s">
        <v>22</v>
      </c>
      <c r="AJ468" s="114" t="s">
        <v>22</v>
      </c>
    </row>
    <row r="469" ht="50.0" customHeight="true">
      <c r="A469" s="114" t="s">
        <v>2733</v>
      </c>
      <c r="B469" s="114" t="s">
        <v>2734</v>
      </c>
      <c r="C469" s="114" t="s">
        <v>2735</v>
      </c>
      <c r="D469" s="114"/>
      <c r="E469" s="115" t="s">
        <v>2736</v>
      </c>
      <c r="F469" s="115" t="s">
        <v>2731</v>
      </c>
      <c r="G469" s="114" t="s">
        <v>2731</v>
      </c>
      <c r="H469" s="116" t="n">
        <v>10.0</v>
      </c>
      <c r="I469" s="116" t="n">
        <v>55760.0</v>
      </c>
      <c r="J469" s="116" t="s">
        <v>103</v>
      </c>
      <c r="K469" s="116"/>
      <c r="L469" s="116"/>
      <c r="M469" s="116"/>
      <c r="N469" s="116"/>
      <c r="O469" s="116"/>
      <c r="P469" s="116"/>
      <c r="Q469" s="116"/>
      <c r="R469" s="116"/>
      <c r="S469" s="116"/>
      <c r="T469" s="116"/>
      <c r="U469" s="116" t="s">
        <v>104</v>
      </c>
      <c r="V469" s="118" t="s">
        <v>2737</v>
      </c>
      <c r="W469" s="116" t="s">
        <v>771</v>
      </c>
      <c r="X469" s="116" t="s">
        <v>107</v>
      </c>
      <c r="Y469" s="116" t="s">
        <v>108</v>
      </c>
      <c r="Z469" s="114">
        <f>IF(INDIRECT("Y469")="Clássico","12%",IF(INDIRECT("Y469")="Premium","17%","-"))</f>
      </c>
      <c r="AA469" s="116" t="s">
        <v>1357</v>
      </c>
      <c r="AB469" s="116" t="s">
        <v>120</v>
      </c>
      <c r="AC469" s="116" t="n">
        <v>6.0</v>
      </c>
      <c r="AD469" s="116" t="s">
        <v>121</v>
      </c>
      <c r="AE469" s="117" t="s">
        <v>112</v>
      </c>
      <c r="AF469" s="114" t="s">
        <v>1663</v>
      </c>
      <c r="AG469" s="114" t="s">
        <v>22</v>
      </c>
      <c r="AH469" s="114" t="s">
        <v>22</v>
      </c>
      <c r="AI469" s="114" t="s">
        <v>22</v>
      </c>
      <c r="AJ469" s="114" t="s">
        <v>22</v>
      </c>
    </row>
    <row r="470" ht="50.0" customHeight="true">
      <c r="A470" s="114" t="s">
        <v>2738</v>
      </c>
      <c r="B470" s="114" t="s">
        <v>2739</v>
      </c>
      <c r="C470" s="114" t="s">
        <v>2740</v>
      </c>
      <c r="D470" s="114"/>
      <c r="E470" s="115" t="s">
        <v>2741</v>
      </c>
      <c r="F470" s="115" t="s">
        <v>2742</v>
      </c>
      <c r="G470" s="114" t="s">
        <v>1073</v>
      </c>
      <c r="H470" s="116" t="n">
        <v>1.0</v>
      </c>
      <c r="I470" s="116" t="n">
        <v>1700.0</v>
      </c>
      <c r="J470" s="116" t="s">
        <v>103</v>
      </c>
      <c r="K470" s="116" t="n">
        <v>1630.0</v>
      </c>
      <c r="L470" s="116" t="n">
        <v>1.0</v>
      </c>
      <c r="M470" s="116"/>
      <c r="N470" s="116"/>
      <c r="O470" s="116"/>
      <c r="P470" s="116"/>
      <c r="Q470" s="116"/>
      <c r="R470" s="116"/>
      <c r="S470" s="116"/>
      <c r="T470" s="116"/>
      <c r="U470" s="116" t="s">
        <v>104</v>
      </c>
      <c r="V470" s="118" t="s">
        <v>2743</v>
      </c>
      <c r="W470" s="116" t="s">
        <v>130</v>
      </c>
      <c r="X470" s="116" t="s">
        <v>143</v>
      </c>
      <c r="Y470" s="116" t="s">
        <v>152</v>
      </c>
      <c r="Z470" s="114">
        <f>IF(INDIRECT("Y470")="Clássico","11%",IF(INDIRECT("Y470")="Premium","16%","-"))</f>
      </c>
      <c r="AA470" s="116" t="s">
        <v>1357</v>
      </c>
      <c r="AB470" s="116" t="s">
        <v>110</v>
      </c>
      <c r="AC470" s="116" t="n">
        <v>30.0</v>
      </c>
      <c r="AD470" s="116" t="s">
        <v>111</v>
      </c>
      <c r="AE470" s="117" t="s">
        <v>112</v>
      </c>
      <c r="AF470" s="114" t="s">
        <v>2744</v>
      </c>
      <c r="AG470" s="116" t="n">
        <v>52.0</v>
      </c>
      <c r="AH470" s="116" t="n">
        <v>41.0</v>
      </c>
      <c r="AI470" s="116" t="n">
        <v>14.0</v>
      </c>
      <c r="AJ470" s="116" t="n">
        <v>6.3</v>
      </c>
    </row>
    <row r="471" ht="50.0" customHeight="true">
      <c r="A471" s="114" t="s">
        <v>2745</v>
      </c>
      <c r="B471" s="114" t="s">
        <v>2746</v>
      </c>
      <c r="C471" s="114" t="s">
        <v>2747</v>
      </c>
      <c r="D471" s="114"/>
      <c r="E471" s="115" t="s">
        <v>2748</v>
      </c>
      <c r="F471" s="115" t="s">
        <v>2749</v>
      </c>
      <c r="G471" s="114" t="s">
        <v>1429</v>
      </c>
      <c r="H471" s="116" t="n">
        <v>2460.0</v>
      </c>
      <c r="I471" s="116" t="n">
        <v>20.9</v>
      </c>
      <c r="J471" s="116" t="s">
        <v>103</v>
      </c>
      <c r="K471" s="116"/>
      <c r="L471" s="116"/>
      <c r="M471" s="116"/>
      <c r="N471" s="116"/>
      <c r="O471" s="116"/>
      <c r="P471" s="116"/>
      <c r="Q471" s="116"/>
      <c r="R471" s="116"/>
      <c r="S471" s="116"/>
      <c r="T471" s="116"/>
      <c r="U471" s="116" t="s">
        <v>104</v>
      </c>
      <c r="V471" s="118" t="s">
        <v>22</v>
      </c>
      <c r="W471" s="116" t="s">
        <v>106</v>
      </c>
      <c r="X471" s="116" t="s">
        <v>107</v>
      </c>
      <c r="Y471" s="116" t="s">
        <v>108</v>
      </c>
      <c r="Z471" s="114">
        <f>IF(INDIRECT("Y471")="Clássico","11.5%",IF(INDIRECT("Y471")="Premium","16.5%","-"))</f>
      </c>
      <c r="AA471" s="116" t="s">
        <v>1357</v>
      </c>
      <c r="AB471" s="116" t="s">
        <v>120</v>
      </c>
      <c r="AC471" s="116" t="n">
        <v>90.0</v>
      </c>
      <c r="AD471" s="116" t="s">
        <v>111</v>
      </c>
      <c r="AE471" s="117" t="s">
        <v>112</v>
      </c>
      <c r="AF471" s="114" t="s">
        <v>1424</v>
      </c>
      <c r="AG471" s="116"/>
      <c r="AH471" s="116"/>
      <c r="AI471" s="116"/>
      <c r="AJ471" s="116"/>
    </row>
    <row r="472" ht="50.0" customHeight="true">
      <c r="A472" s="114" t="s">
        <v>2750</v>
      </c>
      <c r="B472" s="114" t="s">
        <v>2751</v>
      </c>
      <c r="C472" s="114" t="s">
        <v>2752</v>
      </c>
      <c r="D472" s="114"/>
      <c r="E472" s="115" t="s">
        <v>2753</v>
      </c>
      <c r="F472" s="115" t="s">
        <v>2754</v>
      </c>
      <c r="G472" s="114" t="s">
        <v>2754</v>
      </c>
      <c r="H472" s="116" t="n">
        <v>1.0</v>
      </c>
      <c r="I472" s="116" t="n">
        <v>85.0</v>
      </c>
      <c r="J472" s="116" t="s">
        <v>103</v>
      </c>
      <c r="K472" s="116" t="n">
        <v>79.0</v>
      </c>
      <c r="L472" s="116" t="n">
        <v>2.0</v>
      </c>
      <c r="M472" s="116"/>
      <c r="N472" s="116"/>
      <c r="O472" s="116"/>
      <c r="P472" s="116"/>
      <c r="Q472" s="116"/>
      <c r="R472" s="116"/>
      <c r="S472" s="116"/>
      <c r="T472" s="116"/>
      <c r="U472" s="116" t="s">
        <v>104</v>
      </c>
      <c r="V472" s="118" t="s">
        <v>2755</v>
      </c>
      <c r="W472" s="116" t="s">
        <v>130</v>
      </c>
      <c r="X472" s="116" t="s">
        <v>143</v>
      </c>
      <c r="Y472" s="116" t="s">
        <v>152</v>
      </c>
      <c r="Z472" s="114">
        <f>IF(INDIRECT("Y472")="Clássico","12%",IF(INDIRECT("Y472")="Premium","17%","-"))</f>
      </c>
      <c r="AA472" s="116" t="s">
        <v>1357</v>
      </c>
      <c r="AB472" s="116" t="s">
        <v>110</v>
      </c>
      <c r="AC472" s="116" t="n">
        <v>30.0</v>
      </c>
      <c r="AD472" s="116" t="s">
        <v>111</v>
      </c>
      <c r="AE472" s="117" t="s">
        <v>112</v>
      </c>
      <c r="AF472" s="114" t="s">
        <v>2756</v>
      </c>
      <c r="AG472" s="116" t="n">
        <v>10.0</v>
      </c>
      <c r="AH472" s="116" t="n">
        <v>10.0</v>
      </c>
      <c r="AI472" s="116" t="n">
        <v>6.0</v>
      </c>
      <c r="AJ472" s="116" t="n">
        <v>0.4</v>
      </c>
    </row>
    <row r="473" ht="50.0" customHeight="true">
      <c r="A473" s="114" t="s">
        <v>2757</v>
      </c>
      <c r="B473" s="114" t="s">
        <v>2758</v>
      </c>
      <c r="C473" s="114" t="s">
        <v>2759</v>
      </c>
      <c r="D473" s="114"/>
      <c r="E473" s="115" t="s">
        <v>2760</v>
      </c>
      <c r="F473" s="115" t="s">
        <v>2761</v>
      </c>
      <c r="G473" s="114" t="s">
        <v>2761</v>
      </c>
      <c r="H473" s="116" t="n">
        <v>1.0</v>
      </c>
      <c r="I473" s="116" t="n">
        <v>49.99</v>
      </c>
      <c r="J473" s="116" t="s">
        <v>103</v>
      </c>
      <c r="K473" s="116" t="n">
        <v>40.0</v>
      </c>
      <c r="L473" s="116" t="n">
        <v>2.0</v>
      </c>
      <c r="M473" s="116"/>
      <c r="N473" s="116"/>
      <c r="O473" s="116"/>
      <c r="P473" s="116"/>
      <c r="Q473" s="116"/>
      <c r="R473" s="116"/>
      <c r="S473" s="116"/>
      <c r="T473" s="116"/>
      <c r="U473" s="116" t="s">
        <v>104</v>
      </c>
      <c r="V473" s="118" t="s">
        <v>2762</v>
      </c>
      <c r="W473" s="116" t="s">
        <v>130</v>
      </c>
      <c r="X473" s="116" t="s">
        <v>143</v>
      </c>
      <c r="Y473" s="116" t="s">
        <v>152</v>
      </c>
      <c r="Z473" s="114">
        <f>IF(INDIRECT("Y473")="Clássico","12%",IF(INDIRECT("Y473")="Premium","17%","-"))</f>
      </c>
      <c r="AA473" s="116" t="s">
        <v>1357</v>
      </c>
      <c r="AB473" s="116" t="s">
        <v>110</v>
      </c>
      <c r="AC473" s="116" t="n">
        <v>30.0</v>
      </c>
      <c r="AD473" s="116" t="s">
        <v>111</v>
      </c>
      <c r="AE473" s="117" t="s">
        <v>112</v>
      </c>
      <c r="AF473" s="114" t="s">
        <v>324</v>
      </c>
      <c r="AG473" s="116" t="n">
        <v>11.0</v>
      </c>
      <c r="AH473" s="116" t="n">
        <v>10.0</v>
      </c>
      <c r="AI473" s="116" t="n">
        <v>3.0</v>
      </c>
      <c r="AJ473" s="116" t="n">
        <v>0.2</v>
      </c>
    </row>
    <row r="474" ht="50.0" customHeight="true">
      <c r="A474" s="114" t="s">
        <v>2763</v>
      </c>
      <c r="B474" s="114" t="s">
        <v>2764</v>
      </c>
      <c r="C474" s="114" t="s">
        <v>2765</v>
      </c>
      <c r="D474" s="114"/>
      <c r="E474" s="115" t="s">
        <v>2766</v>
      </c>
      <c r="F474" s="115" t="s">
        <v>2767</v>
      </c>
      <c r="G474" s="114" t="s">
        <v>254</v>
      </c>
      <c r="H474" s="116" t="n">
        <v>1.0</v>
      </c>
      <c r="I474" s="116" t="n">
        <v>89.9</v>
      </c>
      <c r="J474" s="116" t="s">
        <v>103</v>
      </c>
      <c r="K474" s="116" t="n">
        <v>50.0</v>
      </c>
      <c r="L474" s="116" t="n">
        <v>2.0</v>
      </c>
      <c r="M474" s="116"/>
      <c r="N474" s="116"/>
      <c r="O474" s="116"/>
      <c r="P474" s="116"/>
      <c r="Q474" s="116"/>
      <c r="R474" s="116"/>
      <c r="S474" s="116"/>
      <c r="T474" s="116"/>
      <c r="U474" s="116" t="s">
        <v>104</v>
      </c>
      <c r="V474" s="118" t="s">
        <v>2768</v>
      </c>
      <c r="W474" s="116" t="s">
        <v>130</v>
      </c>
      <c r="X474" s="116" t="s">
        <v>143</v>
      </c>
      <c r="Y474" s="116" t="s">
        <v>152</v>
      </c>
      <c r="Z474" s="114">
        <f>IF(INDIRECT("Y474")="Clássico","12%",IF(INDIRECT("Y474")="Premium","17%","-"))</f>
      </c>
      <c r="AA474" s="116" t="s">
        <v>1357</v>
      </c>
      <c r="AB474" s="116" t="s">
        <v>110</v>
      </c>
      <c r="AC474" s="116" t="n">
        <v>30.0</v>
      </c>
      <c r="AD474" s="116" t="s">
        <v>111</v>
      </c>
      <c r="AE474" s="117" t="s">
        <v>112</v>
      </c>
      <c r="AF474" s="114" t="s">
        <v>2769</v>
      </c>
      <c r="AG474" s="116" t="n">
        <v>26.0</v>
      </c>
      <c r="AH474" s="116" t="n">
        <v>19.0</v>
      </c>
      <c r="AI474" s="116" t="n">
        <v>2.0</v>
      </c>
      <c r="AJ474" s="116" t="n">
        <v>0.5</v>
      </c>
    </row>
    <row r="475" ht="50.0" customHeight="true">
      <c r="A475" s="114" t="s">
        <v>2770</v>
      </c>
      <c r="B475" s="114" t="s">
        <v>2771</v>
      </c>
      <c r="C475" s="114" t="s">
        <v>2772</v>
      </c>
      <c r="D475" s="114"/>
      <c r="E475" s="115" t="s">
        <v>2773</v>
      </c>
      <c r="F475" s="115" t="s">
        <v>2774</v>
      </c>
      <c r="G475" s="114" t="s">
        <v>254</v>
      </c>
      <c r="H475" s="116" t="n">
        <v>1.0</v>
      </c>
      <c r="I475" s="116" t="n">
        <v>49.9</v>
      </c>
      <c r="J475" s="116" t="s">
        <v>103</v>
      </c>
      <c r="K475" s="116" t="n">
        <v>35.9</v>
      </c>
      <c r="L475" s="116" t="n">
        <v>2.0</v>
      </c>
      <c r="M475" s="116"/>
      <c r="N475" s="116"/>
      <c r="O475" s="116"/>
      <c r="P475" s="116"/>
      <c r="Q475" s="116"/>
      <c r="R475" s="116"/>
      <c r="S475" s="116"/>
      <c r="T475" s="116"/>
      <c r="U475" s="116" t="s">
        <v>104</v>
      </c>
      <c r="V475" s="118" t="s">
        <v>2775</v>
      </c>
      <c r="W475" s="116" t="s">
        <v>130</v>
      </c>
      <c r="X475" s="116" t="s">
        <v>143</v>
      </c>
      <c r="Y475" s="116" t="s">
        <v>152</v>
      </c>
      <c r="Z475" s="114">
        <f>IF(INDIRECT("Y475")="Clássico","11.5%",IF(INDIRECT("Y475")="Premium","16.5%","-"))</f>
      </c>
      <c r="AA475" s="116" t="s">
        <v>1357</v>
      </c>
      <c r="AB475" s="116" t="s">
        <v>110</v>
      </c>
      <c r="AC475" s="116" t="n">
        <v>30.0</v>
      </c>
      <c r="AD475" s="116" t="s">
        <v>111</v>
      </c>
      <c r="AE475" s="117" t="s">
        <v>112</v>
      </c>
      <c r="AF475" s="114" t="s">
        <v>2776</v>
      </c>
      <c r="AG475" s="116" t="n">
        <v>30.0</v>
      </c>
      <c r="AH475" s="116" t="n">
        <v>12.0</v>
      </c>
      <c r="AI475" s="116" t="n">
        <v>4.0</v>
      </c>
      <c r="AJ475" s="116" t="n">
        <v>0.5</v>
      </c>
    </row>
    <row r="476" ht="50.0" customHeight="true">
      <c r="A476" s="114" t="s">
        <v>2777</v>
      </c>
      <c r="B476" s="114" t="s">
        <v>2778</v>
      </c>
      <c r="C476" s="114" t="s">
        <v>2779</v>
      </c>
      <c r="D476" s="114"/>
      <c r="E476" s="115" t="s">
        <v>2780</v>
      </c>
      <c r="F476" s="115" t="s">
        <v>2781</v>
      </c>
      <c r="G476" s="114" t="s">
        <v>2781</v>
      </c>
      <c r="H476" s="116" t="n">
        <v>1.0</v>
      </c>
      <c r="I476" s="116" t="n">
        <v>35.0</v>
      </c>
      <c r="J476" s="116" t="s">
        <v>103</v>
      </c>
      <c r="K476" s="116" t="n">
        <v>20.0</v>
      </c>
      <c r="L476" s="116" t="n">
        <v>2.0</v>
      </c>
      <c r="M476" s="116"/>
      <c r="N476" s="116"/>
      <c r="O476" s="116"/>
      <c r="P476" s="116"/>
      <c r="Q476" s="116"/>
      <c r="R476" s="116"/>
      <c r="S476" s="116"/>
      <c r="T476" s="116"/>
      <c r="U476" s="116" t="s">
        <v>104</v>
      </c>
      <c r="V476" s="118" t="s">
        <v>2782</v>
      </c>
      <c r="W476" s="116" t="s">
        <v>106</v>
      </c>
      <c r="X476" s="116" t="s">
        <v>143</v>
      </c>
      <c r="Y476" s="116" t="s">
        <v>152</v>
      </c>
      <c r="Z476" s="114">
        <f>IF(INDIRECT("Y476")="Clássico","12%",IF(INDIRECT("Y476")="Premium","17%","-"))</f>
      </c>
      <c r="AA476" s="116" t="s">
        <v>1357</v>
      </c>
      <c r="AB476" s="116" t="s">
        <v>110</v>
      </c>
      <c r="AC476" s="116" t="n">
        <v>30.0</v>
      </c>
      <c r="AD476" s="116" t="s">
        <v>111</v>
      </c>
      <c r="AE476" s="117" t="s">
        <v>112</v>
      </c>
      <c r="AF476" s="114" t="s">
        <v>2783</v>
      </c>
      <c r="AG476" s="116" t="n">
        <v>15.0</v>
      </c>
      <c r="AH476" s="116" t="n">
        <v>9.0</v>
      </c>
      <c r="AI476" s="116" t="n">
        <v>2.0</v>
      </c>
      <c r="AJ476" s="116" t="n">
        <v>0.1</v>
      </c>
    </row>
    <row r="477" ht="50.0" customHeight="true">
      <c r="A477" s="114" t="s">
        <v>2784</v>
      </c>
      <c r="B477" s="114" t="s">
        <v>2785</v>
      </c>
      <c r="C477" s="114" t="s">
        <v>2786</v>
      </c>
      <c r="D477" s="114"/>
      <c r="E477" s="115" t="s">
        <v>2787</v>
      </c>
      <c r="F477" s="115" t="s">
        <v>2788</v>
      </c>
      <c r="G477" s="114" t="s">
        <v>2788</v>
      </c>
      <c r="H477" s="116" t="n">
        <v>1.0</v>
      </c>
      <c r="I477" s="116" t="n">
        <v>61.9</v>
      </c>
      <c r="J477" s="116" t="s">
        <v>103</v>
      </c>
      <c r="K477" s="116" t="n">
        <v>57.87</v>
      </c>
      <c r="L477" s="116" t="n">
        <v>2.0</v>
      </c>
      <c r="M477" s="116"/>
      <c r="N477" s="116"/>
      <c r="O477" s="116"/>
      <c r="P477" s="116"/>
      <c r="Q477" s="116"/>
      <c r="R477" s="116"/>
      <c r="S477" s="116"/>
      <c r="T477" s="116"/>
      <c r="U477" s="116" t="s">
        <v>104</v>
      </c>
      <c r="V477" s="118" t="s">
        <v>2789</v>
      </c>
      <c r="W477" s="116" t="s">
        <v>130</v>
      </c>
      <c r="X477" s="116" t="s">
        <v>143</v>
      </c>
      <c r="Y477" s="116" t="s">
        <v>152</v>
      </c>
      <c r="Z477" s="114">
        <f>IF(INDIRECT("Y477")="Clássico","12%",IF(INDIRECT("Y477")="Premium","17%","-"))</f>
      </c>
      <c r="AA477" s="116" t="s">
        <v>1357</v>
      </c>
      <c r="AB477" s="116" t="s">
        <v>110</v>
      </c>
      <c r="AC477" s="116" t="n">
        <v>30.0</v>
      </c>
      <c r="AD477" s="116" t="s">
        <v>111</v>
      </c>
      <c r="AE477" s="117" t="s">
        <v>112</v>
      </c>
      <c r="AF477" s="114" t="s">
        <v>2790</v>
      </c>
      <c r="AG477" s="116" t="n">
        <v>15.0</v>
      </c>
      <c r="AH477" s="116" t="n">
        <v>10.0</v>
      </c>
      <c r="AI477" s="116" t="n">
        <v>3.0</v>
      </c>
      <c r="AJ477" s="116" t="n">
        <v>0.03</v>
      </c>
    </row>
    <row r="478" ht="50.0" customHeight="true">
      <c r="A478" s="114" t="s">
        <v>2791</v>
      </c>
      <c r="B478" s="114" t="s">
        <v>2792</v>
      </c>
      <c r="C478" s="114" t="s">
        <v>2793</v>
      </c>
      <c r="D478" s="114"/>
      <c r="E478" s="115" t="s">
        <v>2794</v>
      </c>
      <c r="F478" s="115" t="s">
        <v>2795</v>
      </c>
      <c r="G478" s="114" t="s">
        <v>769</v>
      </c>
      <c r="H478" s="116" t="n">
        <v>1.0</v>
      </c>
      <c r="I478" s="116" t="n">
        <v>11500.0</v>
      </c>
      <c r="J478" s="116" t="s">
        <v>103</v>
      </c>
      <c r="K478" s="116"/>
      <c r="L478" s="116"/>
      <c r="M478" s="116"/>
      <c r="N478" s="116"/>
      <c r="O478" s="116"/>
      <c r="P478" s="116"/>
      <c r="Q478" s="116"/>
      <c r="R478" s="116"/>
      <c r="S478" s="116"/>
      <c r="T478" s="116"/>
      <c r="U478" s="116" t="s">
        <v>104</v>
      </c>
      <c r="V478" s="118" t="s">
        <v>2057</v>
      </c>
      <c r="W478" s="116" t="s">
        <v>130</v>
      </c>
      <c r="X478" s="116" t="s">
        <v>107</v>
      </c>
      <c r="Y478" s="116" t="s">
        <v>152</v>
      </c>
      <c r="Z478" s="114">
        <f>IF(INDIRECT("Y478")="Clássico","11.5%",IF(INDIRECT("Y478")="Premium","16.5%","-"))</f>
      </c>
      <c r="AA478" s="116" t="s">
        <v>1357</v>
      </c>
      <c r="AB478" s="116" t="s">
        <v>120</v>
      </c>
      <c r="AC478" s="116" t="n">
        <v>90.0</v>
      </c>
      <c r="AD478" s="116" t="s">
        <v>111</v>
      </c>
      <c r="AE478" s="117" t="s">
        <v>112</v>
      </c>
      <c r="AF478" s="114" t="s">
        <v>772</v>
      </c>
      <c r="AG478" s="116" t="n">
        <v>66.0</v>
      </c>
      <c r="AH478" s="116" t="n">
        <v>36.0</v>
      </c>
      <c r="AI478" s="116" t="n">
        <v>12.0</v>
      </c>
      <c r="AJ478" s="116" t="n">
        <v>3.5</v>
      </c>
    </row>
    <row r="479" ht="50.0" customHeight="true">
      <c r="A479" s="114" t="s">
        <v>2796</v>
      </c>
      <c r="B479" s="114" t="s">
        <v>2797</v>
      </c>
      <c r="C479" s="114" t="s">
        <v>2798</v>
      </c>
      <c r="D479" s="114"/>
      <c r="E479" s="115" t="s">
        <v>2799</v>
      </c>
      <c r="F479" s="115" t="s">
        <v>2800</v>
      </c>
      <c r="G479" s="114" t="s">
        <v>2800</v>
      </c>
      <c r="H479" s="116" t="n">
        <v>2.0</v>
      </c>
      <c r="I479" s="116" t="n">
        <v>199.0</v>
      </c>
      <c r="J479" s="116" t="s">
        <v>103</v>
      </c>
      <c r="K479" s="116"/>
      <c r="L479" s="116"/>
      <c r="M479" s="116"/>
      <c r="N479" s="116"/>
      <c r="O479" s="116"/>
      <c r="P479" s="116"/>
      <c r="Q479" s="116"/>
      <c r="R479" s="116"/>
      <c r="S479" s="116"/>
      <c r="T479" s="116"/>
      <c r="U479" s="116" t="s">
        <v>104</v>
      </c>
      <c r="V479" s="118" t="s">
        <v>2801</v>
      </c>
      <c r="W479" s="116" t="s">
        <v>130</v>
      </c>
      <c r="X479" s="116" t="s">
        <v>143</v>
      </c>
      <c r="Y479" s="116" t="s">
        <v>108</v>
      </c>
      <c r="Z479" s="114">
        <f>IF(INDIRECT("Y479")="Clássico","12%",IF(INDIRECT("Y479")="Premium","17%","-"))</f>
      </c>
      <c r="AA479" s="116" t="s">
        <v>1357</v>
      </c>
      <c r="AB479" s="116" t="s">
        <v>110</v>
      </c>
      <c r="AC479" s="116" t="n">
        <v>30.0</v>
      </c>
      <c r="AD479" s="116" t="s">
        <v>111</v>
      </c>
      <c r="AE479" s="117" t="s">
        <v>112</v>
      </c>
      <c r="AF479" s="114" t="s">
        <v>1851</v>
      </c>
      <c r="AG479" s="116" t="n">
        <v>23.0</v>
      </c>
      <c r="AH479" s="116" t="n">
        <v>19.0</v>
      </c>
      <c r="AI479" s="116" t="n">
        <v>13.0</v>
      </c>
      <c r="AJ479" s="116" t="n">
        <v>0.87</v>
      </c>
    </row>
    <row r="480" ht="50.0" customHeight="true">
      <c r="A480" s="114" t="s">
        <v>2802</v>
      </c>
      <c r="B480" s="114" t="s">
        <v>2803</v>
      </c>
      <c r="C480" s="114" t="s">
        <v>2804</v>
      </c>
      <c r="D480" s="114"/>
      <c r="E480" s="115" t="s">
        <v>2805</v>
      </c>
      <c r="F480" s="115" t="s">
        <v>2806</v>
      </c>
      <c r="G480" s="114" t="s">
        <v>2806</v>
      </c>
      <c r="H480" s="116" t="n">
        <v>1.0</v>
      </c>
      <c r="I480" s="116" t="n">
        <v>130.0</v>
      </c>
      <c r="J480" s="116" t="s">
        <v>103</v>
      </c>
      <c r="K480" s="116"/>
      <c r="L480" s="116"/>
      <c r="M480" s="116"/>
      <c r="N480" s="116"/>
      <c r="O480" s="116"/>
      <c r="P480" s="116"/>
      <c r="Q480" s="116"/>
      <c r="R480" s="116"/>
      <c r="S480" s="116"/>
      <c r="T480" s="116"/>
      <c r="U480" s="116" t="s">
        <v>104</v>
      </c>
      <c r="V480" s="118" t="s">
        <v>2807</v>
      </c>
      <c r="W480" s="116" t="s">
        <v>130</v>
      </c>
      <c r="X480" s="116" t="s">
        <v>143</v>
      </c>
      <c r="Y480" s="116" t="s">
        <v>108</v>
      </c>
      <c r="Z480" s="114">
        <f>IF(INDIRECT("Y480")="Clássico","12%",IF(INDIRECT("Y480")="Premium","17%","-"))</f>
      </c>
      <c r="AA480" s="116" t="s">
        <v>1357</v>
      </c>
      <c r="AB480" s="116" t="s">
        <v>110</v>
      </c>
      <c r="AC480" s="116" t="n">
        <v>30.0</v>
      </c>
      <c r="AD480" s="116" t="s">
        <v>111</v>
      </c>
      <c r="AE480" s="117" t="s">
        <v>112</v>
      </c>
      <c r="AF480" s="114" t="s">
        <v>1851</v>
      </c>
      <c r="AG480" s="116" t="n">
        <v>26.0</v>
      </c>
      <c r="AH480" s="116" t="n">
        <v>21.0</v>
      </c>
      <c r="AI480" s="116" t="n">
        <v>14.0</v>
      </c>
      <c r="AJ480" s="116" t="n">
        <v>0.79</v>
      </c>
    </row>
    <row r="481" ht="50.0" customHeight="true">
      <c r="A481" s="114" t="s">
        <v>2071</v>
      </c>
      <c r="B481" s="114" t="s">
        <v>2808</v>
      </c>
      <c r="C481" s="114" t="s">
        <v>2073</v>
      </c>
      <c r="D481" s="114"/>
      <c r="E481" s="115" t="s">
        <v>2074</v>
      </c>
      <c r="F481" s="115" t="s">
        <v>2809</v>
      </c>
      <c r="G481" s="114" t="s">
        <v>419</v>
      </c>
      <c r="H481" s="116" t="n">
        <v>0.0</v>
      </c>
      <c r="I481" s="116" t="n">
        <v>56.0</v>
      </c>
      <c r="J481" s="116" t="s">
        <v>103</v>
      </c>
      <c r="K481" s="116"/>
      <c r="L481" s="116"/>
      <c r="M481" s="116"/>
      <c r="N481" s="116"/>
      <c r="O481" s="116"/>
      <c r="P481" s="116"/>
      <c r="Q481" s="116"/>
      <c r="R481" s="116"/>
      <c r="S481" s="116"/>
      <c r="T481" s="116"/>
      <c r="U481" s="116" t="s">
        <v>104</v>
      </c>
      <c r="V481" s="118" t="s">
        <v>2810</v>
      </c>
      <c r="W481" s="116" t="s">
        <v>106</v>
      </c>
      <c r="X481" s="116" t="s">
        <v>143</v>
      </c>
      <c r="Y481" s="116" t="s">
        <v>152</v>
      </c>
      <c r="Z481" s="114">
        <f>IF(INDIRECT("Y481")="Clássico","12%",IF(INDIRECT("Y481")="Premium","17%","-"))</f>
      </c>
      <c r="AA481" s="116" t="s">
        <v>1357</v>
      </c>
      <c r="AB481" s="116" t="s">
        <v>110</v>
      </c>
      <c r="AC481" s="116" t="n">
        <v>30.0</v>
      </c>
      <c r="AD481" s="116" t="s">
        <v>111</v>
      </c>
      <c r="AE481" s="117" t="s">
        <v>112</v>
      </c>
      <c r="AF481" s="114" t="s">
        <v>2077</v>
      </c>
      <c r="AG481" s="116" t="n">
        <v>26.0</v>
      </c>
      <c r="AH481" s="116" t="n">
        <v>19.0</v>
      </c>
      <c r="AI481" s="116" t="n">
        <v>11.0</v>
      </c>
      <c r="AJ481" s="116" t="n">
        <v>0.54</v>
      </c>
    </row>
    <row r="482" ht="50.0" customHeight="true">
      <c r="A482" s="114" t="s">
        <v>2811</v>
      </c>
      <c r="B482" s="114" t="s">
        <v>2812</v>
      </c>
      <c r="C482" s="114" t="s">
        <v>2813</v>
      </c>
      <c r="D482" s="114"/>
      <c r="E482" s="115" t="s">
        <v>2814</v>
      </c>
      <c r="F482" s="115" t="s">
        <v>2815</v>
      </c>
      <c r="G482" s="114" t="s">
        <v>2815</v>
      </c>
      <c r="H482" s="116" t="n">
        <v>3.0</v>
      </c>
      <c r="I482" s="116" t="n">
        <v>110.0</v>
      </c>
      <c r="J482" s="116" t="s">
        <v>103</v>
      </c>
      <c r="K482" s="116"/>
      <c r="L482" s="116"/>
      <c r="M482" s="116"/>
      <c r="N482" s="116"/>
      <c r="O482" s="116"/>
      <c r="P482" s="116"/>
      <c r="Q482" s="116"/>
      <c r="R482" s="116"/>
      <c r="S482" s="116"/>
      <c r="T482" s="116"/>
      <c r="U482" s="116" t="s">
        <v>104</v>
      </c>
      <c r="V482" s="118" t="s">
        <v>2816</v>
      </c>
      <c r="W482" s="116" t="s">
        <v>130</v>
      </c>
      <c r="X482" s="116" t="s">
        <v>143</v>
      </c>
      <c r="Y482" s="116" t="s">
        <v>152</v>
      </c>
      <c r="Z482" s="114">
        <f>IF(INDIRECT("Y482")="Clássico","11%",IF(INDIRECT("Y482")="Premium","16%","-"))</f>
      </c>
      <c r="AA482" s="116" t="s">
        <v>1357</v>
      </c>
      <c r="AB482" s="116" t="s">
        <v>110</v>
      </c>
      <c r="AC482" s="116" t="n">
        <v>30.0</v>
      </c>
      <c r="AD482" s="116" t="s">
        <v>111</v>
      </c>
      <c r="AE482" s="117" t="s">
        <v>112</v>
      </c>
      <c r="AF482" s="114" t="s">
        <v>1638</v>
      </c>
      <c r="AG482" s="116" t="n">
        <v>22.0</v>
      </c>
      <c r="AH482" s="116" t="n">
        <v>15.0</v>
      </c>
      <c r="AI482" s="116" t="n">
        <v>7.0</v>
      </c>
      <c r="AJ482" s="116" t="n">
        <v>0.11</v>
      </c>
    </row>
    <row r="483" ht="50.0" customHeight="true">
      <c r="A483" s="114" t="s">
        <v>1785</v>
      </c>
      <c r="B483" s="114" t="s">
        <v>2817</v>
      </c>
      <c r="C483" s="114" t="s">
        <v>1787</v>
      </c>
      <c r="D483" s="114"/>
      <c r="E483" s="115" t="s">
        <v>1788</v>
      </c>
      <c r="F483" s="115" t="s">
        <v>2818</v>
      </c>
      <c r="G483" s="114" t="s">
        <v>1073</v>
      </c>
      <c r="H483" s="116" t="n">
        <v>0.0</v>
      </c>
      <c r="I483" s="116" t="n">
        <v>42.0</v>
      </c>
      <c r="J483" s="116" t="s">
        <v>103</v>
      </c>
      <c r="K483" s="116" t="n">
        <v>37.0</v>
      </c>
      <c r="L483" s="116" t="n">
        <v>2.0</v>
      </c>
      <c r="M483" s="116"/>
      <c r="N483" s="116"/>
      <c r="O483" s="116"/>
      <c r="P483" s="116"/>
      <c r="Q483" s="116"/>
      <c r="R483" s="116"/>
      <c r="S483" s="116"/>
      <c r="T483" s="116"/>
      <c r="U483" s="116" t="s">
        <v>104</v>
      </c>
      <c r="V483" s="118" t="s">
        <v>2819</v>
      </c>
      <c r="W483" s="116" t="s">
        <v>106</v>
      </c>
      <c r="X483" s="116" t="s">
        <v>107</v>
      </c>
      <c r="Y483" s="116" t="s">
        <v>152</v>
      </c>
      <c r="Z483" s="114">
        <f>IF(INDIRECT("Y483")="Clássico","12%",IF(INDIRECT("Y483")="Premium","17%","-"))</f>
      </c>
      <c r="AA483" s="116" t="s">
        <v>1357</v>
      </c>
      <c r="AB483" s="116" t="s">
        <v>110</v>
      </c>
      <c r="AC483" s="116" t="n">
        <v>30.0</v>
      </c>
      <c r="AD483" s="116" t="s">
        <v>111</v>
      </c>
      <c r="AE483" s="117" t="s">
        <v>112</v>
      </c>
      <c r="AF483" s="114" t="s">
        <v>611</v>
      </c>
      <c r="AG483" s="116" t="n">
        <v>19.0</v>
      </c>
      <c r="AH483" s="116" t="n">
        <v>17.0</v>
      </c>
      <c r="AI483" s="116" t="n">
        <v>15.0</v>
      </c>
      <c r="AJ483" s="116" t="n">
        <v>0.35</v>
      </c>
    </row>
    <row r="484" ht="50.0" customHeight="true">
      <c r="A484" s="114" t="s">
        <v>2087</v>
      </c>
      <c r="B484" s="114" t="s">
        <v>2820</v>
      </c>
      <c r="C484" s="114" t="s">
        <v>2089</v>
      </c>
      <c r="D484" s="114"/>
      <c r="E484" s="115" t="s">
        <v>2090</v>
      </c>
      <c r="F484" s="115" t="s">
        <v>2821</v>
      </c>
      <c r="G484" s="114" t="s">
        <v>419</v>
      </c>
      <c r="H484" s="116" t="n">
        <v>0.0</v>
      </c>
      <c r="I484" s="116" t="n">
        <v>780.0</v>
      </c>
      <c r="J484" s="116" t="s">
        <v>103</v>
      </c>
      <c r="K484" s="116"/>
      <c r="L484" s="116"/>
      <c r="M484" s="116"/>
      <c r="N484" s="116"/>
      <c r="O484" s="116"/>
      <c r="P484" s="116"/>
      <c r="Q484" s="116"/>
      <c r="R484" s="116"/>
      <c r="S484" s="116"/>
      <c r="T484" s="116"/>
      <c r="U484" s="116" t="s">
        <v>104</v>
      </c>
      <c r="V484" s="118" t="s">
        <v>2822</v>
      </c>
      <c r="W484" s="116" t="s">
        <v>130</v>
      </c>
      <c r="X484" s="116" t="s">
        <v>107</v>
      </c>
      <c r="Y484" s="116" t="s">
        <v>108</v>
      </c>
      <c r="Z484" s="114">
        <f>IF(INDIRECT("Y484")="Clássico","10%",IF(INDIRECT("Y484")="Premium","15%","-"))</f>
      </c>
      <c r="AA484" s="116" t="s">
        <v>1357</v>
      </c>
      <c r="AB484" s="116" t="s">
        <v>686</v>
      </c>
      <c r="AC484" s="116" t="n">
        <v>0.0</v>
      </c>
      <c r="AD484" s="116" t="s">
        <v>22</v>
      </c>
      <c r="AE484" s="117" t="s">
        <v>112</v>
      </c>
      <c r="AF484" s="114" t="s">
        <v>1705</v>
      </c>
      <c r="AG484" s="116" t="n">
        <v>37.0</v>
      </c>
      <c r="AH484" s="116" t="n">
        <v>37.0</v>
      </c>
      <c r="AI484" s="116" t="n">
        <v>21.0</v>
      </c>
      <c r="AJ484" s="116" t="n">
        <v>6.56</v>
      </c>
    </row>
    <row r="485" ht="50.0" customHeight="true">
      <c r="A485" s="114" t="s">
        <v>2823</v>
      </c>
      <c r="B485" s="114" t="s">
        <v>2824</v>
      </c>
      <c r="C485" s="114" t="s">
        <v>2825</v>
      </c>
      <c r="D485" s="114"/>
      <c r="E485" s="115" t="s">
        <v>566</v>
      </c>
      <c r="F485" s="115" t="s">
        <v>2826</v>
      </c>
      <c r="G485" s="114" t="s">
        <v>2826</v>
      </c>
      <c r="H485" s="116" t="n">
        <v>4.0</v>
      </c>
      <c r="I485" s="116" t="n">
        <v>62.9</v>
      </c>
      <c r="J485" s="116" t="s">
        <v>103</v>
      </c>
      <c r="K485" s="116" t="n">
        <v>55.0</v>
      </c>
      <c r="L485" s="116" t="n">
        <v>2.0</v>
      </c>
      <c r="M485" s="116"/>
      <c r="N485" s="116"/>
      <c r="O485" s="116"/>
      <c r="P485" s="116"/>
      <c r="Q485" s="116"/>
      <c r="R485" s="116"/>
      <c r="S485" s="116"/>
      <c r="T485" s="116"/>
      <c r="U485" s="116" t="s">
        <v>104</v>
      </c>
      <c r="V485" s="118" t="s">
        <v>1710</v>
      </c>
      <c r="W485" s="116" t="s">
        <v>106</v>
      </c>
      <c r="X485" s="116" t="s">
        <v>107</v>
      </c>
      <c r="Y485" s="116" t="s">
        <v>108</v>
      </c>
      <c r="Z485" s="114">
        <f>IF(INDIRECT("Y485")="Clássico","11.5%",IF(INDIRECT("Y485")="Premium","16.5%","-"))</f>
      </c>
      <c r="AA485" s="116" t="s">
        <v>1357</v>
      </c>
      <c r="AB485" s="116" t="s">
        <v>110</v>
      </c>
      <c r="AC485" s="116" t="n">
        <v>30.0</v>
      </c>
      <c r="AD485" s="116" t="s">
        <v>111</v>
      </c>
      <c r="AE485" s="117" t="s">
        <v>112</v>
      </c>
      <c r="AF485" s="114" t="s">
        <v>756</v>
      </c>
      <c r="AG485" s="116" t="n">
        <v>21.0</v>
      </c>
      <c r="AH485" s="116" t="n">
        <v>15.0</v>
      </c>
      <c r="AI485" s="116" t="n">
        <v>11.0</v>
      </c>
      <c r="AJ485" s="116" t="n">
        <v>0.34</v>
      </c>
    </row>
    <row r="486" ht="50.0" customHeight="true">
      <c r="A486" s="114" t="s">
        <v>2827</v>
      </c>
      <c r="B486" s="114" t="s">
        <v>2828</v>
      </c>
      <c r="C486" s="114" t="s">
        <v>2829</v>
      </c>
      <c r="D486" s="114"/>
      <c r="E486" s="115" t="s">
        <v>1139</v>
      </c>
      <c r="F486" s="115" t="s">
        <v>2830</v>
      </c>
      <c r="G486" s="114" t="s">
        <v>419</v>
      </c>
      <c r="H486" s="116" t="n">
        <v>15000.0</v>
      </c>
      <c r="I486" s="116" t="n">
        <v>2.5</v>
      </c>
      <c r="J486" s="116" t="s">
        <v>103</v>
      </c>
      <c r="K486" s="116"/>
      <c r="L486" s="116"/>
      <c r="M486" s="116"/>
      <c r="N486" s="116"/>
      <c r="O486" s="116"/>
      <c r="P486" s="116"/>
      <c r="Q486" s="116"/>
      <c r="R486" s="116"/>
      <c r="S486" s="116"/>
      <c r="T486" s="116"/>
      <c r="U486" s="116" t="s">
        <v>104</v>
      </c>
      <c r="V486" s="118" t="s">
        <v>2831</v>
      </c>
      <c r="W486" s="116" t="s">
        <v>106</v>
      </c>
      <c r="X486" s="116" t="s">
        <v>107</v>
      </c>
      <c r="Y486" s="116" t="s">
        <v>108</v>
      </c>
      <c r="Z486" s="114">
        <f>IF(INDIRECT("Y486")="Clássico","13%",IF(INDIRECT("Y486")="Premium","18%","-"))</f>
      </c>
      <c r="AA486" s="116" t="s">
        <v>1357</v>
      </c>
      <c r="AB486" s="116" t="s">
        <v>110</v>
      </c>
      <c r="AC486" s="116" t="n">
        <v>30.0</v>
      </c>
      <c r="AD486" s="116" t="s">
        <v>111</v>
      </c>
      <c r="AE486" s="117" t="s">
        <v>112</v>
      </c>
      <c r="AF486" s="114" t="s">
        <v>841</v>
      </c>
      <c r="AG486" s="116" t="n">
        <v>19.0</v>
      </c>
      <c r="AH486" s="116" t="n">
        <v>14.0</v>
      </c>
      <c r="AI486" s="116" t="n">
        <v>5.0</v>
      </c>
      <c r="AJ486" s="116" t="n">
        <v>0.13</v>
      </c>
    </row>
    <row r="487" ht="50.0" customHeight="true">
      <c r="A487" s="114" t="s">
        <v>2832</v>
      </c>
      <c r="B487" s="114" t="s">
        <v>2833</v>
      </c>
      <c r="C487" s="114" t="s">
        <v>2834</v>
      </c>
      <c r="D487" s="114"/>
      <c r="E487" s="115"/>
      <c r="F487" s="115" t="s">
        <v>2835</v>
      </c>
      <c r="G487" s="114" t="s">
        <v>2835</v>
      </c>
      <c r="H487" s="116" t="n">
        <v>15000.0</v>
      </c>
      <c r="I487" s="116" t="n">
        <v>7.0</v>
      </c>
      <c r="J487" s="116" t="s">
        <v>103</v>
      </c>
      <c r="K487" s="116"/>
      <c r="L487" s="116"/>
      <c r="M487" s="116"/>
      <c r="N487" s="116"/>
      <c r="O487" s="116"/>
      <c r="P487" s="116"/>
      <c r="Q487" s="116"/>
      <c r="R487" s="116"/>
      <c r="S487" s="116"/>
      <c r="T487" s="116"/>
      <c r="U487" s="116" t="s">
        <v>104</v>
      </c>
      <c r="V487" s="118" t="s">
        <v>2836</v>
      </c>
      <c r="W487" s="116" t="s">
        <v>106</v>
      </c>
      <c r="X487" s="116" t="s">
        <v>107</v>
      </c>
      <c r="Y487" s="116" t="s">
        <v>108</v>
      </c>
      <c r="Z487" s="114">
        <f>IF(INDIRECT("Y487")="Clássico","13%",IF(INDIRECT("Y487")="Premium","18%","-"))</f>
      </c>
      <c r="AA487" s="116" t="s">
        <v>1357</v>
      </c>
      <c r="AB487" s="116" t="s">
        <v>110</v>
      </c>
      <c r="AC487" s="116" t="n">
        <v>30.0</v>
      </c>
      <c r="AD487" s="116" t="s">
        <v>111</v>
      </c>
      <c r="AE487" s="117" t="s">
        <v>112</v>
      </c>
      <c r="AF487" s="114" t="s">
        <v>1162</v>
      </c>
      <c r="AG487" s="116" t="n">
        <v>18.0</v>
      </c>
      <c r="AH487" s="116" t="n">
        <v>12.0</v>
      </c>
      <c r="AI487" s="116" t="n">
        <v>4.0</v>
      </c>
      <c r="AJ487" s="116" t="n">
        <v>0.11</v>
      </c>
    </row>
    <row r="488" ht="50.0" customHeight="true">
      <c r="A488" s="114" t="s">
        <v>1811</v>
      </c>
      <c r="B488" s="114" t="s">
        <v>2837</v>
      </c>
      <c r="C488" s="114" t="s">
        <v>1813</v>
      </c>
      <c r="D488" s="114"/>
      <c r="E488" s="115" t="s">
        <v>1814</v>
      </c>
      <c r="F488" s="115" t="s">
        <v>2838</v>
      </c>
      <c r="G488" s="114" t="s">
        <v>2838</v>
      </c>
      <c r="H488" s="116" t="n">
        <v>2.0</v>
      </c>
      <c r="I488" s="116" t="n">
        <v>201.0</v>
      </c>
      <c r="J488" s="116" t="s">
        <v>103</v>
      </c>
      <c r="K488" s="116" t="n">
        <v>179.0</v>
      </c>
      <c r="L488" s="116" t="n">
        <v>2.0</v>
      </c>
      <c r="M488" s="116"/>
      <c r="N488" s="116"/>
      <c r="O488" s="116"/>
      <c r="P488" s="116"/>
      <c r="Q488" s="116"/>
      <c r="R488" s="116"/>
      <c r="S488" s="116"/>
      <c r="T488" s="116"/>
      <c r="U488" s="116" t="s">
        <v>104</v>
      </c>
      <c r="V488" s="118" t="s">
        <v>2839</v>
      </c>
      <c r="W488" s="116" t="s">
        <v>130</v>
      </c>
      <c r="X488" s="116" t="s">
        <v>143</v>
      </c>
      <c r="Y488" s="116" t="s">
        <v>108</v>
      </c>
      <c r="Z488" s="114">
        <f>IF(INDIRECT("Y488")="Clássico","11.5%",IF(INDIRECT("Y488")="Premium","16.5%","-"))</f>
      </c>
      <c r="AA488" s="116" t="s">
        <v>1357</v>
      </c>
      <c r="AB488" s="116" t="s">
        <v>110</v>
      </c>
      <c r="AC488" s="116" t="n">
        <v>30.0</v>
      </c>
      <c r="AD488" s="116" t="s">
        <v>111</v>
      </c>
      <c r="AE488" s="117" t="s">
        <v>112</v>
      </c>
      <c r="AF488" s="114" t="s">
        <v>1817</v>
      </c>
      <c r="AG488" s="116" t="n">
        <v>8.0</v>
      </c>
      <c r="AH488" s="116" t="n">
        <v>53.0</v>
      </c>
      <c r="AI488" s="116" t="n">
        <v>23.0</v>
      </c>
      <c r="AJ488" s="116" t="n">
        <v>2.0</v>
      </c>
    </row>
    <row r="489" ht="50.0" customHeight="true">
      <c r="A489" s="114" t="s">
        <v>2840</v>
      </c>
      <c r="B489" s="114" t="s">
        <v>2841</v>
      </c>
      <c r="C489" s="114" t="s">
        <v>2842</v>
      </c>
      <c r="D489" s="114"/>
      <c r="E489" s="115" t="s">
        <v>2843</v>
      </c>
      <c r="F489" s="115" t="s">
        <v>2844</v>
      </c>
      <c r="G489" s="114" t="s">
        <v>192</v>
      </c>
      <c r="H489" s="116" t="n">
        <v>1.0</v>
      </c>
      <c r="I489" s="116" t="n">
        <v>1300.0</v>
      </c>
      <c r="J489" s="116" t="s">
        <v>103</v>
      </c>
      <c r="K489" s="116"/>
      <c r="L489" s="116"/>
      <c r="M489" s="116"/>
      <c r="N489" s="116"/>
      <c r="O489" s="116"/>
      <c r="P489" s="116"/>
      <c r="Q489" s="116"/>
      <c r="R489" s="116"/>
      <c r="S489" s="116"/>
      <c r="T489" s="116"/>
      <c r="U489" s="116" t="s">
        <v>104</v>
      </c>
      <c r="V489" s="118" t="s">
        <v>2845</v>
      </c>
      <c r="W489" s="116" t="s">
        <v>130</v>
      </c>
      <c r="X489" s="116" t="s">
        <v>143</v>
      </c>
      <c r="Y489" s="116" t="s">
        <v>108</v>
      </c>
      <c r="Z489" s="114">
        <f>IF(INDIRECT("Y489")="Clássico","11.5%",IF(INDIRECT("Y489")="Premium","16.5%","-"))</f>
      </c>
      <c r="AA489" s="116" t="s">
        <v>1357</v>
      </c>
      <c r="AB489" s="116" t="s">
        <v>110</v>
      </c>
      <c r="AC489" s="116" t="n">
        <v>30.0</v>
      </c>
      <c r="AD489" s="116" t="s">
        <v>111</v>
      </c>
      <c r="AE489" s="117" t="s">
        <v>112</v>
      </c>
      <c r="AF489" s="114" t="s">
        <v>2846</v>
      </c>
      <c r="AG489" s="116" t="n">
        <v>15.0</v>
      </c>
      <c r="AH489" s="116" t="n">
        <v>35.0</v>
      </c>
      <c r="AI489" s="116" t="n">
        <v>44.0</v>
      </c>
      <c r="AJ489" s="116" t="n">
        <v>10.5</v>
      </c>
    </row>
    <row r="490" ht="50.0" customHeight="true">
      <c r="A490" s="114" t="s">
        <v>2847</v>
      </c>
      <c r="B490" s="114" t="s">
        <v>2848</v>
      </c>
      <c r="C490" s="114" t="s">
        <v>2849</v>
      </c>
      <c r="D490" s="114"/>
      <c r="E490" s="115" t="s">
        <v>1436</v>
      </c>
      <c r="F490" s="115" t="s">
        <v>1433</v>
      </c>
      <c r="G490" s="114" t="s">
        <v>1365</v>
      </c>
      <c r="H490" s="116" t="n">
        <v>900.0</v>
      </c>
      <c r="I490" s="116" t="n">
        <v>20.5</v>
      </c>
      <c r="J490" s="116" t="s">
        <v>103</v>
      </c>
      <c r="K490" s="116"/>
      <c r="L490" s="116"/>
      <c r="M490" s="116"/>
      <c r="N490" s="116"/>
      <c r="O490" s="116"/>
      <c r="P490" s="116"/>
      <c r="Q490" s="116"/>
      <c r="R490" s="116"/>
      <c r="S490" s="116"/>
      <c r="T490" s="116"/>
      <c r="U490" s="116" t="s">
        <v>104</v>
      </c>
      <c r="V490" s="118" t="s">
        <v>22</v>
      </c>
      <c r="W490" s="116" t="s">
        <v>106</v>
      </c>
      <c r="X490" s="116" t="s">
        <v>107</v>
      </c>
      <c r="Y490" s="116" t="s">
        <v>108</v>
      </c>
      <c r="Z490" s="114">
        <f>IF(INDIRECT("Y490")="Clássico","11.5%",IF(INDIRECT("Y490")="Premium","16.5%","-"))</f>
      </c>
      <c r="AA490" s="116" t="s">
        <v>1357</v>
      </c>
      <c r="AB490" s="116" t="s">
        <v>120</v>
      </c>
      <c r="AC490" s="116" t="n">
        <v>90.0</v>
      </c>
      <c r="AD490" s="116" t="s">
        <v>111</v>
      </c>
      <c r="AE490" s="117" t="s">
        <v>112</v>
      </c>
      <c r="AF490" s="114" t="s">
        <v>1424</v>
      </c>
      <c r="AG490" s="116"/>
      <c r="AH490" s="116"/>
      <c r="AI490" s="116"/>
      <c r="AJ490" s="116"/>
    </row>
    <row r="491" ht="50.0" customHeight="true">
      <c r="A491" s="114" t="s">
        <v>2847</v>
      </c>
      <c r="B491" s="114" t="s">
        <v>2850</v>
      </c>
      <c r="C491" s="114" t="s">
        <v>2851</v>
      </c>
      <c r="D491" s="114"/>
      <c r="E491" s="115" t="s">
        <v>1438</v>
      </c>
      <c r="F491" s="115" t="s">
        <v>1433</v>
      </c>
      <c r="G491" s="114" t="s">
        <v>1378</v>
      </c>
      <c r="H491" s="116" t="n">
        <v>900.0</v>
      </c>
      <c r="I491" s="116" t="n">
        <v>20.5</v>
      </c>
      <c r="J491" s="116" t="s">
        <v>103</v>
      </c>
      <c r="K491" s="116"/>
      <c r="L491" s="116"/>
      <c r="M491" s="116"/>
      <c r="N491" s="116"/>
      <c r="O491" s="116"/>
      <c r="P491" s="116"/>
      <c r="Q491" s="116"/>
      <c r="R491" s="116"/>
      <c r="S491" s="116"/>
      <c r="T491" s="116"/>
      <c r="U491" s="116" t="s">
        <v>104</v>
      </c>
      <c r="V491" s="118" t="s">
        <v>22</v>
      </c>
      <c r="W491" s="116" t="s">
        <v>106</v>
      </c>
      <c r="X491" s="116" t="s">
        <v>107</v>
      </c>
      <c r="Y491" s="116" t="s">
        <v>108</v>
      </c>
      <c r="Z491" s="114">
        <f>IF(INDIRECT("Y491")="Clássico","11.5%",IF(INDIRECT("Y491")="Premium","16.5%","-"))</f>
      </c>
      <c r="AA491" s="116" t="s">
        <v>1357</v>
      </c>
      <c r="AB491" s="116" t="s">
        <v>120</v>
      </c>
      <c r="AC491" s="116" t="n">
        <v>90.0</v>
      </c>
      <c r="AD491" s="116" t="s">
        <v>111</v>
      </c>
      <c r="AE491" s="117" t="s">
        <v>112</v>
      </c>
      <c r="AF491" s="114" t="s">
        <v>1424</v>
      </c>
      <c r="AG491" s="116"/>
      <c r="AH491" s="116"/>
      <c r="AI491" s="116"/>
      <c r="AJ491" s="116"/>
    </row>
    <row r="492" ht="50.0" customHeight="true">
      <c r="A492" s="114" t="s">
        <v>2847</v>
      </c>
      <c r="B492" s="114" t="s">
        <v>2852</v>
      </c>
      <c r="C492" s="114" t="s">
        <v>2853</v>
      </c>
      <c r="D492" s="114"/>
      <c r="E492" s="115" t="s">
        <v>1440</v>
      </c>
      <c r="F492" s="115" t="s">
        <v>1433</v>
      </c>
      <c r="G492" s="114" t="s">
        <v>1383</v>
      </c>
      <c r="H492" s="116" t="n">
        <v>1200.0</v>
      </c>
      <c r="I492" s="116" t="n">
        <v>20.5</v>
      </c>
      <c r="J492" s="116" t="s">
        <v>103</v>
      </c>
      <c r="K492" s="116"/>
      <c r="L492" s="116"/>
      <c r="M492" s="116"/>
      <c r="N492" s="116"/>
      <c r="O492" s="116"/>
      <c r="P492" s="116"/>
      <c r="Q492" s="116"/>
      <c r="R492" s="116"/>
      <c r="S492" s="116"/>
      <c r="T492" s="116"/>
      <c r="U492" s="116" t="s">
        <v>104</v>
      </c>
      <c r="V492" s="118" t="s">
        <v>22</v>
      </c>
      <c r="W492" s="116" t="s">
        <v>106</v>
      </c>
      <c r="X492" s="116" t="s">
        <v>107</v>
      </c>
      <c r="Y492" s="116" t="s">
        <v>108</v>
      </c>
      <c r="Z492" s="114">
        <f>IF(INDIRECT("Y492")="Clássico","11.5%",IF(INDIRECT("Y492")="Premium","16.5%","-"))</f>
      </c>
      <c r="AA492" s="116" t="s">
        <v>1357</v>
      </c>
      <c r="AB492" s="116" t="s">
        <v>120</v>
      </c>
      <c r="AC492" s="116" t="n">
        <v>90.0</v>
      </c>
      <c r="AD492" s="116" t="s">
        <v>111</v>
      </c>
      <c r="AE492" s="117" t="s">
        <v>112</v>
      </c>
      <c r="AF492" s="114" t="s">
        <v>1424</v>
      </c>
      <c r="AG492" s="116"/>
      <c r="AH492" s="116"/>
      <c r="AI492" s="116"/>
      <c r="AJ492" s="116"/>
    </row>
    <row r="493" ht="50.0" customHeight="true">
      <c r="A493" s="114" t="s">
        <v>2854</v>
      </c>
      <c r="B493" s="114" t="s">
        <v>2855</v>
      </c>
      <c r="C493" s="114" t="s">
        <v>2856</v>
      </c>
      <c r="D493" s="114"/>
      <c r="E493" s="115" t="s">
        <v>2857</v>
      </c>
      <c r="F493" s="115" t="s">
        <v>2858</v>
      </c>
      <c r="G493" s="114" t="s">
        <v>649</v>
      </c>
      <c r="H493" s="116" t="n">
        <v>1.0</v>
      </c>
      <c r="I493" s="116" t="n">
        <v>380.0</v>
      </c>
      <c r="J493" s="116" t="s">
        <v>103</v>
      </c>
      <c r="K493" s="116" t="n">
        <v>319.99</v>
      </c>
      <c r="L493" s="116" t="n">
        <v>2.0</v>
      </c>
      <c r="M493" s="116"/>
      <c r="N493" s="116"/>
      <c r="O493" s="116"/>
      <c r="P493" s="116"/>
      <c r="Q493" s="116"/>
      <c r="R493" s="116"/>
      <c r="S493" s="116"/>
      <c r="T493" s="116"/>
      <c r="U493" s="116" t="s">
        <v>104</v>
      </c>
      <c r="V493" s="118" t="s">
        <v>22</v>
      </c>
      <c r="W493" s="116" t="s">
        <v>130</v>
      </c>
      <c r="X493" s="116" t="s">
        <v>143</v>
      </c>
      <c r="Y493" s="116" t="s">
        <v>152</v>
      </c>
      <c r="Z493" s="114">
        <f>IF(INDIRECT("Y493")="Clássico","11%",IF(INDIRECT("Y493")="Premium","16%","-"))</f>
      </c>
      <c r="AA493" s="116" t="s">
        <v>1357</v>
      </c>
      <c r="AB493" s="116" t="s">
        <v>110</v>
      </c>
      <c r="AC493" s="116" t="n">
        <v>30.0</v>
      </c>
      <c r="AD493" s="116" t="s">
        <v>111</v>
      </c>
      <c r="AE493" s="117" t="s">
        <v>112</v>
      </c>
      <c r="AF493" s="114" t="s">
        <v>2744</v>
      </c>
      <c r="AG493" s="116" t="n">
        <v>37.0</v>
      </c>
      <c r="AH493" s="116" t="n">
        <v>30.0</v>
      </c>
      <c r="AI493" s="116" t="n">
        <v>11.0</v>
      </c>
      <c r="AJ493" s="116" t="n">
        <v>2.0</v>
      </c>
    </row>
    <row r="494" ht="50.0" customHeight="true">
      <c r="A494" s="114" t="s">
        <v>2859</v>
      </c>
      <c r="B494" s="114" t="s">
        <v>2860</v>
      </c>
      <c r="C494" s="114" t="s">
        <v>2861</v>
      </c>
      <c r="D494" s="114"/>
      <c r="E494" s="115" t="s">
        <v>2862</v>
      </c>
      <c r="F494" s="115" t="s">
        <v>2863</v>
      </c>
      <c r="G494" s="114" t="s">
        <v>649</v>
      </c>
      <c r="H494" s="116" t="n">
        <v>1.0</v>
      </c>
      <c r="I494" s="116" t="n">
        <v>1200.0</v>
      </c>
      <c r="J494" s="116" t="s">
        <v>103</v>
      </c>
      <c r="K494" s="116" t="n">
        <v>1150.0</v>
      </c>
      <c r="L494" s="116" t="n">
        <v>2.0</v>
      </c>
      <c r="M494" s="116"/>
      <c r="N494" s="116"/>
      <c r="O494" s="116"/>
      <c r="P494" s="116"/>
      <c r="Q494" s="116"/>
      <c r="R494" s="116"/>
      <c r="S494" s="116"/>
      <c r="T494" s="116"/>
      <c r="U494" s="116" t="s">
        <v>104</v>
      </c>
      <c r="V494" s="118" t="s">
        <v>2864</v>
      </c>
      <c r="W494" s="116" t="s">
        <v>130</v>
      </c>
      <c r="X494" s="116" t="s">
        <v>143</v>
      </c>
      <c r="Y494" s="116" t="s">
        <v>152</v>
      </c>
      <c r="Z494" s="114">
        <f>IF(INDIRECT("Y494")="Clássico","11%",IF(INDIRECT("Y494")="Premium","16%","-"))</f>
      </c>
      <c r="AA494" s="116" t="s">
        <v>1357</v>
      </c>
      <c r="AB494" s="116" t="s">
        <v>110</v>
      </c>
      <c r="AC494" s="116" t="n">
        <v>30.0</v>
      </c>
      <c r="AD494" s="116" t="s">
        <v>111</v>
      </c>
      <c r="AE494" s="117" t="s">
        <v>112</v>
      </c>
      <c r="AF494" s="114" t="s">
        <v>2744</v>
      </c>
      <c r="AG494" s="116" t="n">
        <v>47.0</v>
      </c>
      <c r="AH494" s="116" t="n">
        <v>38.0</v>
      </c>
      <c r="AI494" s="116" t="n">
        <v>12.0</v>
      </c>
      <c r="AJ494" s="116" t="n">
        <v>4.3</v>
      </c>
    </row>
    <row r="495" ht="50.0" customHeight="true">
      <c r="A495" s="114" t="s">
        <v>2865</v>
      </c>
      <c r="B495" s="114" t="s">
        <v>2866</v>
      </c>
      <c r="C495" s="114" t="s">
        <v>2867</v>
      </c>
      <c r="D495" s="114"/>
      <c r="E495" s="115" t="s">
        <v>2868</v>
      </c>
      <c r="F495" s="115" t="s">
        <v>2869</v>
      </c>
      <c r="G495" s="114" t="s">
        <v>1073</v>
      </c>
      <c r="H495" s="116" t="n">
        <v>1.0</v>
      </c>
      <c r="I495" s="116" t="n">
        <v>2900.0</v>
      </c>
      <c r="J495" s="116" t="s">
        <v>103</v>
      </c>
      <c r="K495" s="116" t="n">
        <v>2891.07</v>
      </c>
      <c r="L495" s="116" t="n">
        <v>2.0</v>
      </c>
      <c r="M495" s="116"/>
      <c r="N495" s="116"/>
      <c r="O495" s="116"/>
      <c r="P495" s="116"/>
      <c r="Q495" s="116"/>
      <c r="R495" s="116"/>
      <c r="S495" s="116"/>
      <c r="T495" s="116"/>
      <c r="U495" s="116" t="s">
        <v>104</v>
      </c>
      <c r="V495" s="118" t="s">
        <v>2870</v>
      </c>
      <c r="W495" s="116" t="s">
        <v>130</v>
      </c>
      <c r="X495" s="116" t="s">
        <v>143</v>
      </c>
      <c r="Y495" s="116" t="s">
        <v>152</v>
      </c>
      <c r="Z495" s="114">
        <f>IF(INDIRECT("Y495")="Clássico","11%",IF(INDIRECT("Y495")="Premium","16%","-"))</f>
      </c>
      <c r="AA495" s="116" t="s">
        <v>1357</v>
      </c>
      <c r="AB495" s="116" t="s">
        <v>110</v>
      </c>
      <c r="AC495" s="116" t="n">
        <v>30.0</v>
      </c>
      <c r="AD495" s="116" t="s">
        <v>111</v>
      </c>
      <c r="AE495" s="117" t="s">
        <v>112</v>
      </c>
      <c r="AF495" s="114" t="s">
        <v>2744</v>
      </c>
      <c r="AG495" s="116" t="n">
        <v>44.0</v>
      </c>
      <c r="AH495" s="116" t="n">
        <v>37.0</v>
      </c>
      <c r="AI495" s="116" t="n">
        <v>13.0</v>
      </c>
      <c r="AJ495" s="116" t="n">
        <v>6.1</v>
      </c>
    </row>
    <row r="496" ht="50.0" customHeight="true">
      <c r="A496" s="114" t="s">
        <v>2871</v>
      </c>
      <c r="B496" s="114" t="s">
        <v>2872</v>
      </c>
      <c r="C496" s="114" t="s">
        <v>2873</v>
      </c>
      <c r="D496" s="114"/>
      <c r="E496" s="115" t="s">
        <v>2874</v>
      </c>
      <c r="F496" s="115" t="s">
        <v>2875</v>
      </c>
      <c r="G496" s="114" t="s">
        <v>2876</v>
      </c>
      <c r="H496" s="116" t="n">
        <v>1.0</v>
      </c>
      <c r="I496" s="116" t="n">
        <v>950.0</v>
      </c>
      <c r="J496" s="116" t="s">
        <v>103</v>
      </c>
      <c r="K496" s="116" t="n">
        <v>899.99</v>
      </c>
      <c r="L496" s="116" t="n">
        <v>2.0</v>
      </c>
      <c r="M496" s="116"/>
      <c r="N496" s="116"/>
      <c r="O496" s="116"/>
      <c r="P496" s="116"/>
      <c r="Q496" s="116"/>
      <c r="R496" s="116"/>
      <c r="S496" s="116"/>
      <c r="T496" s="116"/>
      <c r="U496" s="116" t="s">
        <v>104</v>
      </c>
      <c r="V496" s="118" t="s">
        <v>2877</v>
      </c>
      <c r="W496" s="116" t="s">
        <v>130</v>
      </c>
      <c r="X496" s="116" t="s">
        <v>143</v>
      </c>
      <c r="Y496" s="116" t="s">
        <v>152</v>
      </c>
      <c r="Z496" s="114">
        <f>IF(INDIRECT("Y496")="Clássico","11%",IF(INDIRECT("Y496")="Premium","16%","-"))</f>
      </c>
      <c r="AA496" s="116" t="s">
        <v>1357</v>
      </c>
      <c r="AB496" s="116" t="s">
        <v>110</v>
      </c>
      <c r="AC496" s="116" t="n">
        <v>30.0</v>
      </c>
      <c r="AD496" s="116" t="s">
        <v>111</v>
      </c>
      <c r="AE496" s="117" t="s">
        <v>112</v>
      </c>
      <c r="AF496" s="114" t="s">
        <v>2744</v>
      </c>
      <c r="AG496" s="116" t="n">
        <v>39.0</v>
      </c>
      <c r="AH496" s="116" t="n">
        <v>32.0</v>
      </c>
      <c r="AI496" s="116" t="n">
        <v>10.0</v>
      </c>
      <c r="AJ496" s="116" t="n">
        <v>2.6</v>
      </c>
    </row>
    <row r="497" ht="50.0" customHeight="true">
      <c r="A497" s="114" t="s">
        <v>2878</v>
      </c>
      <c r="B497" s="114" t="s">
        <v>2879</v>
      </c>
      <c r="C497" s="114" t="s">
        <v>2880</v>
      </c>
      <c r="D497" s="114"/>
      <c r="E497" s="115" t="s">
        <v>2881</v>
      </c>
      <c r="F497" s="115" t="s">
        <v>2882</v>
      </c>
      <c r="G497" s="114" t="s">
        <v>2882</v>
      </c>
      <c r="H497" s="116" t="n">
        <v>1.0</v>
      </c>
      <c r="I497" s="116" t="n">
        <v>30.0</v>
      </c>
      <c r="J497" s="116" t="s">
        <v>103</v>
      </c>
      <c r="K497" s="116" t="n">
        <v>20.0</v>
      </c>
      <c r="L497" s="116" t="n">
        <v>2.0</v>
      </c>
      <c r="M497" s="116"/>
      <c r="N497" s="116"/>
      <c r="O497" s="116"/>
      <c r="P497" s="116"/>
      <c r="Q497" s="116"/>
      <c r="R497" s="116"/>
      <c r="S497" s="116"/>
      <c r="T497" s="116"/>
      <c r="U497" s="116" t="s">
        <v>104</v>
      </c>
      <c r="V497" s="118" t="s">
        <v>2883</v>
      </c>
      <c r="W497" s="116" t="s">
        <v>130</v>
      </c>
      <c r="X497" s="116" t="s">
        <v>143</v>
      </c>
      <c r="Y497" s="116" t="s">
        <v>152</v>
      </c>
      <c r="Z497" s="114">
        <f>IF(INDIRECT("Y497")="Clássico","12%",IF(INDIRECT("Y497")="Premium","17%","-"))</f>
      </c>
      <c r="AA497" s="116" t="s">
        <v>1357</v>
      </c>
      <c r="AB497" s="116" t="s">
        <v>110</v>
      </c>
      <c r="AC497" s="116" t="n">
        <v>30.0</v>
      </c>
      <c r="AD497" s="116" t="s">
        <v>111</v>
      </c>
      <c r="AE497" s="117" t="s">
        <v>112</v>
      </c>
      <c r="AF497" s="114" t="s">
        <v>324</v>
      </c>
      <c r="AG497" s="116" t="n">
        <v>10.0</v>
      </c>
      <c r="AH497" s="116" t="n">
        <v>10.0</v>
      </c>
      <c r="AI497" s="116" t="n">
        <v>3.0</v>
      </c>
      <c r="AJ497" s="116" t="n">
        <v>0.3</v>
      </c>
    </row>
    <row r="498" ht="50.0" customHeight="true">
      <c r="A498" s="114" t="s">
        <v>2884</v>
      </c>
      <c r="B498" s="114" t="s">
        <v>2885</v>
      </c>
      <c r="C498" s="114" t="s">
        <v>2886</v>
      </c>
      <c r="D498" s="114"/>
      <c r="E498" s="115" t="s">
        <v>2887</v>
      </c>
      <c r="F498" s="115" t="s">
        <v>2888</v>
      </c>
      <c r="G498" s="114" t="s">
        <v>2888</v>
      </c>
      <c r="H498" s="116" t="n">
        <v>1.0</v>
      </c>
      <c r="I498" s="116" t="n">
        <v>69.99</v>
      </c>
      <c r="J498" s="116" t="s">
        <v>103</v>
      </c>
      <c r="K498" s="116" t="n">
        <v>59.99</v>
      </c>
      <c r="L498" s="116" t="n">
        <v>2.0</v>
      </c>
      <c r="M498" s="116"/>
      <c r="N498" s="116"/>
      <c r="O498" s="116"/>
      <c r="P498" s="116"/>
      <c r="Q498" s="116"/>
      <c r="R498" s="116"/>
      <c r="S498" s="116"/>
      <c r="T498" s="116"/>
      <c r="U498" s="116" t="s">
        <v>104</v>
      </c>
      <c r="V498" s="118" t="s">
        <v>2889</v>
      </c>
      <c r="W498" s="116" t="s">
        <v>130</v>
      </c>
      <c r="X498" s="116" t="s">
        <v>143</v>
      </c>
      <c r="Y498" s="116" t="s">
        <v>152</v>
      </c>
      <c r="Z498" s="114">
        <f>IF(INDIRECT("Y498")="Clássico","12%",IF(INDIRECT("Y498")="Premium","17%","-"))</f>
      </c>
      <c r="AA498" s="116" t="s">
        <v>1357</v>
      </c>
      <c r="AB498" s="116" t="s">
        <v>110</v>
      </c>
      <c r="AC498" s="116" t="n">
        <v>30.0</v>
      </c>
      <c r="AD498" s="116" t="s">
        <v>111</v>
      </c>
      <c r="AE498" s="117" t="s">
        <v>112</v>
      </c>
      <c r="AF498" s="114" t="s">
        <v>2890</v>
      </c>
      <c r="AG498" s="116" t="n">
        <v>14.0</v>
      </c>
      <c r="AH498" s="116" t="n">
        <v>6.0</v>
      </c>
      <c r="AI498" s="116" t="n">
        <v>6.0</v>
      </c>
      <c r="AJ498" s="116" t="n">
        <v>0.2</v>
      </c>
    </row>
    <row r="499" ht="50.0" customHeight="true">
      <c r="A499" s="114" t="s">
        <v>2891</v>
      </c>
      <c r="B499" s="114" t="s">
        <v>2892</v>
      </c>
      <c r="C499" s="114" t="s">
        <v>2893</v>
      </c>
      <c r="D499" s="114"/>
      <c r="E499" s="115" t="s">
        <v>2894</v>
      </c>
      <c r="F499" s="115" t="s">
        <v>2895</v>
      </c>
      <c r="G499" s="114" t="s">
        <v>2895</v>
      </c>
      <c r="H499" s="116" t="n">
        <v>1.0</v>
      </c>
      <c r="I499" s="116" t="n">
        <v>45.0</v>
      </c>
      <c r="J499" s="116" t="s">
        <v>103</v>
      </c>
      <c r="K499" s="116" t="n">
        <v>36.99</v>
      </c>
      <c r="L499" s="116" t="n">
        <v>2.0</v>
      </c>
      <c r="M499" s="116"/>
      <c r="N499" s="116"/>
      <c r="O499" s="116"/>
      <c r="P499" s="116"/>
      <c r="Q499" s="116"/>
      <c r="R499" s="116"/>
      <c r="S499" s="116"/>
      <c r="T499" s="116"/>
      <c r="U499" s="116" t="s">
        <v>104</v>
      </c>
      <c r="V499" s="118" t="s">
        <v>2896</v>
      </c>
      <c r="W499" s="116" t="s">
        <v>130</v>
      </c>
      <c r="X499" s="116" t="s">
        <v>143</v>
      </c>
      <c r="Y499" s="116" t="s">
        <v>152</v>
      </c>
      <c r="Z499" s="114">
        <f>IF(INDIRECT("Y499")="Clássico","12%",IF(INDIRECT("Y499")="Premium","17%","-"))</f>
      </c>
      <c r="AA499" s="116" t="s">
        <v>1357</v>
      </c>
      <c r="AB499" s="116" t="s">
        <v>110</v>
      </c>
      <c r="AC499" s="116" t="n">
        <v>30.0</v>
      </c>
      <c r="AD499" s="116" t="s">
        <v>111</v>
      </c>
      <c r="AE499" s="117" t="s">
        <v>112</v>
      </c>
      <c r="AF499" s="114" t="s">
        <v>2897</v>
      </c>
      <c r="AG499" s="116" t="n">
        <v>16.0</v>
      </c>
      <c r="AH499" s="116" t="n">
        <v>10.0</v>
      </c>
      <c r="AI499" s="116" t="n">
        <v>4.0</v>
      </c>
      <c r="AJ499" s="116" t="n">
        <v>0.06</v>
      </c>
    </row>
    <row r="500" ht="50.0" customHeight="true">
      <c r="A500" s="114" t="s">
        <v>2898</v>
      </c>
      <c r="B500" s="114" t="s">
        <v>2899</v>
      </c>
      <c r="C500" s="114" t="s">
        <v>2900</v>
      </c>
      <c r="D500" s="114"/>
      <c r="E500" s="115" t="s">
        <v>2901</v>
      </c>
      <c r="F500" s="115" t="s">
        <v>2902</v>
      </c>
      <c r="G500" s="114" t="s">
        <v>254</v>
      </c>
      <c r="H500" s="116" t="n">
        <v>1.0</v>
      </c>
      <c r="I500" s="116" t="n">
        <v>45.0</v>
      </c>
      <c r="J500" s="116" t="s">
        <v>103</v>
      </c>
      <c r="K500" s="116"/>
      <c r="L500" s="116"/>
      <c r="M500" s="116"/>
      <c r="N500" s="116"/>
      <c r="O500" s="116"/>
      <c r="P500" s="116"/>
      <c r="Q500" s="116"/>
      <c r="R500" s="116"/>
      <c r="S500" s="116"/>
      <c r="T500" s="116"/>
      <c r="U500" s="116" t="s">
        <v>104</v>
      </c>
      <c r="V500" s="118" t="s">
        <v>2903</v>
      </c>
      <c r="W500" s="116" t="s">
        <v>130</v>
      </c>
      <c r="X500" s="116" t="s">
        <v>143</v>
      </c>
      <c r="Y500" s="116" t="s">
        <v>152</v>
      </c>
      <c r="Z500" s="114">
        <f>IF(INDIRECT("Y500")="Clássico","12%",IF(INDIRECT("Y500")="Premium","17%","-"))</f>
      </c>
      <c r="AA500" s="116" t="s">
        <v>1357</v>
      </c>
      <c r="AB500" s="116" t="s">
        <v>110</v>
      </c>
      <c r="AC500" s="116" t="n">
        <v>30.0</v>
      </c>
      <c r="AD500" s="116" t="s">
        <v>111</v>
      </c>
      <c r="AE500" s="117" t="s">
        <v>112</v>
      </c>
      <c r="AF500" s="114" t="s">
        <v>2904</v>
      </c>
      <c r="AG500" s="116" t="n">
        <v>12.0</v>
      </c>
      <c r="AH500" s="116" t="n">
        <v>12.0</v>
      </c>
      <c r="AI500" s="116" t="n">
        <v>4.0</v>
      </c>
      <c r="AJ500" s="116" t="n">
        <v>0.3</v>
      </c>
    </row>
    <row r="501" ht="50.0" customHeight="true">
      <c r="A501" s="114" t="s">
        <v>2905</v>
      </c>
      <c r="B501" s="114" t="s">
        <v>2906</v>
      </c>
      <c r="C501" s="114" t="s">
        <v>2907</v>
      </c>
      <c r="D501" s="114"/>
      <c r="E501" s="114" t="s">
        <v>204</v>
      </c>
      <c r="F501" s="114" t="s">
        <v>2908</v>
      </c>
      <c r="G501" s="114" t="s">
        <v>2908</v>
      </c>
      <c r="H501" s="116" t="n">
        <v>45.0</v>
      </c>
      <c r="I501" s="114" t="s">
        <v>2909</v>
      </c>
      <c r="J501" s="114" t="s">
        <v>103</v>
      </c>
      <c r="K501" s="114" t="s">
        <v>22</v>
      </c>
      <c r="L501" s="114" t="s">
        <v>22</v>
      </c>
      <c r="M501" s="114" t="s">
        <v>22</v>
      </c>
      <c r="N501" s="114" t="s">
        <v>22</v>
      </c>
      <c r="O501" s="114" t="s">
        <v>22</v>
      </c>
      <c r="P501" s="114" t="s">
        <v>22</v>
      </c>
      <c r="Q501" s="114" t="s">
        <v>22</v>
      </c>
      <c r="R501" s="114" t="s">
        <v>22</v>
      </c>
      <c r="S501" s="114" t="s">
        <v>22</v>
      </c>
      <c r="T501" s="114" t="s">
        <v>22</v>
      </c>
      <c r="U501" s="114" t="s">
        <v>104</v>
      </c>
      <c r="V501" s="114" t="s">
        <v>2910</v>
      </c>
      <c r="W501" s="114" t="s">
        <v>106</v>
      </c>
      <c r="X501" s="114" t="s">
        <v>107</v>
      </c>
      <c r="Y501" s="114" t="s">
        <v>152</v>
      </c>
      <c r="Z501" s="114">
        <f>IF(INDIRECT("Y501")="Clássico","12%",IF(INDIRECT("Y501")="Premium","17%","-"))</f>
      </c>
      <c r="AA501" s="114" t="s">
        <v>1357</v>
      </c>
      <c r="AB501" s="114" t="s">
        <v>110</v>
      </c>
      <c r="AC501" s="114" t="s">
        <v>958</v>
      </c>
      <c r="AD501" s="114" t="s">
        <v>111</v>
      </c>
      <c r="AE501" s="117" t="s">
        <v>112</v>
      </c>
      <c r="AF501" s="114" t="s">
        <v>200</v>
      </c>
      <c r="AG501" s="114" t="s">
        <v>2911</v>
      </c>
      <c r="AH501" s="114" t="s">
        <v>2428</v>
      </c>
      <c r="AI501" s="114" t="s">
        <v>289</v>
      </c>
      <c r="AJ501" s="114" t="s">
        <v>2912</v>
      </c>
    </row>
    <row r="502" ht="50.0" customHeight="true">
      <c r="A502" s="114" t="s">
        <v>2913</v>
      </c>
      <c r="B502" s="114" t="s">
        <v>2914</v>
      </c>
      <c r="C502" s="114" t="s">
        <v>2915</v>
      </c>
      <c r="D502" s="114"/>
      <c r="E502" s="114" t="s">
        <v>1635</v>
      </c>
      <c r="F502" s="114" t="s">
        <v>2916</v>
      </c>
      <c r="G502" s="114" t="s">
        <v>2917</v>
      </c>
      <c r="H502" s="116" t="n">
        <v>1.0</v>
      </c>
      <c r="I502" s="114" t="s">
        <v>2918</v>
      </c>
      <c r="J502" s="114" t="s">
        <v>103</v>
      </c>
      <c r="K502" s="114" t="s">
        <v>22</v>
      </c>
      <c r="L502" s="114" t="s">
        <v>22</v>
      </c>
      <c r="M502" s="114" t="s">
        <v>22</v>
      </c>
      <c r="N502" s="114" t="s">
        <v>22</v>
      </c>
      <c r="O502" s="114" t="s">
        <v>22</v>
      </c>
      <c r="P502" s="114" t="s">
        <v>22</v>
      </c>
      <c r="Q502" s="114" t="s">
        <v>22</v>
      </c>
      <c r="R502" s="114" t="s">
        <v>22</v>
      </c>
      <c r="S502" s="114" t="s">
        <v>22</v>
      </c>
      <c r="T502" s="114" t="s">
        <v>22</v>
      </c>
      <c r="U502" s="114" t="s">
        <v>104</v>
      </c>
      <c r="V502" s="114" t="s">
        <v>2919</v>
      </c>
      <c r="W502" s="114" t="s">
        <v>106</v>
      </c>
      <c r="X502" s="114" t="s">
        <v>107</v>
      </c>
      <c r="Y502" s="114" t="s">
        <v>108</v>
      </c>
      <c r="Z502" s="114">
        <f>IF(INDIRECT("Y502")="Clássico","11.5%",IF(INDIRECT("Y502")="Premium","16.5%","-"))</f>
      </c>
      <c r="AA502" s="114" t="s">
        <v>1357</v>
      </c>
      <c r="AB502" s="114" t="s">
        <v>110</v>
      </c>
      <c r="AC502" s="114" t="s">
        <v>958</v>
      </c>
      <c r="AD502" s="114" t="s">
        <v>111</v>
      </c>
      <c r="AE502" s="117" t="s">
        <v>112</v>
      </c>
      <c r="AF502" s="114" t="s">
        <v>395</v>
      </c>
      <c r="AG502" s="114" t="s">
        <v>287</v>
      </c>
      <c r="AH502" s="114" t="s">
        <v>2920</v>
      </c>
      <c r="AI502" s="114" t="s">
        <v>289</v>
      </c>
      <c r="AJ502" s="114" t="s">
        <v>2921</v>
      </c>
    </row>
    <row r="503" ht="50.0" customHeight="true">
      <c r="A503" s="114" t="s">
        <v>219</v>
      </c>
      <c r="B503" s="114" t="s">
        <v>2922</v>
      </c>
      <c r="C503" s="114" t="s">
        <v>221</v>
      </c>
      <c r="D503" s="114"/>
      <c r="E503" s="114" t="s">
        <v>222</v>
      </c>
      <c r="F503" s="114" t="s">
        <v>223</v>
      </c>
      <c r="G503" s="114" t="s">
        <v>223</v>
      </c>
      <c r="H503" s="116" t="n">
        <v>100.0</v>
      </c>
      <c r="I503" s="114" t="s">
        <v>2909</v>
      </c>
      <c r="J503" s="114" t="s">
        <v>103</v>
      </c>
      <c r="K503" s="114" t="s">
        <v>22</v>
      </c>
      <c r="L503" s="114" t="s">
        <v>22</v>
      </c>
      <c r="M503" s="114" t="s">
        <v>22</v>
      </c>
      <c r="N503" s="114" t="s">
        <v>22</v>
      </c>
      <c r="O503" s="114" t="s">
        <v>22</v>
      </c>
      <c r="P503" s="114" t="s">
        <v>22</v>
      </c>
      <c r="Q503" s="114" t="s">
        <v>22</v>
      </c>
      <c r="R503" s="114" t="s">
        <v>22</v>
      </c>
      <c r="S503" s="114" t="s">
        <v>22</v>
      </c>
      <c r="T503" s="114" t="s">
        <v>22</v>
      </c>
      <c r="U503" s="114" t="s">
        <v>104</v>
      </c>
      <c r="V503" s="114" t="s">
        <v>22</v>
      </c>
      <c r="W503" s="114" t="s">
        <v>106</v>
      </c>
      <c r="X503" s="114" t="s">
        <v>107</v>
      </c>
      <c r="Y503" s="114" t="s">
        <v>108</v>
      </c>
      <c r="Z503" s="114">
        <f>IF(INDIRECT("Y503")="Clássico","12%",IF(INDIRECT("Y503")="Premium","17%","-"))</f>
      </c>
      <c r="AA503" s="114" t="s">
        <v>1357</v>
      </c>
      <c r="AB503" s="114" t="s">
        <v>110</v>
      </c>
      <c r="AC503" s="114" t="s">
        <v>958</v>
      </c>
      <c r="AD503" s="114" t="s">
        <v>111</v>
      </c>
      <c r="AE503" s="117" t="s">
        <v>112</v>
      </c>
      <c r="AF503" s="114" t="s">
        <v>200</v>
      </c>
      <c r="AG503" s="114" t="s">
        <v>864</v>
      </c>
      <c r="AH503" s="114" t="s">
        <v>970</v>
      </c>
      <c r="AI503" s="114" t="s">
        <v>2923</v>
      </c>
      <c r="AJ503" s="114" t="s">
        <v>2924</v>
      </c>
    </row>
    <row r="504" ht="50.0" customHeight="true">
      <c r="A504" s="114" t="s">
        <v>2925</v>
      </c>
      <c r="B504" s="114" t="s">
        <v>2926</v>
      </c>
      <c r="C504" s="114" t="s">
        <v>2927</v>
      </c>
      <c r="D504" s="114"/>
      <c r="E504" s="114" t="s">
        <v>1295</v>
      </c>
      <c r="F504" s="114" t="s">
        <v>2928</v>
      </c>
      <c r="G504" s="114" t="s">
        <v>2929</v>
      </c>
      <c r="H504" s="116" t="n">
        <v>14.0</v>
      </c>
      <c r="I504" s="114" t="s">
        <v>1585</v>
      </c>
      <c r="J504" s="114" t="s">
        <v>103</v>
      </c>
      <c r="K504" s="114" t="s">
        <v>22</v>
      </c>
      <c r="L504" s="114" t="s">
        <v>22</v>
      </c>
      <c r="M504" s="114" t="s">
        <v>22</v>
      </c>
      <c r="N504" s="114" t="s">
        <v>22</v>
      </c>
      <c r="O504" s="114" t="s">
        <v>22</v>
      </c>
      <c r="P504" s="114" t="s">
        <v>22</v>
      </c>
      <c r="Q504" s="114" t="s">
        <v>22</v>
      </c>
      <c r="R504" s="114" t="s">
        <v>22</v>
      </c>
      <c r="S504" s="114" t="s">
        <v>22</v>
      </c>
      <c r="T504" s="114" t="s">
        <v>22</v>
      </c>
      <c r="U504" s="114" t="s">
        <v>104</v>
      </c>
      <c r="V504" s="114" t="s">
        <v>2930</v>
      </c>
      <c r="W504" s="114" t="s">
        <v>130</v>
      </c>
      <c r="X504" s="114" t="s">
        <v>107</v>
      </c>
      <c r="Y504" s="114" t="s">
        <v>152</v>
      </c>
      <c r="Z504" s="114">
        <f>IF(INDIRECT("Y504")="Clássico","11.5%",IF(INDIRECT("Y504")="Premium","16.5%","-"))</f>
      </c>
      <c r="AA504" s="114" t="s">
        <v>1357</v>
      </c>
      <c r="AB504" s="114" t="s">
        <v>110</v>
      </c>
      <c r="AC504" s="114" t="s">
        <v>958</v>
      </c>
      <c r="AD504" s="114" t="s">
        <v>111</v>
      </c>
      <c r="AE504" s="117" t="s">
        <v>112</v>
      </c>
      <c r="AF504" s="114" t="s">
        <v>2931</v>
      </c>
      <c r="AG504" s="114" t="s">
        <v>269</v>
      </c>
      <c r="AH504" s="114" t="s">
        <v>270</v>
      </c>
      <c r="AI504" s="114" t="s">
        <v>2911</v>
      </c>
      <c r="AJ504" s="114" t="s">
        <v>2932</v>
      </c>
    </row>
    <row r="505" ht="50.0" customHeight="true">
      <c r="A505" s="114" t="s">
        <v>2933</v>
      </c>
      <c r="B505" s="114" t="s">
        <v>2934</v>
      </c>
      <c r="C505" s="114" t="s">
        <v>2935</v>
      </c>
      <c r="D505" s="114"/>
      <c r="E505" s="114" t="s">
        <v>2936</v>
      </c>
      <c r="F505" s="114" t="s">
        <v>2937</v>
      </c>
      <c r="G505" s="114" t="s">
        <v>2937</v>
      </c>
      <c r="H505" s="116" t="n">
        <v>2.0</v>
      </c>
      <c r="I505" s="114" t="s">
        <v>2938</v>
      </c>
      <c r="J505" s="114" t="s">
        <v>103</v>
      </c>
      <c r="K505" s="114" t="s">
        <v>22</v>
      </c>
      <c r="L505" s="114" t="s">
        <v>22</v>
      </c>
      <c r="M505" s="114" t="s">
        <v>22</v>
      </c>
      <c r="N505" s="114" t="s">
        <v>22</v>
      </c>
      <c r="O505" s="114" t="s">
        <v>22</v>
      </c>
      <c r="P505" s="114" t="s">
        <v>22</v>
      </c>
      <c r="Q505" s="114" t="s">
        <v>22</v>
      </c>
      <c r="R505" s="114" t="s">
        <v>22</v>
      </c>
      <c r="S505" s="114" t="s">
        <v>22</v>
      </c>
      <c r="T505" s="114" t="s">
        <v>22</v>
      </c>
      <c r="U505" s="114" t="s">
        <v>104</v>
      </c>
      <c r="V505" s="114" t="s">
        <v>2939</v>
      </c>
      <c r="W505" s="114" t="s">
        <v>130</v>
      </c>
      <c r="X505" s="114" t="s">
        <v>107</v>
      </c>
      <c r="Y505" s="114" t="s">
        <v>152</v>
      </c>
      <c r="Z505" s="114">
        <f>IF(INDIRECT("Y505")="Clássico","12%",IF(INDIRECT("Y505")="Premium","17%","-"))</f>
      </c>
      <c r="AA505" s="114" t="s">
        <v>1357</v>
      </c>
      <c r="AB505" s="114" t="s">
        <v>110</v>
      </c>
      <c r="AC505" s="114" t="s">
        <v>2940</v>
      </c>
      <c r="AD505" s="114" t="s">
        <v>121</v>
      </c>
      <c r="AE505" s="117" t="s">
        <v>112</v>
      </c>
      <c r="AF505" s="114" t="s">
        <v>658</v>
      </c>
      <c r="AG505" s="114" t="s">
        <v>22</v>
      </c>
      <c r="AH505" s="114" t="s">
        <v>22</v>
      </c>
      <c r="AI505" s="114" t="s">
        <v>22</v>
      </c>
      <c r="AJ505" s="114" t="s">
        <v>22</v>
      </c>
    </row>
    <row r="506" ht="50.0" customHeight="true">
      <c r="A506" s="114" t="s">
        <v>2941</v>
      </c>
      <c r="B506" s="114" t="s">
        <v>2942</v>
      </c>
      <c r="C506" s="114" t="s">
        <v>2943</v>
      </c>
      <c r="D506" s="114"/>
      <c r="E506" s="114" t="s">
        <v>2944</v>
      </c>
      <c r="F506" s="114" t="s">
        <v>2945</v>
      </c>
      <c r="G506" s="114" t="s">
        <v>2229</v>
      </c>
      <c r="H506" s="116" t="n">
        <v>1.0</v>
      </c>
      <c r="I506" s="114" t="s">
        <v>2946</v>
      </c>
      <c r="J506" s="114" t="s">
        <v>103</v>
      </c>
      <c r="K506" s="114" t="s">
        <v>22</v>
      </c>
      <c r="L506" s="114" t="s">
        <v>22</v>
      </c>
      <c r="M506" s="114" t="s">
        <v>22</v>
      </c>
      <c r="N506" s="114" t="s">
        <v>22</v>
      </c>
      <c r="O506" s="114" t="s">
        <v>22</v>
      </c>
      <c r="P506" s="114" t="s">
        <v>22</v>
      </c>
      <c r="Q506" s="114" t="s">
        <v>22</v>
      </c>
      <c r="R506" s="114" t="s">
        <v>22</v>
      </c>
      <c r="S506" s="114" t="s">
        <v>22</v>
      </c>
      <c r="T506" s="114" t="s">
        <v>22</v>
      </c>
      <c r="U506" s="114" t="s">
        <v>1416</v>
      </c>
      <c r="V506" s="114" t="s">
        <v>2947</v>
      </c>
      <c r="W506" s="114" t="s">
        <v>106</v>
      </c>
      <c r="X506" s="114" t="s">
        <v>107</v>
      </c>
      <c r="Y506" s="114" t="s">
        <v>152</v>
      </c>
      <c r="Z506" s="114">
        <f>IF(INDIRECT("Y506")="Clássico","12%",IF(INDIRECT("Y506")="Premium","17%","-"))</f>
      </c>
      <c r="AA506" s="114" t="s">
        <v>1357</v>
      </c>
      <c r="AB506" s="114" t="s">
        <v>110</v>
      </c>
      <c r="AC506" s="114" t="s">
        <v>2940</v>
      </c>
      <c r="AD506" s="114" t="s">
        <v>121</v>
      </c>
      <c r="AE506" s="114" t="s">
        <v>131</v>
      </c>
      <c r="AF506" s="114" t="s">
        <v>2231</v>
      </c>
      <c r="AG506" s="114" t="s">
        <v>22</v>
      </c>
      <c r="AH506" s="114" t="s">
        <v>22</v>
      </c>
      <c r="AI506" s="114" t="s">
        <v>22</v>
      </c>
      <c r="AJ506" s="114" t="s">
        <v>22</v>
      </c>
    </row>
    <row r="507" ht="50.0" customHeight="true">
      <c r="A507" s="114" t="s">
        <v>2948</v>
      </c>
      <c r="B507" s="114" t="s">
        <v>2949</v>
      </c>
      <c r="C507" s="114" t="s">
        <v>2950</v>
      </c>
      <c r="D507" s="114"/>
      <c r="E507" s="114" t="s">
        <v>2951</v>
      </c>
      <c r="F507" s="114" t="s">
        <v>2952</v>
      </c>
      <c r="G507" s="114" t="s">
        <v>2952</v>
      </c>
      <c r="H507" s="116" t="n">
        <v>1.0</v>
      </c>
      <c r="I507" s="114" t="s">
        <v>2953</v>
      </c>
      <c r="J507" s="114" t="s">
        <v>103</v>
      </c>
      <c r="K507" s="114" t="s">
        <v>22</v>
      </c>
      <c r="L507" s="114" t="s">
        <v>22</v>
      </c>
      <c r="M507" s="114" t="s">
        <v>22</v>
      </c>
      <c r="N507" s="114" t="s">
        <v>22</v>
      </c>
      <c r="O507" s="114" t="s">
        <v>22</v>
      </c>
      <c r="P507" s="114" t="s">
        <v>22</v>
      </c>
      <c r="Q507" s="114" t="s">
        <v>22</v>
      </c>
      <c r="R507" s="114" t="s">
        <v>22</v>
      </c>
      <c r="S507" s="114" t="s">
        <v>22</v>
      </c>
      <c r="T507" s="114" t="s">
        <v>22</v>
      </c>
      <c r="U507" s="114" t="s">
        <v>1416</v>
      </c>
      <c r="V507" s="114" t="s">
        <v>2954</v>
      </c>
      <c r="W507" s="114" t="s">
        <v>106</v>
      </c>
      <c r="X507" s="114" t="s">
        <v>107</v>
      </c>
      <c r="Y507" s="114" t="s">
        <v>152</v>
      </c>
      <c r="Z507" s="114">
        <f>IF(INDIRECT("Y507")="Clássico","11.5%",IF(INDIRECT("Y507")="Premium","16.5%","-"))</f>
      </c>
      <c r="AA507" s="114" t="s">
        <v>1357</v>
      </c>
      <c r="AB507" s="114" t="s">
        <v>110</v>
      </c>
      <c r="AC507" s="114" t="s">
        <v>2940</v>
      </c>
      <c r="AD507" s="114" t="s">
        <v>121</v>
      </c>
      <c r="AE507" s="114" t="s">
        <v>131</v>
      </c>
      <c r="AF507" s="114" t="s">
        <v>2955</v>
      </c>
      <c r="AG507" s="114" t="s">
        <v>22</v>
      </c>
      <c r="AH507" s="114" t="s">
        <v>22</v>
      </c>
      <c r="AI507" s="114" t="s">
        <v>22</v>
      </c>
      <c r="AJ507" s="114" t="s">
        <v>22</v>
      </c>
    </row>
    <row r="508" ht="50.0" customHeight="true">
      <c r="A508" s="114" t="s">
        <v>2956</v>
      </c>
      <c r="B508" s="114" t="s">
        <v>2957</v>
      </c>
      <c r="C508" s="114" t="s">
        <v>2958</v>
      </c>
      <c r="D508" s="114"/>
      <c r="E508" s="114" t="s">
        <v>2959</v>
      </c>
      <c r="F508" s="114" t="s">
        <v>2960</v>
      </c>
      <c r="G508" s="114" t="s">
        <v>2960</v>
      </c>
      <c r="H508" s="116" t="n">
        <v>1.0</v>
      </c>
      <c r="I508" s="114" t="s">
        <v>2961</v>
      </c>
      <c r="J508" s="114" t="s">
        <v>103</v>
      </c>
      <c r="K508" s="114" t="s">
        <v>22</v>
      </c>
      <c r="L508" s="114" t="s">
        <v>22</v>
      </c>
      <c r="M508" s="114" t="s">
        <v>22</v>
      </c>
      <c r="N508" s="114" t="s">
        <v>22</v>
      </c>
      <c r="O508" s="114" t="s">
        <v>22</v>
      </c>
      <c r="P508" s="114" t="s">
        <v>22</v>
      </c>
      <c r="Q508" s="114" t="s">
        <v>22</v>
      </c>
      <c r="R508" s="114" t="s">
        <v>22</v>
      </c>
      <c r="S508" s="114" t="s">
        <v>22</v>
      </c>
      <c r="T508" s="114" t="s">
        <v>22</v>
      </c>
      <c r="U508" s="114" t="s">
        <v>104</v>
      </c>
      <c r="V508" s="114" t="s">
        <v>2962</v>
      </c>
      <c r="W508" s="114" t="s">
        <v>130</v>
      </c>
      <c r="X508" s="114" t="s">
        <v>107</v>
      </c>
      <c r="Y508" s="114" t="s">
        <v>108</v>
      </c>
      <c r="Z508" s="114">
        <f>IF(INDIRECT("Y508")="Clássico","12%",IF(INDIRECT("Y508")="Premium","17%","-"))</f>
      </c>
      <c r="AA508" s="114" t="s">
        <v>1357</v>
      </c>
      <c r="AB508" s="114" t="s">
        <v>110</v>
      </c>
      <c r="AC508" s="114" t="s">
        <v>2940</v>
      </c>
      <c r="AD508" s="114" t="s">
        <v>121</v>
      </c>
      <c r="AE508" s="117" t="s">
        <v>112</v>
      </c>
      <c r="AF508" s="114" t="s">
        <v>2963</v>
      </c>
      <c r="AG508" s="114" t="s">
        <v>22</v>
      </c>
      <c r="AH508" s="114" t="s">
        <v>22</v>
      </c>
      <c r="AI508" s="114" t="s">
        <v>22</v>
      </c>
      <c r="AJ508" s="114" t="s">
        <v>22</v>
      </c>
    </row>
    <row r="509" ht="50.0" customHeight="true">
      <c r="A509" s="114" t="s">
        <v>2107</v>
      </c>
      <c r="B509" s="114" t="s">
        <v>2964</v>
      </c>
      <c r="C509" s="114" t="s">
        <v>2965</v>
      </c>
      <c r="D509" s="114"/>
      <c r="E509" s="114" t="s">
        <v>2966</v>
      </c>
      <c r="F509" s="114" t="s">
        <v>2110</v>
      </c>
      <c r="G509" s="114" t="s">
        <v>2967</v>
      </c>
      <c r="H509" s="116" t="n">
        <v>1.0</v>
      </c>
      <c r="I509" s="114" t="s">
        <v>2968</v>
      </c>
      <c r="J509" s="114" t="s">
        <v>103</v>
      </c>
      <c r="K509" s="114" t="s">
        <v>22</v>
      </c>
      <c r="L509" s="114" t="s">
        <v>22</v>
      </c>
      <c r="M509" s="114" t="s">
        <v>22</v>
      </c>
      <c r="N509" s="114" t="s">
        <v>22</v>
      </c>
      <c r="O509" s="114" t="s">
        <v>22</v>
      </c>
      <c r="P509" s="114" t="s">
        <v>22</v>
      </c>
      <c r="Q509" s="114" t="s">
        <v>22</v>
      </c>
      <c r="R509" s="114" t="s">
        <v>22</v>
      </c>
      <c r="S509" s="114" t="s">
        <v>22</v>
      </c>
      <c r="T509" s="114" t="s">
        <v>22</v>
      </c>
      <c r="U509" s="114" t="s">
        <v>104</v>
      </c>
      <c r="V509" s="114" t="s">
        <v>22</v>
      </c>
      <c r="W509" s="114" t="s">
        <v>771</v>
      </c>
      <c r="X509" s="114" t="s">
        <v>107</v>
      </c>
      <c r="Y509" s="114" t="s">
        <v>108</v>
      </c>
      <c r="Z509" s="114">
        <f>IF(INDIRECT("Y509")="Clássico","12%",IF(INDIRECT("Y509")="Premium","17%","-"))</f>
      </c>
      <c r="AA509" s="114" t="s">
        <v>1357</v>
      </c>
      <c r="AB509" s="114" t="s">
        <v>110</v>
      </c>
      <c r="AC509" s="114" t="s">
        <v>958</v>
      </c>
      <c r="AD509" s="114" t="s">
        <v>111</v>
      </c>
      <c r="AE509" s="117" t="s">
        <v>112</v>
      </c>
      <c r="AF509" s="114" t="s">
        <v>1206</v>
      </c>
      <c r="AG509" s="114" t="s">
        <v>774</v>
      </c>
      <c r="AH509" s="114" t="s">
        <v>1278</v>
      </c>
      <c r="AI509" s="114" t="s">
        <v>924</v>
      </c>
      <c r="AJ509" s="114" t="s">
        <v>2969</v>
      </c>
    </row>
    <row r="510" ht="50.0" customHeight="true">
      <c r="A510" s="114" t="s">
        <v>2107</v>
      </c>
      <c r="B510" s="114" t="s">
        <v>2970</v>
      </c>
      <c r="C510" s="114" t="s">
        <v>2971</v>
      </c>
      <c r="D510" s="114"/>
      <c r="E510" s="114"/>
      <c r="F510" s="114" t="s">
        <v>2110</v>
      </c>
      <c r="G510" s="114" t="s">
        <v>761</v>
      </c>
      <c r="H510" s="116" t="n">
        <v>1.0</v>
      </c>
      <c r="I510" s="114" t="s">
        <v>2968</v>
      </c>
      <c r="J510" s="114" t="s">
        <v>103</v>
      </c>
      <c r="K510" s="114" t="s">
        <v>22</v>
      </c>
      <c r="L510" s="114" t="s">
        <v>22</v>
      </c>
      <c r="M510" s="114" t="s">
        <v>22</v>
      </c>
      <c r="N510" s="114" t="s">
        <v>22</v>
      </c>
      <c r="O510" s="114" t="s">
        <v>22</v>
      </c>
      <c r="P510" s="114" t="s">
        <v>22</v>
      </c>
      <c r="Q510" s="114" t="s">
        <v>22</v>
      </c>
      <c r="R510" s="114" t="s">
        <v>22</v>
      </c>
      <c r="S510" s="114" t="s">
        <v>22</v>
      </c>
      <c r="T510" s="114" t="s">
        <v>22</v>
      </c>
      <c r="U510" s="114" t="s">
        <v>104</v>
      </c>
      <c r="V510" s="114" t="s">
        <v>22</v>
      </c>
      <c r="W510" s="114" t="s">
        <v>771</v>
      </c>
      <c r="X510" s="114" t="s">
        <v>107</v>
      </c>
      <c r="Y510" s="114" t="s">
        <v>108</v>
      </c>
      <c r="Z510" s="114">
        <f>IF(INDIRECT("Y510")="Clássico","12%",IF(INDIRECT("Y510")="Premium","17%","-"))</f>
      </c>
      <c r="AA510" s="114" t="s">
        <v>1357</v>
      </c>
      <c r="AB510" s="114" t="s">
        <v>110</v>
      </c>
      <c r="AC510" s="114" t="s">
        <v>958</v>
      </c>
      <c r="AD510" s="114" t="s">
        <v>111</v>
      </c>
      <c r="AE510" s="117" t="s">
        <v>112</v>
      </c>
      <c r="AF510" s="114" t="s">
        <v>1206</v>
      </c>
      <c r="AG510" s="114" t="s">
        <v>774</v>
      </c>
      <c r="AH510" s="114" t="s">
        <v>1278</v>
      </c>
      <c r="AI510" s="114" t="s">
        <v>924</v>
      </c>
      <c r="AJ510" s="114" t="s">
        <v>2969</v>
      </c>
    </row>
    <row r="511" ht="50.0" customHeight="true">
      <c r="A511" s="114" t="s">
        <v>2972</v>
      </c>
      <c r="B511" s="114" t="s">
        <v>2973</v>
      </c>
      <c r="C511" s="114" t="s">
        <v>2974</v>
      </c>
      <c r="D511" s="114"/>
      <c r="E511" s="114" t="s">
        <v>1295</v>
      </c>
      <c r="F511" s="114" t="s">
        <v>2975</v>
      </c>
      <c r="G511" s="114" t="s">
        <v>2976</v>
      </c>
      <c r="H511" s="116" t="n">
        <v>20.0</v>
      </c>
      <c r="I511" s="114" t="s">
        <v>2977</v>
      </c>
      <c r="J511" s="114" t="s">
        <v>103</v>
      </c>
      <c r="K511" s="114" t="s">
        <v>22</v>
      </c>
      <c r="L511" s="114" t="s">
        <v>22</v>
      </c>
      <c r="M511" s="114" t="s">
        <v>22</v>
      </c>
      <c r="N511" s="114" t="s">
        <v>22</v>
      </c>
      <c r="O511" s="114" t="s">
        <v>22</v>
      </c>
      <c r="P511" s="114" t="s">
        <v>22</v>
      </c>
      <c r="Q511" s="114" t="s">
        <v>22</v>
      </c>
      <c r="R511" s="114" t="s">
        <v>22</v>
      </c>
      <c r="S511" s="114" t="s">
        <v>22</v>
      </c>
      <c r="T511" s="114" t="s">
        <v>22</v>
      </c>
      <c r="U511" s="114" t="s">
        <v>104</v>
      </c>
      <c r="V511" s="114" t="s">
        <v>2978</v>
      </c>
      <c r="W511" s="114" t="s">
        <v>130</v>
      </c>
      <c r="X511" s="114" t="s">
        <v>107</v>
      </c>
      <c r="Y511" s="114" t="s">
        <v>108</v>
      </c>
      <c r="Z511" s="114">
        <f>IF(INDIRECT("Y511")="Clássico","11.5%",IF(INDIRECT("Y511")="Premium","16.5%","-"))</f>
      </c>
      <c r="AA511" s="114" t="s">
        <v>1357</v>
      </c>
      <c r="AB511" s="114" t="s">
        <v>110</v>
      </c>
      <c r="AC511" s="114" t="s">
        <v>958</v>
      </c>
      <c r="AD511" s="114" t="s">
        <v>111</v>
      </c>
      <c r="AE511" s="117" t="s">
        <v>112</v>
      </c>
      <c r="AF511" s="114" t="s">
        <v>2931</v>
      </c>
      <c r="AG511" s="114" t="s">
        <v>1418</v>
      </c>
      <c r="AH511" s="114" t="s">
        <v>1418</v>
      </c>
      <c r="AI511" s="114" t="s">
        <v>1418</v>
      </c>
      <c r="AJ511" s="114" t="s">
        <v>2979</v>
      </c>
    </row>
    <row r="512" ht="50.0" customHeight="true">
      <c r="A512" s="114" t="s">
        <v>2980</v>
      </c>
      <c r="B512" s="114" t="s">
        <v>2981</v>
      </c>
      <c r="C512" s="114" t="s">
        <v>2982</v>
      </c>
      <c r="D512" s="114"/>
      <c r="E512" s="114" t="s">
        <v>197</v>
      </c>
      <c r="F512" s="114" t="s">
        <v>2983</v>
      </c>
      <c r="G512" s="114" t="s">
        <v>411</v>
      </c>
      <c r="H512" s="116" t="n">
        <v>200.0</v>
      </c>
      <c r="I512" s="114" t="s">
        <v>2984</v>
      </c>
      <c r="J512" s="114" t="s">
        <v>103</v>
      </c>
      <c r="K512" s="114" t="s">
        <v>22</v>
      </c>
      <c r="L512" s="114" t="s">
        <v>22</v>
      </c>
      <c r="M512" s="114" t="s">
        <v>22</v>
      </c>
      <c r="N512" s="114" t="s">
        <v>22</v>
      </c>
      <c r="O512" s="114" t="s">
        <v>22</v>
      </c>
      <c r="P512" s="114" t="s">
        <v>22</v>
      </c>
      <c r="Q512" s="114" t="s">
        <v>22</v>
      </c>
      <c r="R512" s="114" t="s">
        <v>22</v>
      </c>
      <c r="S512" s="114" t="s">
        <v>22</v>
      </c>
      <c r="T512" s="114" t="s">
        <v>22</v>
      </c>
      <c r="U512" s="114" t="s">
        <v>104</v>
      </c>
      <c r="V512" s="114" t="s">
        <v>2985</v>
      </c>
      <c r="W512" s="114" t="s">
        <v>106</v>
      </c>
      <c r="X512" s="114" t="s">
        <v>107</v>
      </c>
      <c r="Y512" s="114" t="s">
        <v>152</v>
      </c>
      <c r="Z512" s="114">
        <f>IF(INDIRECT("Y512")="Clássico","12%",IF(INDIRECT("Y512")="Premium","17%","-"))</f>
      </c>
      <c r="AA512" s="114" t="s">
        <v>1357</v>
      </c>
      <c r="AB512" s="114" t="s">
        <v>110</v>
      </c>
      <c r="AC512" s="114" t="s">
        <v>958</v>
      </c>
      <c r="AD512" s="114" t="s">
        <v>111</v>
      </c>
      <c r="AE512" s="117" t="s">
        <v>112</v>
      </c>
      <c r="AF512" s="114" t="s">
        <v>144</v>
      </c>
      <c r="AG512" s="114" t="s">
        <v>864</v>
      </c>
      <c r="AH512" s="114" t="s">
        <v>2911</v>
      </c>
      <c r="AI512" s="114" t="s">
        <v>289</v>
      </c>
      <c r="AJ512" s="114" t="s">
        <v>2912</v>
      </c>
    </row>
    <row r="513" ht="50.0" customHeight="true">
      <c r="A513" s="114" t="s">
        <v>2986</v>
      </c>
      <c r="B513" s="114" t="s">
        <v>2987</v>
      </c>
      <c r="C513" s="114" t="s">
        <v>2988</v>
      </c>
      <c r="D513" s="114"/>
      <c r="E513" s="114" t="s">
        <v>1295</v>
      </c>
      <c r="F513" s="114" t="s">
        <v>2989</v>
      </c>
      <c r="G513" s="114" t="s">
        <v>1302</v>
      </c>
      <c r="H513" s="116" t="n">
        <v>5.0</v>
      </c>
      <c r="I513" s="114" t="s">
        <v>2990</v>
      </c>
      <c r="J513" s="114" t="s">
        <v>103</v>
      </c>
      <c r="K513" s="114" t="s">
        <v>22</v>
      </c>
      <c r="L513" s="114" t="s">
        <v>22</v>
      </c>
      <c r="M513" s="114" t="s">
        <v>22</v>
      </c>
      <c r="N513" s="114" t="s">
        <v>22</v>
      </c>
      <c r="O513" s="114" t="s">
        <v>22</v>
      </c>
      <c r="P513" s="114" t="s">
        <v>22</v>
      </c>
      <c r="Q513" s="114" t="s">
        <v>22</v>
      </c>
      <c r="R513" s="114" t="s">
        <v>22</v>
      </c>
      <c r="S513" s="114" t="s">
        <v>22</v>
      </c>
      <c r="T513" s="114" t="s">
        <v>22</v>
      </c>
      <c r="U513" s="114" t="s">
        <v>104</v>
      </c>
      <c r="V513" s="114" t="s">
        <v>2991</v>
      </c>
      <c r="W513" s="114" t="s">
        <v>130</v>
      </c>
      <c r="X513" s="114" t="s">
        <v>107</v>
      </c>
      <c r="Y513" s="114" t="s">
        <v>152</v>
      </c>
      <c r="Z513" s="114">
        <f>IF(INDIRECT("Y513")="Clássico","12%",IF(INDIRECT("Y513")="Premium","17%","-"))</f>
      </c>
      <c r="AA513" s="114" t="s">
        <v>1357</v>
      </c>
      <c r="AB513" s="114" t="s">
        <v>110</v>
      </c>
      <c r="AC513" s="114" t="s">
        <v>958</v>
      </c>
      <c r="AD513" s="114" t="s">
        <v>111</v>
      </c>
      <c r="AE513" s="117" t="s">
        <v>112</v>
      </c>
      <c r="AF513" s="114" t="s">
        <v>1663</v>
      </c>
      <c r="AG513" s="114" t="s">
        <v>2992</v>
      </c>
      <c r="AH513" s="114" t="s">
        <v>2993</v>
      </c>
      <c r="AI513" s="114" t="s">
        <v>923</v>
      </c>
      <c r="AJ513" s="114" t="s">
        <v>2994</v>
      </c>
    </row>
    <row r="514" ht="50.0" customHeight="true">
      <c r="A514" s="114" t="s">
        <v>2995</v>
      </c>
      <c r="B514" s="114" t="s">
        <v>2996</v>
      </c>
      <c r="C514" s="114" t="s">
        <v>2997</v>
      </c>
      <c r="D514" s="114"/>
      <c r="E514" s="114" t="s">
        <v>2998</v>
      </c>
      <c r="F514" s="114" t="s">
        <v>2999</v>
      </c>
      <c r="G514" s="114" t="s">
        <v>2999</v>
      </c>
      <c r="H514" s="116" t="n">
        <v>2.0</v>
      </c>
      <c r="I514" s="114" t="s">
        <v>3000</v>
      </c>
      <c r="J514" s="114" t="s">
        <v>103</v>
      </c>
      <c r="K514" s="114" t="s">
        <v>22</v>
      </c>
      <c r="L514" s="114" t="s">
        <v>22</v>
      </c>
      <c r="M514" s="114" t="s">
        <v>22</v>
      </c>
      <c r="N514" s="114" t="s">
        <v>22</v>
      </c>
      <c r="O514" s="114" t="s">
        <v>22</v>
      </c>
      <c r="P514" s="114" t="s">
        <v>22</v>
      </c>
      <c r="Q514" s="114" t="s">
        <v>22</v>
      </c>
      <c r="R514" s="114" t="s">
        <v>22</v>
      </c>
      <c r="S514" s="114" t="s">
        <v>22</v>
      </c>
      <c r="T514" s="114" t="s">
        <v>22</v>
      </c>
      <c r="U514" s="114" t="s">
        <v>104</v>
      </c>
      <c r="V514" s="114" t="s">
        <v>3001</v>
      </c>
      <c r="W514" s="114" t="s">
        <v>130</v>
      </c>
      <c r="X514" s="114" t="s">
        <v>107</v>
      </c>
      <c r="Y514" s="114" t="s">
        <v>108</v>
      </c>
      <c r="Z514" s="114">
        <f>IF(INDIRECT("Y514")="Clássico","12%",IF(INDIRECT("Y514")="Premium","17%","-"))</f>
      </c>
      <c r="AA514" s="114" t="s">
        <v>1357</v>
      </c>
      <c r="AB514" s="114" t="s">
        <v>110</v>
      </c>
      <c r="AC514" s="114" t="s">
        <v>958</v>
      </c>
      <c r="AD514" s="114" t="s">
        <v>111</v>
      </c>
      <c r="AE514" s="117" t="s">
        <v>112</v>
      </c>
      <c r="AF514" s="114" t="s">
        <v>3002</v>
      </c>
      <c r="AG514" s="114" t="s">
        <v>289</v>
      </c>
      <c r="AH514" s="114" t="s">
        <v>288</v>
      </c>
      <c r="AI514" s="114" t="s">
        <v>289</v>
      </c>
      <c r="AJ514" s="114" t="s">
        <v>3003</v>
      </c>
    </row>
    <row r="515" ht="50.0" customHeight="true">
      <c r="A515" s="114" t="s">
        <v>3004</v>
      </c>
      <c r="B515" s="114" t="s">
        <v>3005</v>
      </c>
      <c r="C515" s="114" t="s">
        <v>3006</v>
      </c>
      <c r="D515" s="114"/>
      <c r="E515" s="114" t="s">
        <v>417</v>
      </c>
      <c r="F515" s="114" t="s">
        <v>418</v>
      </c>
      <c r="G515" s="114" t="s">
        <v>418</v>
      </c>
      <c r="H515" s="116" t="n">
        <v>9.0</v>
      </c>
      <c r="I515" s="114" t="s">
        <v>3007</v>
      </c>
      <c r="J515" s="114" t="s">
        <v>103</v>
      </c>
      <c r="K515" s="114" t="s">
        <v>22</v>
      </c>
      <c r="L515" s="114" t="s">
        <v>22</v>
      </c>
      <c r="M515" s="114" t="s">
        <v>22</v>
      </c>
      <c r="N515" s="114" t="s">
        <v>22</v>
      </c>
      <c r="O515" s="114" t="s">
        <v>22</v>
      </c>
      <c r="P515" s="114" t="s">
        <v>22</v>
      </c>
      <c r="Q515" s="114" t="s">
        <v>22</v>
      </c>
      <c r="R515" s="114" t="s">
        <v>22</v>
      </c>
      <c r="S515" s="114" t="s">
        <v>22</v>
      </c>
      <c r="T515" s="114" t="s">
        <v>22</v>
      </c>
      <c r="U515" s="114" t="s">
        <v>104</v>
      </c>
      <c r="V515" s="114" t="s">
        <v>22</v>
      </c>
      <c r="W515" s="114" t="s">
        <v>130</v>
      </c>
      <c r="X515" s="114" t="s">
        <v>107</v>
      </c>
      <c r="Y515" s="114" t="s">
        <v>152</v>
      </c>
      <c r="Z515" s="114">
        <f>IF(INDIRECT("Y515")="Clássico","11.5%",IF(INDIRECT("Y515")="Premium","16.5%","-"))</f>
      </c>
      <c r="AA515" s="114" t="s">
        <v>1357</v>
      </c>
      <c r="AB515" s="114" t="s">
        <v>110</v>
      </c>
      <c r="AC515" s="114" t="s">
        <v>958</v>
      </c>
      <c r="AD515" s="114" t="s">
        <v>111</v>
      </c>
      <c r="AE515" s="117" t="s">
        <v>112</v>
      </c>
      <c r="AF515" s="114" t="s">
        <v>421</v>
      </c>
      <c r="AG515" s="114" t="s">
        <v>2911</v>
      </c>
      <c r="AH515" s="114" t="s">
        <v>775</v>
      </c>
      <c r="AI515" s="114" t="s">
        <v>2940</v>
      </c>
      <c r="AJ515" s="114" t="s">
        <v>3008</v>
      </c>
    </row>
    <row r="516" ht="50.0" customHeight="true">
      <c r="A516" s="114" t="s">
        <v>1926</v>
      </c>
      <c r="B516" s="114" t="s">
        <v>3009</v>
      </c>
      <c r="C516" s="114" t="s">
        <v>1928</v>
      </c>
      <c r="D516" s="114"/>
      <c r="E516" s="114" t="s">
        <v>1801</v>
      </c>
      <c r="F516" s="114" t="s">
        <v>3010</v>
      </c>
      <c r="G516" s="114" t="s">
        <v>3010</v>
      </c>
      <c r="H516" s="116" t="n">
        <v>0.0</v>
      </c>
      <c r="I516" s="114" t="s">
        <v>3011</v>
      </c>
      <c r="J516" s="114" t="s">
        <v>103</v>
      </c>
      <c r="K516" s="114" t="s">
        <v>22</v>
      </c>
      <c r="L516" s="114" t="s">
        <v>22</v>
      </c>
      <c r="M516" s="114" t="s">
        <v>22</v>
      </c>
      <c r="N516" s="114" t="s">
        <v>22</v>
      </c>
      <c r="O516" s="114" t="s">
        <v>22</v>
      </c>
      <c r="P516" s="114" t="s">
        <v>22</v>
      </c>
      <c r="Q516" s="114" t="s">
        <v>22</v>
      </c>
      <c r="R516" s="114" t="s">
        <v>22</v>
      </c>
      <c r="S516" s="114" t="s">
        <v>22</v>
      </c>
      <c r="T516" s="114" t="s">
        <v>22</v>
      </c>
      <c r="U516" s="114" t="s">
        <v>104</v>
      </c>
      <c r="V516" s="114" t="s">
        <v>3012</v>
      </c>
      <c r="W516" s="114" t="s">
        <v>130</v>
      </c>
      <c r="X516" s="114" t="s">
        <v>107</v>
      </c>
      <c r="Y516" s="114" t="s">
        <v>152</v>
      </c>
      <c r="Z516" s="114">
        <f>IF(INDIRECT("Y516")="Clássico","13%",IF(INDIRECT("Y516")="Premium","18%","-"))</f>
      </c>
      <c r="AA516" s="114" t="s">
        <v>1357</v>
      </c>
      <c r="AB516" s="114" t="s">
        <v>686</v>
      </c>
      <c r="AC516" s="114" t="s">
        <v>1407</v>
      </c>
      <c r="AD516" s="114" t="s">
        <v>22</v>
      </c>
      <c r="AE516" s="117" t="s">
        <v>112</v>
      </c>
      <c r="AF516" s="114" t="s">
        <v>1931</v>
      </c>
      <c r="AG516" s="114" t="s">
        <v>3013</v>
      </c>
      <c r="AH516" s="114" t="s">
        <v>1207</v>
      </c>
      <c r="AI516" s="114" t="s">
        <v>865</v>
      </c>
      <c r="AJ516" s="114" t="s">
        <v>3014</v>
      </c>
    </row>
  </sheetData>
  <mergeCells count="33">
    <mergeCell ref="A2:G2"/>
    <mergeCell ref="S3:T3"/>
    <mergeCell ref="Q3:R3"/>
    <mergeCell ref="O3:P3"/>
    <mergeCell ref="M3:N3"/>
    <mergeCell ref="K3:L3"/>
    <mergeCell ref="H2:V2"/>
    <mergeCell ref="W2:X2"/>
    <mergeCell ref="Y2:AF2"/>
    <mergeCell ref="AG3:AJ3"/>
    <mergeCell ref="AG2:AJ2"/>
    <mergeCell ref="A3:A4"/>
    <mergeCell ref="B3:B4"/>
    <mergeCell ref="C3:C4"/>
    <mergeCell ref="D3:D4"/>
    <mergeCell ref="E3:E4"/>
    <mergeCell ref="F3:F4"/>
    <mergeCell ref="G3:G4"/>
    <mergeCell ref="H3:H4"/>
    <mergeCell ref="I3:I4"/>
    <mergeCell ref="J3:J4"/>
    <mergeCell ref="U3:U4"/>
    <mergeCell ref="V3:V4"/>
    <mergeCell ref="W3:W4"/>
    <mergeCell ref="X3:X4"/>
    <mergeCell ref="Y3:Y4"/>
    <mergeCell ref="Z3:Z4"/>
    <mergeCell ref="AA3:AA4"/>
    <mergeCell ref="AB3:AB4"/>
    <mergeCell ref="AC3:AC4"/>
    <mergeCell ref="AD3:AD4"/>
    <mergeCell ref="AE3:AE4"/>
    <mergeCell ref="AF3:AF4"/>
  </mergeCells>
  <conditionalFormatting sqref="J6">
    <cfRule type="cellIs" operator="equal" dxfId="1" priority="1">
      <formula>"R$"</formula>
    </cfRule>
  </conditionalFormatting>
  <conditionalFormatting sqref="W6">
    <cfRule type="cellIs" operator="equal" dxfId="2" priority="2">
      <formula>"Mercado Envios por conta do comprador"</formula>
    </cfRule>
  </conditionalFormatting>
  <conditionalFormatting sqref="X6">
    <cfRule type="cellIs" operator="equal" dxfId="3" priority="3">
      <formula>"Não aceito"</formula>
    </cfRule>
  </conditionalFormatting>
  <conditionalFormatting sqref="Y6">
    <cfRule type="cellIs" operator="equal" dxfId="4" priority="4">
      <formula>"Clássico"</formula>
    </cfRule>
  </conditionalFormatting>
  <conditionalFormatting sqref="AA6">
    <cfRule type="cellIs" operator="equal" dxfId="5" priority="5">
      <formula>"Ativo"</formula>
    </cfRule>
  </conditionalFormatting>
  <conditionalFormatting sqref="AB6">
    <cfRule type="cellIs" operator="equal" dxfId="6" priority="6">
      <formula>"Garantia do vendedor"</formula>
    </cfRule>
  </conditionalFormatting>
  <conditionalFormatting sqref="AD6">
    <cfRule type="cellIs" operator="equal" dxfId="7" priority="7">
      <formula>"dias"</formula>
    </cfRule>
  </conditionalFormatting>
  <conditionalFormatting sqref="J7">
    <cfRule type="cellIs" operator="equal" dxfId="8" priority="8">
      <formula>"R$"</formula>
    </cfRule>
  </conditionalFormatting>
  <conditionalFormatting sqref="U7">
    <cfRule type="cellIs" operator="equal" dxfId="9" priority="9">
      <formula>"Novo"</formula>
    </cfRule>
  </conditionalFormatting>
  <conditionalFormatting sqref="W7">
    <cfRule type="cellIs" operator="equal" dxfId="10" priority="10">
      <formula>"Mercado Envios por conta do comprador"</formula>
    </cfRule>
  </conditionalFormatting>
  <conditionalFormatting sqref="X7">
    <cfRule type="cellIs" operator="equal" dxfId="11" priority="11">
      <formula>"Não aceito"</formula>
    </cfRule>
  </conditionalFormatting>
  <conditionalFormatting sqref="Y7">
    <cfRule type="cellIs" operator="equal" dxfId="12" priority="12">
      <formula>"Clássico"</formula>
    </cfRule>
  </conditionalFormatting>
  <conditionalFormatting sqref="AA7">
    <cfRule type="cellIs" operator="equal" dxfId="13" priority="13">
      <formula>"Ativo"</formula>
    </cfRule>
  </conditionalFormatting>
  <conditionalFormatting sqref="AB7">
    <cfRule type="cellIs" operator="equal" dxfId="14" priority="14">
      <formula>"Garantia de fábrica"</formula>
    </cfRule>
  </conditionalFormatting>
  <conditionalFormatting sqref="AD7">
    <cfRule type="cellIs" operator="equal" dxfId="15" priority="15">
      <formula>"meses"</formula>
    </cfRule>
  </conditionalFormatting>
  <conditionalFormatting sqref="J8">
    <cfRule type="cellIs" operator="equal" dxfId="16" priority="16">
      <formula>"R$"</formula>
    </cfRule>
  </conditionalFormatting>
  <conditionalFormatting sqref="U8">
    <cfRule type="cellIs" operator="equal" dxfId="17" priority="17">
      <formula>"Novo"</formula>
    </cfRule>
  </conditionalFormatting>
  <conditionalFormatting sqref="W8">
    <cfRule type="cellIs" operator="equal" dxfId="18" priority="18">
      <formula>"Mercado Envios grátis"</formula>
    </cfRule>
  </conditionalFormatting>
  <conditionalFormatting sqref="Y8">
    <cfRule type="cellIs" operator="equal" dxfId="19" priority="19">
      <formula>"Clássico"</formula>
    </cfRule>
  </conditionalFormatting>
  <conditionalFormatting sqref="AA8">
    <cfRule type="cellIs" operator="equal" dxfId="20" priority="20">
      <formula>"Ativo"</formula>
    </cfRule>
  </conditionalFormatting>
  <conditionalFormatting sqref="AB8">
    <cfRule type="cellIs" operator="equal" dxfId="21" priority="21">
      <formula>"Garantia do vendedor"</formula>
    </cfRule>
  </conditionalFormatting>
  <conditionalFormatting sqref="AD8">
    <cfRule type="cellIs" operator="equal" dxfId="22" priority="22">
      <formula>"dias"</formula>
    </cfRule>
  </conditionalFormatting>
  <conditionalFormatting sqref="J9">
    <cfRule type="cellIs" operator="equal" dxfId="23" priority="23">
      <formula>"R$"</formula>
    </cfRule>
  </conditionalFormatting>
  <conditionalFormatting sqref="U9">
    <cfRule type="cellIs" operator="equal" dxfId="24" priority="24">
      <formula>"Novo"</formula>
    </cfRule>
  </conditionalFormatting>
  <conditionalFormatting sqref="W9">
    <cfRule type="cellIs" operator="equal" dxfId="25" priority="25">
      <formula>"Mercado Envios por conta do comprador"</formula>
    </cfRule>
  </conditionalFormatting>
  <conditionalFormatting sqref="X9">
    <cfRule type="cellIs" operator="equal" dxfId="26" priority="26">
      <formula>"Aceita"</formula>
    </cfRule>
  </conditionalFormatting>
  <conditionalFormatting sqref="Y9">
    <cfRule type="cellIs" operator="equal" dxfId="27" priority="27">
      <formula>"Clássico"</formula>
    </cfRule>
  </conditionalFormatting>
  <conditionalFormatting sqref="AA9">
    <cfRule type="cellIs" operator="equal" dxfId="28" priority="28">
      <formula>"Ativo"</formula>
    </cfRule>
  </conditionalFormatting>
  <conditionalFormatting sqref="AB9">
    <cfRule type="cellIs" operator="equal" dxfId="29" priority="29">
      <formula>"Garantia do vendedor"</formula>
    </cfRule>
  </conditionalFormatting>
  <conditionalFormatting sqref="AD9">
    <cfRule type="cellIs" operator="equal" dxfId="30" priority="30">
      <formula>"dias"</formula>
    </cfRule>
  </conditionalFormatting>
  <conditionalFormatting sqref="J10">
    <cfRule type="cellIs" operator="equal" dxfId="31" priority="31">
      <formula>"R$"</formula>
    </cfRule>
  </conditionalFormatting>
  <conditionalFormatting sqref="U10">
    <cfRule type="cellIs" operator="equal" dxfId="32" priority="32">
      <formula>"Novo"</formula>
    </cfRule>
  </conditionalFormatting>
  <conditionalFormatting sqref="W10">
    <cfRule type="cellIs" operator="equal" dxfId="33" priority="33">
      <formula>"Mercado Envios por conta do comprador"</formula>
    </cfRule>
  </conditionalFormatting>
  <conditionalFormatting sqref="X10">
    <cfRule type="cellIs" operator="equal" dxfId="34" priority="34">
      <formula>"Não aceito"</formula>
    </cfRule>
  </conditionalFormatting>
  <conditionalFormatting sqref="Y10">
    <cfRule type="cellIs" operator="equal" dxfId="35" priority="35">
      <formula>"Premium"</formula>
    </cfRule>
  </conditionalFormatting>
  <conditionalFormatting sqref="AA10">
    <cfRule type="cellIs" operator="equal" dxfId="36" priority="36">
      <formula>"Ativo"</formula>
    </cfRule>
  </conditionalFormatting>
  <conditionalFormatting sqref="AB10">
    <cfRule type="cellIs" operator="equal" dxfId="37" priority="37">
      <formula>"Garantia do vendedor"</formula>
    </cfRule>
  </conditionalFormatting>
  <conditionalFormatting sqref="AD10">
    <cfRule type="cellIs" operator="equal" dxfId="38" priority="38">
      <formula>"dias"</formula>
    </cfRule>
  </conditionalFormatting>
  <conditionalFormatting sqref="J11">
    <cfRule type="cellIs" operator="equal" dxfId="39" priority="39">
      <formula>"R$"</formula>
    </cfRule>
  </conditionalFormatting>
  <conditionalFormatting sqref="U11">
    <cfRule type="cellIs" operator="equal" dxfId="40" priority="40">
      <formula>"Novo"</formula>
    </cfRule>
  </conditionalFormatting>
  <conditionalFormatting sqref="W11">
    <cfRule type="cellIs" operator="equal" dxfId="41" priority="41">
      <formula>"Mercado Envios grátis"</formula>
    </cfRule>
  </conditionalFormatting>
  <conditionalFormatting sqref="X11">
    <cfRule type="cellIs" operator="equal" dxfId="42" priority="42">
      <formula>"Aceita"</formula>
    </cfRule>
  </conditionalFormatting>
  <conditionalFormatting sqref="Y11">
    <cfRule type="cellIs" operator="equal" dxfId="43" priority="43">
      <formula>"Premium"</formula>
    </cfRule>
  </conditionalFormatting>
  <conditionalFormatting sqref="AA11">
    <cfRule type="cellIs" operator="equal" dxfId="44" priority="44">
      <formula>"Ativo"</formula>
    </cfRule>
  </conditionalFormatting>
  <conditionalFormatting sqref="AB11">
    <cfRule type="cellIs" operator="equal" dxfId="45" priority="45">
      <formula>"Garantia do vendedor"</formula>
    </cfRule>
  </conditionalFormatting>
  <conditionalFormatting sqref="AD11">
    <cfRule type="cellIs" operator="equal" dxfId="46" priority="46">
      <formula>"meses"</formula>
    </cfRule>
  </conditionalFormatting>
  <conditionalFormatting sqref="J12">
    <cfRule type="cellIs" operator="equal" dxfId="47" priority="47">
      <formula>"R$"</formula>
    </cfRule>
  </conditionalFormatting>
  <conditionalFormatting sqref="U12">
    <cfRule type="cellIs" operator="equal" dxfId="48" priority="48">
      <formula>"Novo"</formula>
    </cfRule>
  </conditionalFormatting>
  <conditionalFormatting sqref="W12">
    <cfRule type="cellIs" operator="equal" dxfId="49" priority="49">
      <formula>"Mercado Envios por conta do comprador"</formula>
    </cfRule>
  </conditionalFormatting>
  <conditionalFormatting sqref="X12">
    <cfRule type="cellIs" operator="equal" dxfId="50" priority="50">
      <formula>"Aceita"</formula>
    </cfRule>
  </conditionalFormatting>
  <conditionalFormatting sqref="Y12">
    <cfRule type="cellIs" operator="equal" dxfId="51" priority="51">
      <formula>"Clássico"</formula>
    </cfRule>
  </conditionalFormatting>
  <conditionalFormatting sqref="AA12">
    <cfRule type="cellIs" operator="equal" dxfId="52" priority="52">
      <formula>"Ativo"</formula>
    </cfRule>
  </conditionalFormatting>
  <conditionalFormatting sqref="AB12">
    <cfRule type="cellIs" operator="equal" dxfId="53" priority="53">
      <formula>"Garantia do vendedor"</formula>
    </cfRule>
  </conditionalFormatting>
  <conditionalFormatting sqref="AD12">
    <cfRule type="cellIs" operator="equal" dxfId="54" priority="54">
      <formula>"dias"</formula>
    </cfRule>
  </conditionalFormatting>
  <conditionalFormatting sqref="J13">
    <cfRule type="cellIs" operator="equal" dxfId="55" priority="55">
      <formula>"R$"</formula>
    </cfRule>
  </conditionalFormatting>
  <conditionalFormatting sqref="U13">
    <cfRule type="cellIs" operator="equal" dxfId="56" priority="56">
      <formula>"Novo"</formula>
    </cfRule>
  </conditionalFormatting>
  <conditionalFormatting sqref="W13">
    <cfRule type="cellIs" operator="equal" dxfId="57" priority="57">
      <formula>"Mercado Envios por conta do comprador"</formula>
    </cfRule>
  </conditionalFormatting>
  <conditionalFormatting sqref="X13">
    <cfRule type="cellIs" operator="equal" dxfId="58" priority="58">
      <formula>"Não aceito"</formula>
    </cfRule>
  </conditionalFormatting>
  <conditionalFormatting sqref="Y13">
    <cfRule type="cellIs" operator="equal" dxfId="59" priority="59">
      <formula>"Clássico"</formula>
    </cfRule>
  </conditionalFormatting>
  <conditionalFormatting sqref="AA13">
    <cfRule type="cellIs" operator="equal" dxfId="60" priority="60">
      <formula>"Ativo"</formula>
    </cfRule>
  </conditionalFormatting>
  <conditionalFormatting sqref="AB13">
    <cfRule type="cellIs" operator="equal" dxfId="61" priority="61">
      <formula>"Garantia do vendedor"</formula>
    </cfRule>
  </conditionalFormatting>
  <conditionalFormatting sqref="AD13">
    <cfRule type="cellIs" operator="equal" dxfId="62" priority="62">
      <formula>"dias"</formula>
    </cfRule>
  </conditionalFormatting>
  <conditionalFormatting sqref="J14">
    <cfRule type="cellIs" operator="equal" dxfId="63" priority="63">
      <formula>"R$"</formula>
    </cfRule>
  </conditionalFormatting>
  <conditionalFormatting sqref="U14">
    <cfRule type="cellIs" operator="equal" dxfId="64" priority="64">
      <formula>"Novo"</formula>
    </cfRule>
  </conditionalFormatting>
  <conditionalFormatting sqref="W14">
    <cfRule type="cellIs" operator="equal" dxfId="65" priority="65">
      <formula>"Mercado Envios grátis"</formula>
    </cfRule>
  </conditionalFormatting>
  <conditionalFormatting sqref="X14">
    <cfRule type="cellIs" operator="equal" dxfId="66" priority="66">
      <formula>"Não aceito"</formula>
    </cfRule>
  </conditionalFormatting>
  <conditionalFormatting sqref="Y14">
    <cfRule type="cellIs" operator="equal" dxfId="67" priority="67">
      <formula>"Premium"</formula>
    </cfRule>
  </conditionalFormatting>
  <conditionalFormatting sqref="AA14">
    <cfRule type="cellIs" operator="equal" dxfId="68" priority="68">
      <formula>"Ativo"</formula>
    </cfRule>
  </conditionalFormatting>
  <conditionalFormatting sqref="AB14">
    <cfRule type="cellIs" operator="equal" dxfId="69" priority="69">
      <formula>"Garantia do vendedor"</formula>
    </cfRule>
  </conditionalFormatting>
  <conditionalFormatting sqref="AD14">
    <cfRule type="cellIs" operator="equal" dxfId="70" priority="70">
      <formula>"dias"</formula>
    </cfRule>
  </conditionalFormatting>
  <conditionalFormatting sqref="J15">
    <cfRule type="cellIs" operator="equal" dxfId="71" priority="71">
      <formula>"R$"</formula>
    </cfRule>
  </conditionalFormatting>
  <conditionalFormatting sqref="U15">
    <cfRule type="cellIs" operator="equal" dxfId="72" priority="72">
      <formula>"Novo"</formula>
    </cfRule>
  </conditionalFormatting>
  <conditionalFormatting sqref="W15">
    <cfRule type="cellIs" operator="equal" dxfId="73" priority="73">
      <formula>"Mercado Envios por conta do comprador"</formula>
    </cfRule>
  </conditionalFormatting>
  <conditionalFormatting sqref="X15">
    <cfRule type="cellIs" operator="equal" dxfId="74" priority="74">
      <formula>"Não aceito"</formula>
    </cfRule>
  </conditionalFormatting>
  <conditionalFormatting sqref="Y15">
    <cfRule type="cellIs" operator="equal" dxfId="75" priority="75">
      <formula>"Clássico"</formula>
    </cfRule>
  </conditionalFormatting>
  <conditionalFormatting sqref="AA15">
    <cfRule type="cellIs" operator="equal" dxfId="76" priority="76">
      <formula>"Ativo"</formula>
    </cfRule>
  </conditionalFormatting>
  <conditionalFormatting sqref="AB15">
    <cfRule type="cellIs" operator="equal" dxfId="77" priority="77">
      <formula>"Garantia do vendedor"</formula>
    </cfRule>
  </conditionalFormatting>
  <conditionalFormatting sqref="AD15">
    <cfRule type="cellIs" operator="equal" dxfId="78" priority="78">
      <formula>"dias"</formula>
    </cfRule>
  </conditionalFormatting>
  <conditionalFormatting sqref="J16">
    <cfRule type="cellIs" operator="equal" dxfId="79" priority="79">
      <formula>"R$"</formula>
    </cfRule>
  </conditionalFormatting>
  <conditionalFormatting sqref="U16">
    <cfRule type="cellIs" operator="equal" dxfId="80" priority="80">
      <formula>"Novo"</formula>
    </cfRule>
  </conditionalFormatting>
  <conditionalFormatting sqref="W16">
    <cfRule type="cellIs" operator="equal" dxfId="81" priority="81">
      <formula>"Mercado Envios por conta do comprador"</formula>
    </cfRule>
  </conditionalFormatting>
  <conditionalFormatting sqref="X16">
    <cfRule type="cellIs" operator="equal" dxfId="82" priority="82">
      <formula>"Não aceito"</formula>
    </cfRule>
  </conditionalFormatting>
  <conditionalFormatting sqref="Y16">
    <cfRule type="cellIs" operator="equal" dxfId="83" priority="83">
      <formula>"Clássico"</formula>
    </cfRule>
  </conditionalFormatting>
  <conditionalFormatting sqref="AA16">
    <cfRule type="cellIs" operator="equal" dxfId="84" priority="84">
      <formula>"Ativo"</formula>
    </cfRule>
  </conditionalFormatting>
  <conditionalFormatting sqref="AB16">
    <cfRule type="cellIs" operator="equal" dxfId="85" priority="85">
      <formula>"Garantia do vendedor"</formula>
    </cfRule>
  </conditionalFormatting>
  <conditionalFormatting sqref="AD16">
    <cfRule type="cellIs" operator="equal" dxfId="86" priority="86">
      <formula>"dias"</formula>
    </cfRule>
  </conditionalFormatting>
  <conditionalFormatting sqref="J17">
    <cfRule type="cellIs" operator="equal" dxfId="87" priority="87">
      <formula>"R$"</formula>
    </cfRule>
  </conditionalFormatting>
  <conditionalFormatting sqref="U17">
    <cfRule type="cellIs" operator="equal" dxfId="88" priority="88">
      <formula>"Novo"</formula>
    </cfRule>
  </conditionalFormatting>
  <conditionalFormatting sqref="W17">
    <cfRule type="cellIs" operator="equal" dxfId="89" priority="89">
      <formula>"Mercado Envios por conta do comprador"</formula>
    </cfRule>
  </conditionalFormatting>
  <conditionalFormatting sqref="X17">
    <cfRule type="cellIs" operator="equal" dxfId="90" priority="90">
      <formula>"Não aceito"</formula>
    </cfRule>
  </conditionalFormatting>
  <conditionalFormatting sqref="Y17">
    <cfRule type="cellIs" operator="equal" dxfId="91" priority="91">
      <formula>"Clássico"</formula>
    </cfRule>
  </conditionalFormatting>
  <conditionalFormatting sqref="AA17">
    <cfRule type="cellIs" operator="equal" dxfId="92" priority="92">
      <formula>"Ativo"</formula>
    </cfRule>
  </conditionalFormatting>
  <conditionalFormatting sqref="AB17">
    <cfRule type="cellIs" operator="equal" dxfId="93" priority="93">
      <formula>"Garantia do vendedor"</formula>
    </cfRule>
  </conditionalFormatting>
  <conditionalFormatting sqref="AD17">
    <cfRule type="cellIs" operator="equal" dxfId="94" priority="94">
      <formula>"dias"</formula>
    </cfRule>
  </conditionalFormatting>
  <conditionalFormatting sqref="J18">
    <cfRule type="cellIs" operator="equal" dxfId="95" priority="95">
      <formula>"R$"</formula>
    </cfRule>
  </conditionalFormatting>
  <conditionalFormatting sqref="U18">
    <cfRule type="cellIs" operator="equal" dxfId="96" priority="96">
      <formula>"Novo"</formula>
    </cfRule>
  </conditionalFormatting>
  <conditionalFormatting sqref="W18">
    <cfRule type="cellIs" operator="equal" dxfId="97" priority="97">
      <formula>"Mercado Envios por conta do comprador"</formula>
    </cfRule>
  </conditionalFormatting>
  <conditionalFormatting sqref="X18">
    <cfRule type="cellIs" operator="equal" dxfId="98" priority="98">
      <formula>"Não aceito"</formula>
    </cfRule>
  </conditionalFormatting>
  <conditionalFormatting sqref="Y18">
    <cfRule type="cellIs" operator="equal" dxfId="99" priority="99">
      <formula>"Premium"</formula>
    </cfRule>
  </conditionalFormatting>
  <conditionalFormatting sqref="AA18">
    <cfRule type="cellIs" operator="equal" dxfId="100" priority="100">
      <formula>"Ativo"</formula>
    </cfRule>
  </conditionalFormatting>
  <conditionalFormatting sqref="AB18">
    <cfRule type="cellIs" operator="equal" dxfId="101" priority="101">
      <formula>"Garantia do vendedor"</formula>
    </cfRule>
  </conditionalFormatting>
  <conditionalFormatting sqref="AD18">
    <cfRule type="cellIs" operator="equal" dxfId="102" priority="102">
      <formula>"dias"</formula>
    </cfRule>
  </conditionalFormatting>
  <conditionalFormatting sqref="J19">
    <cfRule type="cellIs" operator="equal" dxfId="103" priority="103">
      <formula>"R$"</formula>
    </cfRule>
  </conditionalFormatting>
  <conditionalFormatting sqref="U19">
    <cfRule type="cellIs" operator="equal" dxfId="104" priority="104">
      <formula>"Novo"</formula>
    </cfRule>
  </conditionalFormatting>
  <conditionalFormatting sqref="W19">
    <cfRule type="cellIs" operator="equal" dxfId="105" priority="105">
      <formula>"Mercado Envios grátis"</formula>
    </cfRule>
  </conditionalFormatting>
  <conditionalFormatting sqref="X19">
    <cfRule type="cellIs" operator="equal" dxfId="106" priority="106">
      <formula>"Aceita"</formula>
    </cfRule>
  </conditionalFormatting>
  <conditionalFormatting sqref="Y19">
    <cfRule type="cellIs" operator="equal" dxfId="107" priority="107">
      <formula>"Clássico"</formula>
    </cfRule>
  </conditionalFormatting>
  <conditionalFormatting sqref="AA19">
    <cfRule type="cellIs" operator="equal" dxfId="108" priority="108">
      <formula>"Ativo"</formula>
    </cfRule>
  </conditionalFormatting>
  <conditionalFormatting sqref="AB19">
    <cfRule type="cellIs" operator="equal" dxfId="109" priority="109">
      <formula>"Garantia do vendedor"</formula>
    </cfRule>
  </conditionalFormatting>
  <conditionalFormatting sqref="AD19">
    <cfRule type="cellIs" operator="equal" dxfId="110" priority="110">
      <formula>"dias"</formula>
    </cfRule>
  </conditionalFormatting>
  <conditionalFormatting sqref="J20">
    <cfRule type="cellIs" operator="equal" dxfId="111" priority="111">
      <formula>"R$"</formula>
    </cfRule>
  </conditionalFormatting>
  <conditionalFormatting sqref="U20">
    <cfRule type="cellIs" operator="equal" dxfId="112" priority="112">
      <formula>"Novo"</formula>
    </cfRule>
  </conditionalFormatting>
  <conditionalFormatting sqref="W20">
    <cfRule type="cellIs" operator="equal" dxfId="113" priority="113">
      <formula>"Mercado Envios grátis"</formula>
    </cfRule>
  </conditionalFormatting>
  <conditionalFormatting sqref="X20">
    <cfRule type="cellIs" operator="equal" dxfId="114" priority="114">
      <formula>"Aceita"</formula>
    </cfRule>
  </conditionalFormatting>
  <conditionalFormatting sqref="Y20">
    <cfRule type="cellIs" operator="equal" dxfId="115" priority="115">
      <formula>"Premium"</formula>
    </cfRule>
  </conditionalFormatting>
  <conditionalFormatting sqref="AA20">
    <cfRule type="cellIs" operator="equal" dxfId="116" priority="116">
      <formula>"Ativo"</formula>
    </cfRule>
  </conditionalFormatting>
  <conditionalFormatting sqref="AB20">
    <cfRule type="cellIs" operator="equal" dxfId="117" priority="117">
      <formula>"Garantia do vendedor"</formula>
    </cfRule>
  </conditionalFormatting>
  <conditionalFormatting sqref="AD20">
    <cfRule type="cellIs" operator="equal" dxfId="118" priority="118">
      <formula>"dias"</formula>
    </cfRule>
  </conditionalFormatting>
  <conditionalFormatting sqref="J21">
    <cfRule type="cellIs" operator="equal" dxfId="119" priority="119">
      <formula>"R$"</formula>
    </cfRule>
  </conditionalFormatting>
  <conditionalFormatting sqref="U21">
    <cfRule type="cellIs" operator="equal" dxfId="120" priority="120">
      <formula>"Novo"</formula>
    </cfRule>
  </conditionalFormatting>
  <conditionalFormatting sqref="W21">
    <cfRule type="cellIs" operator="equal" dxfId="121" priority="121">
      <formula>"Mercado Envios por conta do comprador"</formula>
    </cfRule>
  </conditionalFormatting>
  <conditionalFormatting sqref="X21">
    <cfRule type="cellIs" operator="equal" dxfId="122" priority="122">
      <formula>"Não aceito"</formula>
    </cfRule>
  </conditionalFormatting>
  <conditionalFormatting sqref="Y21">
    <cfRule type="cellIs" operator="equal" dxfId="123" priority="123">
      <formula>"Clássico"</formula>
    </cfRule>
  </conditionalFormatting>
  <conditionalFormatting sqref="AA21">
    <cfRule type="cellIs" operator="equal" dxfId="124" priority="124">
      <formula>"Ativo"</formula>
    </cfRule>
  </conditionalFormatting>
  <conditionalFormatting sqref="AB21">
    <cfRule type="cellIs" operator="equal" dxfId="125" priority="125">
      <formula>"Garantia do vendedor"</formula>
    </cfRule>
  </conditionalFormatting>
  <conditionalFormatting sqref="AD21">
    <cfRule type="cellIs" operator="equal" dxfId="126" priority="126">
      <formula>"dias"</formula>
    </cfRule>
  </conditionalFormatting>
  <conditionalFormatting sqref="J22">
    <cfRule type="cellIs" operator="equal" dxfId="127" priority="127">
      <formula>"R$"</formula>
    </cfRule>
  </conditionalFormatting>
  <conditionalFormatting sqref="U22">
    <cfRule type="cellIs" operator="equal" dxfId="128" priority="128">
      <formula>"Novo"</formula>
    </cfRule>
  </conditionalFormatting>
  <conditionalFormatting sqref="W22">
    <cfRule type="cellIs" operator="equal" dxfId="129" priority="129">
      <formula>"Mercado Envios grátis"</formula>
    </cfRule>
  </conditionalFormatting>
  <conditionalFormatting sqref="X22">
    <cfRule type="cellIs" operator="equal" dxfId="130" priority="130">
      <formula>"Aceita"</formula>
    </cfRule>
  </conditionalFormatting>
  <conditionalFormatting sqref="Y22">
    <cfRule type="cellIs" operator="equal" dxfId="131" priority="131">
      <formula>"Clássico"</formula>
    </cfRule>
  </conditionalFormatting>
  <conditionalFormatting sqref="AA22">
    <cfRule type="cellIs" operator="equal" dxfId="132" priority="132">
      <formula>"Ativo"</formula>
    </cfRule>
  </conditionalFormatting>
  <conditionalFormatting sqref="AB22">
    <cfRule type="cellIs" operator="equal" dxfId="133" priority="133">
      <formula>"Garantia do vendedor"</formula>
    </cfRule>
  </conditionalFormatting>
  <conditionalFormatting sqref="AD22">
    <cfRule type="cellIs" operator="equal" dxfId="134" priority="134">
      <formula>"meses"</formula>
    </cfRule>
  </conditionalFormatting>
  <conditionalFormatting sqref="J23">
    <cfRule type="cellIs" operator="equal" dxfId="135" priority="135">
      <formula>"R$"</formula>
    </cfRule>
  </conditionalFormatting>
  <conditionalFormatting sqref="U23">
    <cfRule type="cellIs" operator="equal" dxfId="136" priority="136">
      <formula>"Novo"</formula>
    </cfRule>
  </conditionalFormatting>
  <conditionalFormatting sqref="W23">
    <cfRule type="cellIs" operator="equal" dxfId="137" priority="137">
      <formula>"Mercado Envios por conta do comprador"</formula>
    </cfRule>
  </conditionalFormatting>
  <conditionalFormatting sqref="X23">
    <cfRule type="cellIs" operator="equal" dxfId="138" priority="138">
      <formula>"Não aceito"</formula>
    </cfRule>
  </conditionalFormatting>
  <conditionalFormatting sqref="Y23">
    <cfRule type="cellIs" operator="equal" dxfId="139" priority="139">
      <formula>"Clássico"</formula>
    </cfRule>
  </conditionalFormatting>
  <conditionalFormatting sqref="AA23">
    <cfRule type="cellIs" operator="equal" dxfId="140" priority="140">
      <formula>"Ativo"</formula>
    </cfRule>
  </conditionalFormatting>
  <conditionalFormatting sqref="AB23">
    <cfRule type="cellIs" operator="equal" dxfId="141" priority="141">
      <formula>"Garantia do vendedor"</formula>
    </cfRule>
  </conditionalFormatting>
  <conditionalFormatting sqref="AD23">
    <cfRule type="cellIs" operator="equal" dxfId="142" priority="142">
      <formula>"meses"</formula>
    </cfRule>
  </conditionalFormatting>
  <conditionalFormatting sqref="J24">
    <cfRule type="cellIs" operator="equal" dxfId="143" priority="143">
      <formula>"R$"</formula>
    </cfRule>
  </conditionalFormatting>
  <conditionalFormatting sqref="U24">
    <cfRule type="cellIs" operator="equal" dxfId="144" priority="144">
      <formula>"Novo"</formula>
    </cfRule>
  </conditionalFormatting>
  <conditionalFormatting sqref="W24">
    <cfRule type="cellIs" operator="equal" dxfId="145" priority="145">
      <formula>"Mercado Envios por conta do comprador"</formula>
    </cfRule>
  </conditionalFormatting>
  <conditionalFormatting sqref="X24">
    <cfRule type="cellIs" operator="equal" dxfId="146" priority="146">
      <formula>"Não aceito"</formula>
    </cfRule>
  </conditionalFormatting>
  <conditionalFormatting sqref="Y24">
    <cfRule type="cellIs" operator="equal" dxfId="147" priority="147">
      <formula>"Premium"</formula>
    </cfRule>
  </conditionalFormatting>
  <conditionalFormatting sqref="AA24">
    <cfRule type="cellIs" operator="equal" dxfId="148" priority="148">
      <formula>"Ativo"</formula>
    </cfRule>
  </conditionalFormatting>
  <conditionalFormatting sqref="AB24">
    <cfRule type="cellIs" operator="equal" dxfId="149" priority="149">
      <formula>"Garantia do vendedor"</formula>
    </cfRule>
  </conditionalFormatting>
  <conditionalFormatting sqref="AD24">
    <cfRule type="cellIs" operator="equal" dxfId="150" priority="150">
      <formula>"dias"</formula>
    </cfRule>
  </conditionalFormatting>
  <conditionalFormatting sqref="J25">
    <cfRule type="cellIs" operator="equal" dxfId="151" priority="151">
      <formula>"R$"</formula>
    </cfRule>
  </conditionalFormatting>
  <conditionalFormatting sqref="U25">
    <cfRule type="cellIs" operator="equal" dxfId="152" priority="152">
      <formula>"Novo"</formula>
    </cfRule>
  </conditionalFormatting>
  <conditionalFormatting sqref="W25">
    <cfRule type="cellIs" operator="equal" dxfId="153" priority="153">
      <formula>"Mercado Envios por conta do comprador"</formula>
    </cfRule>
  </conditionalFormatting>
  <conditionalFormatting sqref="X25">
    <cfRule type="cellIs" operator="equal" dxfId="154" priority="154">
      <formula>"Não aceito"</formula>
    </cfRule>
  </conditionalFormatting>
  <conditionalFormatting sqref="Y25">
    <cfRule type="cellIs" operator="equal" dxfId="155" priority="155">
      <formula>"Clássico"</formula>
    </cfRule>
  </conditionalFormatting>
  <conditionalFormatting sqref="AA25">
    <cfRule type="cellIs" operator="equal" dxfId="156" priority="156">
      <formula>"Ativo"</formula>
    </cfRule>
  </conditionalFormatting>
  <conditionalFormatting sqref="AB25">
    <cfRule type="cellIs" operator="equal" dxfId="157" priority="157">
      <formula>"Garantia do vendedor"</formula>
    </cfRule>
  </conditionalFormatting>
  <conditionalFormatting sqref="AD25">
    <cfRule type="cellIs" operator="equal" dxfId="158" priority="158">
      <formula>"meses"</formula>
    </cfRule>
  </conditionalFormatting>
  <conditionalFormatting sqref="J26">
    <cfRule type="cellIs" operator="equal" dxfId="159" priority="159">
      <formula>"R$"</formula>
    </cfRule>
  </conditionalFormatting>
  <conditionalFormatting sqref="U26">
    <cfRule type="cellIs" operator="equal" dxfId="160" priority="160">
      <formula>"Novo"</formula>
    </cfRule>
  </conditionalFormatting>
  <conditionalFormatting sqref="W26">
    <cfRule type="cellIs" operator="equal" dxfId="161" priority="161">
      <formula>"Mercado Envios grátis"</formula>
    </cfRule>
  </conditionalFormatting>
  <conditionalFormatting sqref="X26">
    <cfRule type="cellIs" operator="equal" dxfId="162" priority="162">
      <formula>"Não aceito"</formula>
    </cfRule>
  </conditionalFormatting>
  <conditionalFormatting sqref="Y26">
    <cfRule type="cellIs" operator="equal" dxfId="163" priority="163">
      <formula>"Premium"</formula>
    </cfRule>
  </conditionalFormatting>
  <conditionalFormatting sqref="AA26">
    <cfRule type="cellIs" operator="equal" dxfId="164" priority="164">
      <formula>"Ativo"</formula>
    </cfRule>
  </conditionalFormatting>
  <conditionalFormatting sqref="AB26">
    <cfRule type="cellIs" operator="equal" dxfId="165" priority="165">
      <formula>"Garantia do vendedor"</formula>
    </cfRule>
  </conditionalFormatting>
  <conditionalFormatting sqref="AD26">
    <cfRule type="cellIs" operator="equal" dxfId="166" priority="166">
      <formula>"dias"</formula>
    </cfRule>
  </conditionalFormatting>
  <conditionalFormatting sqref="J27">
    <cfRule type="cellIs" operator="equal" dxfId="167" priority="167">
      <formula>"R$"</formula>
    </cfRule>
  </conditionalFormatting>
  <conditionalFormatting sqref="U27">
    <cfRule type="cellIs" operator="equal" dxfId="168" priority="168">
      <formula>"Novo"</formula>
    </cfRule>
  </conditionalFormatting>
  <conditionalFormatting sqref="W27">
    <cfRule type="cellIs" operator="equal" dxfId="169" priority="169">
      <formula>"Mercado Envios grátis"</formula>
    </cfRule>
  </conditionalFormatting>
  <conditionalFormatting sqref="X27">
    <cfRule type="cellIs" operator="equal" dxfId="170" priority="170">
      <formula>"Aceita"</formula>
    </cfRule>
  </conditionalFormatting>
  <conditionalFormatting sqref="Y27">
    <cfRule type="cellIs" operator="equal" dxfId="171" priority="171">
      <formula>"Premium"</formula>
    </cfRule>
  </conditionalFormatting>
  <conditionalFormatting sqref="AA27">
    <cfRule type="cellIs" operator="equal" dxfId="172" priority="172">
      <formula>"Ativo"</formula>
    </cfRule>
  </conditionalFormatting>
  <conditionalFormatting sqref="AB27">
    <cfRule type="cellIs" operator="equal" dxfId="173" priority="173">
      <formula>"Garantia do vendedor"</formula>
    </cfRule>
  </conditionalFormatting>
  <conditionalFormatting sqref="AD27">
    <cfRule type="cellIs" operator="equal" dxfId="174" priority="174">
      <formula>"dias"</formula>
    </cfRule>
  </conditionalFormatting>
  <conditionalFormatting sqref="J28">
    <cfRule type="cellIs" operator="equal" dxfId="175" priority="175">
      <formula>"R$"</formula>
    </cfRule>
  </conditionalFormatting>
  <conditionalFormatting sqref="U28">
    <cfRule type="cellIs" operator="equal" dxfId="176" priority="176">
      <formula>"Novo"</formula>
    </cfRule>
  </conditionalFormatting>
  <conditionalFormatting sqref="W28">
    <cfRule type="cellIs" operator="equal" dxfId="177" priority="177">
      <formula>"Mercado Envios por conta do comprador"</formula>
    </cfRule>
  </conditionalFormatting>
  <conditionalFormatting sqref="Y28">
    <cfRule type="cellIs" operator="equal" dxfId="178" priority="178">
      <formula>"Clássico"</formula>
    </cfRule>
  </conditionalFormatting>
  <conditionalFormatting sqref="AA28">
    <cfRule type="cellIs" operator="equal" dxfId="179" priority="179">
      <formula>"Ativo"</formula>
    </cfRule>
  </conditionalFormatting>
  <conditionalFormatting sqref="AB28">
    <cfRule type="cellIs" operator="equal" dxfId="180" priority="180">
      <formula>"Garantia do vendedor"</formula>
    </cfRule>
  </conditionalFormatting>
  <conditionalFormatting sqref="AD28">
    <cfRule type="cellIs" operator="equal" dxfId="181" priority="181">
      <formula>"dias"</formula>
    </cfRule>
  </conditionalFormatting>
  <conditionalFormatting sqref="J29">
    <cfRule type="cellIs" operator="equal" dxfId="182" priority="182">
      <formula>"R$"</formula>
    </cfRule>
  </conditionalFormatting>
  <conditionalFormatting sqref="U29">
    <cfRule type="cellIs" operator="equal" dxfId="183" priority="183">
      <formula>"Novo"</formula>
    </cfRule>
  </conditionalFormatting>
  <conditionalFormatting sqref="W29">
    <cfRule type="cellIs" operator="equal" dxfId="184" priority="184">
      <formula>"Mercado Envios por conta do comprador"</formula>
    </cfRule>
  </conditionalFormatting>
  <conditionalFormatting sqref="X29">
    <cfRule type="cellIs" operator="equal" dxfId="185" priority="185">
      <formula>"Aceita"</formula>
    </cfRule>
  </conditionalFormatting>
  <conditionalFormatting sqref="Y29">
    <cfRule type="cellIs" operator="equal" dxfId="186" priority="186">
      <formula>"Clássico"</formula>
    </cfRule>
  </conditionalFormatting>
  <conditionalFormatting sqref="AA29">
    <cfRule type="cellIs" operator="equal" dxfId="187" priority="187">
      <formula>"Ativo"</formula>
    </cfRule>
  </conditionalFormatting>
  <conditionalFormatting sqref="AB29">
    <cfRule type="cellIs" operator="equal" dxfId="188" priority="188">
      <formula>"Garantia do vendedor"</formula>
    </cfRule>
  </conditionalFormatting>
  <conditionalFormatting sqref="AD29">
    <cfRule type="cellIs" operator="equal" dxfId="189" priority="189">
      <formula>"dias"</formula>
    </cfRule>
  </conditionalFormatting>
  <conditionalFormatting sqref="J30">
    <cfRule type="cellIs" operator="equal" dxfId="190" priority="190">
      <formula>"R$"</formula>
    </cfRule>
  </conditionalFormatting>
  <conditionalFormatting sqref="U30">
    <cfRule type="cellIs" operator="equal" dxfId="191" priority="191">
      <formula>"Novo"</formula>
    </cfRule>
  </conditionalFormatting>
  <conditionalFormatting sqref="W30">
    <cfRule type="cellIs" operator="equal" dxfId="192" priority="192">
      <formula>"Mercado Envios por conta do comprador"</formula>
    </cfRule>
  </conditionalFormatting>
  <conditionalFormatting sqref="Y30">
    <cfRule type="cellIs" operator="equal" dxfId="193" priority="193">
      <formula>"Premium"</formula>
    </cfRule>
  </conditionalFormatting>
  <conditionalFormatting sqref="AA30">
    <cfRule type="cellIs" operator="equal" dxfId="194" priority="194">
      <formula>"Ativo"</formula>
    </cfRule>
  </conditionalFormatting>
  <conditionalFormatting sqref="AB30">
    <cfRule type="cellIs" operator="equal" dxfId="195" priority="195">
      <formula>"Garantia do vendedor"</formula>
    </cfRule>
  </conditionalFormatting>
  <conditionalFormatting sqref="AD30">
    <cfRule type="cellIs" operator="equal" dxfId="196" priority="196">
      <formula>"dias"</formula>
    </cfRule>
  </conditionalFormatting>
  <conditionalFormatting sqref="J31">
    <cfRule type="cellIs" operator="equal" dxfId="197" priority="197">
      <formula>"R$"</formula>
    </cfRule>
  </conditionalFormatting>
  <conditionalFormatting sqref="U31">
    <cfRule type="cellIs" operator="equal" dxfId="198" priority="198">
      <formula>"Novo"</formula>
    </cfRule>
  </conditionalFormatting>
  <conditionalFormatting sqref="W31">
    <cfRule type="cellIs" operator="equal" dxfId="199" priority="199">
      <formula>"Mercado Envios por conta do comprador"</formula>
    </cfRule>
  </conditionalFormatting>
  <conditionalFormatting sqref="X31">
    <cfRule type="cellIs" operator="equal" dxfId="200" priority="200">
      <formula>"Não aceito"</formula>
    </cfRule>
  </conditionalFormatting>
  <conditionalFormatting sqref="Y31">
    <cfRule type="cellIs" operator="equal" dxfId="201" priority="201">
      <formula>"Clássico"</formula>
    </cfRule>
  </conditionalFormatting>
  <conditionalFormatting sqref="AA31">
    <cfRule type="cellIs" operator="equal" dxfId="202" priority="202">
      <formula>"Ativo"</formula>
    </cfRule>
  </conditionalFormatting>
  <conditionalFormatting sqref="AB31">
    <cfRule type="cellIs" operator="equal" dxfId="203" priority="203">
      <formula>"Garantia do vendedor"</formula>
    </cfRule>
  </conditionalFormatting>
  <conditionalFormatting sqref="AD31">
    <cfRule type="cellIs" operator="equal" dxfId="204" priority="204">
      <formula>"dias"</formula>
    </cfRule>
  </conditionalFormatting>
  <conditionalFormatting sqref="J32">
    <cfRule type="cellIs" operator="equal" dxfId="205" priority="205">
      <formula>"R$"</formula>
    </cfRule>
  </conditionalFormatting>
  <conditionalFormatting sqref="U32">
    <cfRule type="cellIs" operator="equal" dxfId="206" priority="206">
      <formula>"Novo"</formula>
    </cfRule>
  </conditionalFormatting>
  <conditionalFormatting sqref="W32">
    <cfRule type="cellIs" operator="equal" dxfId="207" priority="207">
      <formula>"Mercado Envios por conta do comprador"</formula>
    </cfRule>
  </conditionalFormatting>
  <conditionalFormatting sqref="X32">
    <cfRule type="cellIs" operator="equal" dxfId="208" priority="208">
      <formula>"Aceita"</formula>
    </cfRule>
  </conditionalFormatting>
  <conditionalFormatting sqref="Y32">
    <cfRule type="cellIs" operator="equal" dxfId="209" priority="209">
      <formula>"Premium"</formula>
    </cfRule>
  </conditionalFormatting>
  <conditionalFormatting sqref="AA32">
    <cfRule type="cellIs" operator="equal" dxfId="210" priority="210">
      <formula>"Ativo"</formula>
    </cfRule>
  </conditionalFormatting>
  <conditionalFormatting sqref="AB32">
    <cfRule type="cellIs" operator="equal" dxfId="211" priority="211">
      <formula>"Garantia do vendedor"</formula>
    </cfRule>
  </conditionalFormatting>
  <conditionalFormatting sqref="AD32">
    <cfRule type="cellIs" operator="equal" dxfId="212" priority="212">
      <formula>"dias"</formula>
    </cfRule>
  </conditionalFormatting>
  <conditionalFormatting sqref="J33">
    <cfRule type="cellIs" operator="equal" dxfId="213" priority="213">
      <formula>"R$"</formula>
    </cfRule>
  </conditionalFormatting>
  <conditionalFormatting sqref="W33">
    <cfRule type="cellIs" operator="equal" dxfId="214" priority="214">
      <formula>"Mercado Envios por conta do comprador"</formula>
    </cfRule>
  </conditionalFormatting>
  <conditionalFormatting sqref="X33">
    <cfRule type="cellIs" operator="equal" dxfId="215" priority="215">
      <formula>"Aceita"</formula>
    </cfRule>
  </conditionalFormatting>
  <conditionalFormatting sqref="Y33">
    <cfRule type="cellIs" operator="equal" dxfId="216" priority="216">
      <formula>"Premium"</formula>
    </cfRule>
  </conditionalFormatting>
  <conditionalFormatting sqref="AA33">
    <cfRule type="cellIs" operator="equal" dxfId="217" priority="217">
      <formula>"Ativo"</formula>
    </cfRule>
  </conditionalFormatting>
  <conditionalFormatting sqref="AB33">
    <cfRule type="cellIs" operator="equal" dxfId="218" priority="218">
      <formula>"Garantia do vendedor"</formula>
    </cfRule>
  </conditionalFormatting>
  <conditionalFormatting sqref="AD33">
    <cfRule type="cellIs" operator="equal" dxfId="219" priority="219">
      <formula>"dias"</formula>
    </cfRule>
  </conditionalFormatting>
  <conditionalFormatting sqref="J34">
    <cfRule type="cellIs" operator="equal" dxfId="220" priority="220">
      <formula>"R$"</formula>
    </cfRule>
  </conditionalFormatting>
  <conditionalFormatting sqref="W34">
    <cfRule type="cellIs" operator="equal" dxfId="221" priority="221">
      <formula>"Mercado Envios grátis"</formula>
    </cfRule>
  </conditionalFormatting>
  <conditionalFormatting sqref="Y34">
    <cfRule type="cellIs" operator="equal" dxfId="222" priority="222">
      <formula>"Clássico"</formula>
    </cfRule>
  </conditionalFormatting>
  <conditionalFormatting sqref="AA34">
    <cfRule type="cellIs" operator="equal" dxfId="223" priority="223">
      <formula>"Ativo"</formula>
    </cfRule>
  </conditionalFormatting>
  <conditionalFormatting sqref="AB34">
    <cfRule type="cellIs" operator="equal" dxfId="224" priority="224">
      <formula>"Garantia do vendedor"</formula>
    </cfRule>
  </conditionalFormatting>
  <conditionalFormatting sqref="AD34">
    <cfRule type="cellIs" operator="equal" dxfId="225" priority="225">
      <formula>"dias"</formula>
    </cfRule>
  </conditionalFormatting>
  <conditionalFormatting sqref="J35">
    <cfRule type="cellIs" operator="equal" dxfId="226" priority="226">
      <formula>"R$"</formula>
    </cfRule>
  </conditionalFormatting>
  <conditionalFormatting sqref="U35">
    <cfRule type="cellIs" operator="equal" dxfId="227" priority="227">
      <formula>"Novo"</formula>
    </cfRule>
  </conditionalFormatting>
  <conditionalFormatting sqref="W35">
    <cfRule type="cellIs" operator="equal" dxfId="228" priority="228">
      <formula>"Mercado Envios grátis"</formula>
    </cfRule>
  </conditionalFormatting>
  <conditionalFormatting sqref="X35">
    <cfRule type="cellIs" operator="equal" dxfId="229" priority="229">
      <formula>"Aceita"</formula>
    </cfRule>
  </conditionalFormatting>
  <conditionalFormatting sqref="Y35">
    <cfRule type="cellIs" operator="equal" dxfId="230" priority="230">
      <formula>"Premium"</formula>
    </cfRule>
  </conditionalFormatting>
  <conditionalFormatting sqref="AA35">
    <cfRule type="cellIs" operator="equal" dxfId="231" priority="231">
      <formula>"Ativo"</formula>
    </cfRule>
  </conditionalFormatting>
  <conditionalFormatting sqref="AB35">
    <cfRule type="cellIs" operator="equal" dxfId="232" priority="232">
      <formula>"Garantia do vendedor"</formula>
    </cfRule>
  </conditionalFormatting>
  <conditionalFormatting sqref="AD35">
    <cfRule type="cellIs" operator="equal" dxfId="233" priority="233">
      <formula>"dias"</formula>
    </cfRule>
  </conditionalFormatting>
  <conditionalFormatting sqref="J36">
    <cfRule type="cellIs" operator="equal" dxfId="234" priority="234">
      <formula>"R$"</formula>
    </cfRule>
  </conditionalFormatting>
  <conditionalFormatting sqref="U36">
    <cfRule type="cellIs" operator="equal" dxfId="235" priority="235">
      <formula>"Novo"</formula>
    </cfRule>
  </conditionalFormatting>
  <conditionalFormatting sqref="W36">
    <cfRule type="cellIs" operator="equal" dxfId="236" priority="236">
      <formula>"Mercado Envios grátis"</formula>
    </cfRule>
  </conditionalFormatting>
  <conditionalFormatting sqref="X36">
    <cfRule type="cellIs" operator="equal" dxfId="237" priority="237">
      <formula>"Não aceito"</formula>
    </cfRule>
  </conditionalFormatting>
  <conditionalFormatting sqref="Y36">
    <cfRule type="cellIs" operator="equal" dxfId="238" priority="238">
      <formula>"Premium"</formula>
    </cfRule>
  </conditionalFormatting>
  <conditionalFormatting sqref="AA36">
    <cfRule type="cellIs" operator="equal" dxfId="239" priority="239">
      <formula>"Ativo"</formula>
    </cfRule>
  </conditionalFormatting>
  <conditionalFormatting sqref="AB36">
    <cfRule type="cellIs" operator="equal" dxfId="240" priority="240">
      <formula>"Garantia do vendedor"</formula>
    </cfRule>
  </conditionalFormatting>
  <conditionalFormatting sqref="AD36">
    <cfRule type="cellIs" operator="equal" dxfId="241" priority="241">
      <formula>"dias"</formula>
    </cfRule>
  </conditionalFormatting>
  <conditionalFormatting sqref="J37">
    <cfRule type="cellIs" operator="equal" dxfId="242" priority="242">
      <formula>"R$"</formula>
    </cfRule>
  </conditionalFormatting>
  <conditionalFormatting sqref="U37">
    <cfRule type="cellIs" operator="equal" dxfId="243" priority="243">
      <formula>"Novo"</formula>
    </cfRule>
  </conditionalFormatting>
  <conditionalFormatting sqref="W37">
    <cfRule type="cellIs" operator="equal" dxfId="244" priority="244">
      <formula>"Mercado Envios por conta do comprador"</formula>
    </cfRule>
  </conditionalFormatting>
  <conditionalFormatting sqref="X37">
    <cfRule type="cellIs" operator="equal" dxfId="245" priority="245">
      <formula>"Não aceito"</formula>
    </cfRule>
  </conditionalFormatting>
  <conditionalFormatting sqref="Y37">
    <cfRule type="cellIs" operator="equal" dxfId="246" priority="246">
      <formula>"Premium"</formula>
    </cfRule>
  </conditionalFormatting>
  <conditionalFormatting sqref="AA37">
    <cfRule type="cellIs" operator="equal" dxfId="247" priority="247">
      <formula>"Ativo"</formula>
    </cfRule>
  </conditionalFormatting>
  <conditionalFormatting sqref="AB37">
    <cfRule type="cellIs" operator="equal" dxfId="248" priority="248">
      <formula>"Garantia do vendedor"</formula>
    </cfRule>
  </conditionalFormatting>
  <conditionalFormatting sqref="AD37">
    <cfRule type="cellIs" operator="equal" dxfId="249" priority="249">
      <formula>"dias"</formula>
    </cfRule>
  </conditionalFormatting>
  <conditionalFormatting sqref="J38">
    <cfRule type="cellIs" operator="equal" dxfId="250" priority="250">
      <formula>"R$"</formula>
    </cfRule>
  </conditionalFormatting>
  <conditionalFormatting sqref="U38">
    <cfRule type="cellIs" operator="equal" dxfId="251" priority="251">
      <formula>"Novo"</formula>
    </cfRule>
  </conditionalFormatting>
  <conditionalFormatting sqref="W38">
    <cfRule type="cellIs" operator="equal" dxfId="252" priority="252">
      <formula>"Mercado Envios por conta do comprador"</formula>
    </cfRule>
  </conditionalFormatting>
  <conditionalFormatting sqref="X38">
    <cfRule type="cellIs" operator="equal" dxfId="253" priority="253">
      <formula>"Não aceito"</formula>
    </cfRule>
  </conditionalFormatting>
  <conditionalFormatting sqref="Y38">
    <cfRule type="cellIs" operator="equal" dxfId="254" priority="254">
      <formula>"Premium"</formula>
    </cfRule>
  </conditionalFormatting>
  <conditionalFormatting sqref="AA38">
    <cfRule type="cellIs" operator="equal" dxfId="255" priority="255">
      <formula>"Ativo"</formula>
    </cfRule>
  </conditionalFormatting>
  <conditionalFormatting sqref="AB38">
    <cfRule type="cellIs" operator="equal" dxfId="256" priority="256">
      <formula>"Garantia do vendedor"</formula>
    </cfRule>
  </conditionalFormatting>
  <conditionalFormatting sqref="AD38">
    <cfRule type="cellIs" operator="equal" dxfId="257" priority="257">
      <formula>"meses"</formula>
    </cfRule>
  </conditionalFormatting>
  <conditionalFormatting sqref="J39">
    <cfRule type="cellIs" operator="equal" dxfId="258" priority="258">
      <formula>"R$"</formula>
    </cfRule>
  </conditionalFormatting>
  <conditionalFormatting sqref="U39">
    <cfRule type="cellIs" operator="equal" dxfId="259" priority="259">
      <formula>"Novo"</formula>
    </cfRule>
  </conditionalFormatting>
  <conditionalFormatting sqref="W39">
    <cfRule type="cellIs" operator="equal" dxfId="260" priority="260">
      <formula>"Mercado Envios por conta do comprador"</formula>
    </cfRule>
  </conditionalFormatting>
  <conditionalFormatting sqref="X39">
    <cfRule type="cellIs" operator="equal" dxfId="261" priority="261">
      <formula>"Não aceito"</formula>
    </cfRule>
  </conditionalFormatting>
  <conditionalFormatting sqref="Y39">
    <cfRule type="cellIs" operator="equal" dxfId="262" priority="262">
      <formula>"Clássico"</formula>
    </cfRule>
  </conditionalFormatting>
  <conditionalFormatting sqref="AA39">
    <cfRule type="cellIs" operator="equal" dxfId="263" priority="263">
      <formula>"Ativo"</formula>
    </cfRule>
  </conditionalFormatting>
  <conditionalFormatting sqref="AB39">
    <cfRule type="cellIs" operator="equal" dxfId="264" priority="264">
      <formula>"Garantia do vendedor"</formula>
    </cfRule>
  </conditionalFormatting>
  <conditionalFormatting sqref="AD39">
    <cfRule type="cellIs" operator="equal" dxfId="265" priority="265">
      <formula>"dias"</formula>
    </cfRule>
  </conditionalFormatting>
  <conditionalFormatting sqref="J40">
    <cfRule type="cellIs" operator="equal" dxfId="266" priority="266">
      <formula>"R$"</formula>
    </cfRule>
  </conditionalFormatting>
  <conditionalFormatting sqref="U40">
    <cfRule type="cellIs" operator="equal" dxfId="267" priority="267">
      <formula>"Novo"</formula>
    </cfRule>
  </conditionalFormatting>
  <conditionalFormatting sqref="W40">
    <cfRule type="cellIs" operator="equal" dxfId="268" priority="268">
      <formula>"Mercado Envios grátis"</formula>
    </cfRule>
  </conditionalFormatting>
  <conditionalFormatting sqref="X40">
    <cfRule type="cellIs" operator="equal" dxfId="269" priority="269">
      <formula>"Aceita"</formula>
    </cfRule>
  </conditionalFormatting>
  <conditionalFormatting sqref="Y40">
    <cfRule type="cellIs" operator="equal" dxfId="270" priority="270">
      <formula>"Premium"</formula>
    </cfRule>
  </conditionalFormatting>
  <conditionalFormatting sqref="AA40">
    <cfRule type="cellIs" operator="equal" dxfId="271" priority="271">
      <formula>"Ativo"</formula>
    </cfRule>
  </conditionalFormatting>
  <conditionalFormatting sqref="AB40">
    <cfRule type="cellIs" operator="equal" dxfId="272" priority="272">
      <formula>"Garantia do vendedor"</formula>
    </cfRule>
  </conditionalFormatting>
  <conditionalFormatting sqref="AD40">
    <cfRule type="cellIs" operator="equal" dxfId="273" priority="273">
      <formula>"dias"</formula>
    </cfRule>
  </conditionalFormatting>
  <conditionalFormatting sqref="J41">
    <cfRule type="cellIs" operator="equal" dxfId="274" priority="274">
      <formula>"R$"</formula>
    </cfRule>
  </conditionalFormatting>
  <conditionalFormatting sqref="U41">
    <cfRule type="cellIs" operator="equal" dxfId="275" priority="275">
      <formula>"Novo"</formula>
    </cfRule>
  </conditionalFormatting>
  <conditionalFormatting sqref="W41">
    <cfRule type="cellIs" operator="equal" dxfId="276" priority="276">
      <formula>"Mercado Envios por conta do comprador"</formula>
    </cfRule>
  </conditionalFormatting>
  <conditionalFormatting sqref="X41">
    <cfRule type="cellIs" operator="equal" dxfId="277" priority="277">
      <formula>"Aceita"</formula>
    </cfRule>
  </conditionalFormatting>
  <conditionalFormatting sqref="Y41">
    <cfRule type="cellIs" operator="equal" dxfId="278" priority="278">
      <formula>"Premium"</formula>
    </cfRule>
  </conditionalFormatting>
  <conditionalFormatting sqref="AA41">
    <cfRule type="cellIs" operator="equal" dxfId="279" priority="279">
      <formula>"Ativo"</formula>
    </cfRule>
  </conditionalFormatting>
  <conditionalFormatting sqref="AB41">
    <cfRule type="cellIs" operator="equal" dxfId="280" priority="280">
      <formula>"Garantia do vendedor"</formula>
    </cfRule>
  </conditionalFormatting>
  <conditionalFormatting sqref="AD41">
    <cfRule type="cellIs" operator="equal" dxfId="281" priority="281">
      <formula>"dias"</formula>
    </cfRule>
  </conditionalFormatting>
  <conditionalFormatting sqref="J42">
    <cfRule type="cellIs" operator="equal" dxfId="282" priority="282">
      <formula>"R$"</formula>
    </cfRule>
  </conditionalFormatting>
  <conditionalFormatting sqref="U42">
    <cfRule type="cellIs" operator="equal" dxfId="283" priority="283">
      <formula>"Novo"</formula>
    </cfRule>
  </conditionalFormatting>
  <conditionalFormatting sqref="W42">
    <cfRule type="cellIs" operator="equal" dxfId="284" priority="284">
      <formula>"Mercado Envios grátis"</formula>
    </cfRule>
  </conditionalFormatting>
  <conditionalFormatting sqref="X42">
    <cfRule type="cellIs" operator="equal" dxfId="285" priority="285">
      <formula>"Aceita"</formula>
    </cfRule>
  </conditionalFormatting>
  <conditionalFormatting sqref="Y42">
    <cfRule type="cellIs" operator="equal" dxfId="286" priority="286">
      <formula>"Clássico"</formula>
    </cfRule>
  </conditionalFormatting>
  <conditionalFormatting sqref="AA42">
    <cfRule type="cellIs" operator="equal" dxfId="287" priority="287">
      <formula>"Ativo"</formula>
    </cfRule>
  </conditionalFormatting>
  <conditionalFormatting sqref="AB42">
    <cfRule type="cellIs" operator="equal" dxfId="288" priority="288">
      <formula>"Garantia do vendedor"</formula>
    </cfRule>
  </conditionalFormatting>
  <conditionalFormatting sqref="AD42">
    <cfRule type="cellIs" operator="equal" dxfId="289" priority="289">
      <formula>"dias"</formula>
    </cfRule>
  </conditionalFormatting>
  <conditionalFormatting sqref="J43">
    <cfRule type="cellIs" operator="equal" dxfId="290" priority="290">
      <formula>"R$"</formula>
    </cfRule>
  </conditionalFormatting>
  <conditionalFormatting sqref="U43">
    <cfRule type="cellIs" operator="equal" dxfId="291" priority="291">
      <formula>"Novo"</formula>
    </cfRule>
  </conditionalFormatting>
  <conditionalFormatting sqref="W43">
    <cfRule type="cellIs" operator="equal" dxfId="292" priority="292">
      <formula>"Mercado Envios por conta do comprador"</formula>
    </cfRule>
  </conditionalFormatting>
  <conditionalFormatting sqref="X43">
    <cfRule type="cellIs" operator="equal" dxfId="293" priority="293">
      <formula>"Aceita"</formula>
    </cfRule>
  </conditionalFormatting>
  <conditionalFormatting sqref="Y43">
    <cfRule type="cellIs" operator="equal" dxfId="294" priority="294">
      <formula>"Clássico"</formula>
    </cfRule>
  </conditionalFormatting>
  <conditionalFormatting sqref="AA43">
    <cfRule type="cellIs" operator="equal" dxfId="295" priority="295">
      <formula>"Ativo"</formula>
    </cfRule>
  </conditionalFormatting>
  <conditionalFormatting sqref="AB43">
    <cfRule type="cellIs" operator="equal" dxfId="296" priority="296">
      <formula>"Garantia do vendedor"</formula>
    </cfRule>
  </conditionalFormatting>
  <conditionalFormatting sqref="AD43">
    <cfRule type="cellIs" operator="equal" dxfId="297" priority="297">
      <formula>"dias"</formula>
    </cfRule>
  </conditionalFormatting>
  <conditionalFormatting sqref="J44">
    <cfRule type="cellIs" operator="equal" dxfId="298" priority="298">
      <formula>"R$"</formula>
    </cfRule>
  </conditionalFormatting>
  <conditionalFormatting sqref="U44">
    <cfRule type="cellIs" operator="equal" dxfId="299" priority="299">
      <formula>"Novo"</formula>
    </cfRule>
  </conditionalFormatting>
  <conditionalFormatting sqref="W44">
    <cfRule type="cellIs" operator="equal" dxfId="300" priority="300">
      <formula>"Mercado Envios grátis"</formula>
    </cfRule>
  </conditionalFormatting>
  <conditionalFormatting sqref="X44">
    <cfRule type="cellIs" operator="equal" dxfId="301" priority="301">
      <formula>"Aceita"</formula>
    </cfRule>
  </conditionalFormatting>
  <conditionalFormatting sqref="Y44">
    <cfRule type="cellIs" operator="equal" dxfId="302" priority="302">
      <formula>"Premium"</formula>
    </cfRule>
  </conditionalFormatting>
  <conditionalFormatting sqref="AA44">
    <cfRule type="cellIs" operator="equal" dxfId="303" priority="303">
      <formula>"Ativo"</formula>
    </cfRule>
  </conditionalFormatting>
  <conditionalFormatting sqref="AB44">
    <cfRule type="cellIs" operator="equal" dxfId="304" priority="304">
      <formula>"Garantia do vendedor"</formula>
    </cfRule>
  </conditionalFormatting>
  <conditionalFormatting sqref="AD44">
    <cfRule type="cellIs" operator="equal" dxfId="305" priority="305">
      <formula>"dias"</formula>
    </cfRule>
  </conditionalFormatting>
  <conditionalFormatting sqref="J45">
    <cfRule type="cellIs" operator="equal" dxfId="306" priority="306">
      <formula>"R$"</formula>
    </cfRule>
  </conditionalFormatting>
  <conditionalFormatting sqref="U45">
    <cfRule type="cellIs" operator="equal" dxfId="307" priority="307">
      <formula>"Novo"</formula>
    </cfRule>
  </conditionalFormatting>
  <conditionalFormatting sqref="W45">
    <cfRule type="cellIs" operator="equal" dxfId="308" priority="308">
      <formula>"Mercado Envios por conta do comprador"</formula>
    </cfRule>
  </conditionalFormatting>
  <conditionalFormatting sqref="X45">
    <cfRule type="cellIs" operator="equal" dxfId="309" priority="309">
      <formula>"Não aceito"</formula>
    </cfRule>
  </conditionalFormatting>
  <conditionalFormatting sqref="Y45">
    <cfRule type="cellIs" operator="equal" dxfId="310" priority="310">
      <formula>"Premium"</formula>
    </cfRule>
  </conditionalFormatting>
  <conditionalFormatting sqref="AA45">
    <cfRule type="cellIs" operator="equal" dxfId="311" priority="311">
      <formula>"Ativo"</formula>
    </cfRule>
  </conditionalFormatting>
  <conditionalFormatting sqref="AB45">
    <cfRule type="cellIs" operator="equal" dxfId="312" priority="312">
      <formula>"Garantia do vendedor"</formula>
    </cfRule>
  </conditionalFormatting>
  <conditionalFormatting sqref="AD45">
    <cfRule type="cellIs" operator="equal" dxfId="313" priority="313">
      <formula>"dias"</formula>
    </cfRule>
  </conditionalFormatting>
  <conditionalFormatting sqref="J46">
    <cfRule type="cellIs" operator="equal" dxfId="314" priority="314">
      <formula>"R$"</formula>
    </cfRule>
  </conditionalFormatting>
  <conditionalFormatting sqref="U46">
    <cfRule type="cellIs" operator="equal" dxfId="315" priority="315">
      <formula>"Novo"</formula>
    </cfRule>
  </conditionalFormatting>
  <conditionalFormatting sqref="W46">
    <cfRule type="cellIs" operator="equal" dxfId="316" priority="316">
      <formula>"Mercado Envios grátis"</formula>
    </cfRule>
  </conditionalFormatting>
  <conditionalFormatting sqref="X46">
    <cfRule type="cellIs" operator="equal" dxfId="317" priority="317">
      <formula>"Aceita"</formula>
    </cfRule>
  </conditionalFormatting>
  <conditionalFormatting sqref="Y46">
    <cfRule type="cellIs" operator="equal" dxfId="318" priority="318">
      <formula>"Premium"</formula>
    </cfRule>
  </conditionalFormatting>
  <conditionalFormatting sqref="AA46">
    <cfRule type="cellIs" operator="equal" dxfId="319" priority="319">
      <formula>"Ativo"</formula>
    </cfRule>
  </conditionalFormatting>
  <conditionalFormatting sqref="AB46">
    <cfRule type="cellIs" operator="equal" dxfId="320" priority="320">
      <formula>"Garantia do vendedor"</formula>
    </cfRule>
  </conditionalFormatting>
  <conditionalFormatting sqref="AD46">
    <cfRule type="cellIs" operator="equal" dxfId="321" priority="321">
      <formula>"dias"</formula>
    </cfRule>
  </conditionalFormatting>
  <conditionalFormatting sqref="J47">
    <cfRule type="cellIs" operator="equal" dxfId="322" priority="322">
      <formula>"R$"</formula>
    </cfRule>
  </conditionalFormatting>
  <conditionalFormatting sqref="U47">
    <cfRule type="cellIs" operator="equal" dxfId="323" priority="323">
      <formula>"Novo"</formula>
    </cfRule>
  </conditionalFormatting>
  <conditionalFormatting sqref="W47">
    <cfRule type="cellIs" operator="equal" dxfId="324" priority="324">
      <formula>"Mercado Envios por conta do comprador"</formula>
    </cfRule>
  </conditionalFormatting>
  <conditionalFormatting sqref="X47">
    <cfRule type="cellIs" operator="equal" dxfId="325" priority="325">
      <formula>"Aceita"</formula>
    </cfRule>
  </conditionalFormatting>
  <conditionalFormatting sqref="Y47">
    <cfRule type="cellIs" operator="equal" dxfId="326" priority="326">
      <formula>"Premium"</formula>
    </cfRule>
  </conditionalFormatting>
  <conditionalFormatting sqref="AA47">
    <cfRule type="cellIs" operator="equal" dxfId="327" priority="327">
      <formula>"Ativo"</formula>
    </cfRule>
  </conditionalFormatting>
  <conditionalFormatting sqref="AB47">
    <cfRule type="cellIs" operator="equal" dxfId="328" priority="328">
      <formula>"Garantia do vendedor"</formula>
    </cfRule>
  </conditionalFormatting>
  <conditionalFormatting sqref="AD47">
    <cfRule type="cellIs" operator="equal" dxfId="329" priority="329">
      <formula>"dias"</formula>
    </cfRule>
  </conditionalFormatting>
  <conditionalFormatting sqref="J48">
    <cfRule type="cellIs" operator="equal" dxfId="330" priority="330">
      <formula>"R$"</formula>
    </cfRule>
  </conditionalFormatting>
  <conditionalFormatting sqref="U48">
    <cfRule type="cellIs" operator="equal" dxfId="331" priority="331">
      <formula>"Novo"</formula>
    </cfRule>
  </conditionalFormatting>
  <conditionalFormatting sqref="W48">
    <cfRule type="cellIs" operator="equal" dxfId="332" priority="332">
      <formula>"Mercado Envios por conta do comprador"</formula>
    </cfRule>
  </conditionalFormatting>
  <conditionalFormatting sqref="X48">
    <cfRule type="cellIs" operator="equal" dxfId="333" priority="333">
      <formula>"Aceita"</formula>
    </cfRule>
  </conditionalFormatting>
  <conditionalFormatting sqref="Y48">
    <cfRule type="cellIs" operator="equal" dxfId="334" priority="334">
      <formula>"Clássico"</formula>
    </cfRule>
  </conditionalFormatting>
  <conditionalFormatting sqref="AA48">
    <cfRule type="cellIs" operator="equal" dxfId="335" priority="335">
      <formula>"Ativo"</formula>
    </cfRule>
  </conditionalFormatting>
  <conditionalFormatting sqref="AB48">
    <cfRule type="cellIs" operator="equal" dxfId="336" priority="336">
      <formula>"Garantia do vendedor"</formula>
    </cfRule>
  </conditionalFormatting>
  <conditionalFormatting sqref="AD48">
    <cfRule type="cellIs" operator="equal" dxfId="337" priority="337">
      <formula>"dias"</formula>
    </cfRule>
  </conditionalFormatting>
  <conditionalFormatting sqref="J49">
    <cfRule type="cellIs" operator="equal" dxfId="338" priority="338">
      <formula>"R$"</formula>
    </cfRule>
  </conditionalFormatting>
  <conditionalFormatting sqref="U49">
    <cfRule type="cellIs" operator="equal" dxfId="339" priority="339">
      <formula>"Novo"</formula>
    </cfRule>
  </conditionalFormatting>
  <conditionalFormatting sqref="W49">
    <cfRule type="cellIs" operator="equal" dxfId="340" priority="340">
      <formula>"Mercado Envios grátis"</formula>
    </cfRule>
  </conditionalFormatting>
  <conditionalFormatting sqref="X49">
    <cfRule type="cellIs" operator="equal" dxfId="341" priority="341">
      <formula>"Aceita"</formula>
    </cfRule>
  </conditionalFormatting>
  <conditionalFormatting sqref="Y49">
    <cfRule type="cellIs" operator="equal" dxfId="342" priority="342">
      <formula>"Premium"</formula>
    </cfRule>
  </conditionalFormatting>
  <conditionalFormatting sqref="AA49">
    <cfRule type="cellIs" operator="equal" dxfId="343" priority="343">
      <formula>"Ativo"</formula>
    </cfRule>
  </conditionalFormatting>
  <conditionalFormatting sqref="AB49">
    <cfRule type="cellIs" operator="equal" dxfId="344" priority="344">
      <formula>"Garantia do vendedor"</formula>
    </cfRule>
  </conditionalFormatting>
  <conditionalFormatting sqref="AD49">
    <cfRule type="cellIs" operator="equal" dxfId="345" priority="345">
      <formula>"meses"</formula>
    </cfRule>
  </conditionalFormatting>
  <conditionalFormatting sqref="J50">
    <cfRule type="cellIs" operator="equal" dxfId="346" priority="346">
      <formula>"R$"</formula>
    </cfRule>
  </conditionalFormatting>
  <conditionalFormatting sqref="U50">
    <cfRule type="cellIs" operator="equal" dxfId="347" priority="347">
      <formula>"Novo"</formula>
    </cfRule>
  </conditionalFormatting>
  <conditionalFormatting sqref="W50">
    <cfRule type="cellIs" operator="equal" dxfId="348" priority="348">
      <formula>"Mercado Envios grátis"</formula>
    </cfRule>
  </conditionalFormatting>
  <conditionalFormatting sqref="X50">
    <cfRule type="cellIs" operator="equal" dxfId="349" priority="349">
      <formula>"Aceita"</formula>
    </cfRule>
  </conditionalFormatting>
  <conditionalFormatting sqref="Y50">
    <cfRule type="cellIs" operator="equal" dxfId="350" priority="350">
      <formula>"Clássico"</formula>
    </cfRule>
  </conditionalFormatting>
  <conditionalFormatting sqref="AA50">
    <cfRule type="cellIs" operator="equal" dxfId="351" priority="351">
      <formula>"Ativo"</formula>
    </cfRule>
  </conditionalFormatting>
  <conditionalFormatting sqref="AB50">
    <cfRule type="cellIs" operator="equal" dxfId="352" priority="352">
      <formula>"Garantia do vendedor"</formula>
    </cfRule>
  </conditionalFormatting>
  <conditionalFormatting sqref="AD50">
    <cfRule type="cellIs" operator="equal" dxfId="353" priority="353">
      <formula>"dias"</formula>
    </cfRule>
  </conditionalFormatting>
  <conditionalFormatting sqref="J51">
    <cfRule type="cellIs" operator="equal" dxfId="354" priority="354">
      <formula>"R$"</formula>
    </cfRule>
  </conditionalFormatting>
  <conditionalFormatting sqref="U51">
    <cfRule type="cellIs" operator="equal" dxfId="355" priority="355">
      <formula>"Novo"</formula>
    </cfRule>
  </conditionalFormatting>
  <conditionalFormatting sqref="W51">
    <cfRule type="cellIs" operator="equal" dxfId="356" priority="356">
      <formula>"Mercado Envios por conta do comprador"</formula>
    </cfRule>
  </conditionalFormatting>
  <conditionalFormatting sqref="X51">
    <cfRule type="cellIs" operator="equal" dxfId="357" priority="357">
      <formula>"Aceita"</formula>
    </cfRule>
  </conditionalFormatting>
  <conditionalFormatting sqref="Y51">
    <cfRule type="cellIs" operator="equal" dxfId="358" priority="358">
      <formula>"Premium"</formula>
    </cfRule>
  </conditionalFormatting>
  <conditionalFormatting sqref="AA51">
    <cfRule type="cellIs" operator="equal" dxfId="359" priority="359">
      <formula>"Ativo"</formula>
    </cfRule>
  </conditionalFormatting>
  <conditionalFormatting sqref="AB51">
    <cfRule type="cellIs" operator="equal" dxfId="360" priority="360">
      <formula>"Garantia do vendedor"</formula>
    </cfRule>
  </conditionalFormatting>
  <conditionalFormatting sqref="AD51">
    <cfRule type="cellIs" operator="equal" dxfId="361" priority="361">
      <formula>"dias"</formula>
    </cfRule>
  </conditionalFormatting>
  <conditionalFormatting sqref="J52">
    <cfRule type="cellIs" operator="equal" dxfId="362" priority="362">
      <formula>"R$"</formula>
    </cfRule>
  </conditionalFormatting>
  <conditionalFormatting sqref="U52">
    <cfRule type="cellIs" operator="equal" dxfId="363" priority="363">
      <formula>"Novo"</formula>
    </cfRule>
  </conditionalFormatting>
  <conditionalFormatting sqref="W52">
    <cfRule type="cellIs" operator="equal" dxfId="364" priority="364">
      <formula>"Mercado Envios por conta do comprador"</formula>
    </cfRule>
  </conditionalFormatting>
  <conditionalFormatting sqref="X52">
    <cfRule type="cellIs" operator="equal" dxfId="365" priority="365">
      <formula>"Aceita"</formula>
    </cfRule>
  </conditionalFormatting>
  <conditionalFormatting sqref="Y52">
    <cfRule type="cellIs" operator="equal" dxfId="366" priority="366">
      <formula>"Clássico"</formula>
    </cfRule>
  </conditionalFormatting>
  <conditionalFormatting sqref="AA52">
    <cfRule type="cellIs" operator="equal" dxfId="367" priority="367">
      <formula>"Ativo"</formula>
    </cfRule>
  </conditionalFormatting>
  <conditionalFormatting sqref="AB52">
    <cfRule type="cellIs" operator="equal" dxfId="368" priority="368">
      <formula>"Garantia de fábrica"</formula>
    </cfRule>
  </conditionalFormatting>
  <conditionalFormatting sqref="AD52">
    <cfRule type="cellIs" operator="equal" dxfId="369" priority="369">
      <formula>"meses"</formula>
    </cfRule>
  </conditionalFormatting>
  <conditionalFormatting sqref="J53">
    <cfRule type="cellIs" operator="equal" dxfId="370" priority="370">
      <formula>"R$"</formula>
    </cfRule>
  </conditionalFormatting>
  <conditionalFormatting sqref="U53">
    <cfRule type="cellIs" operator="equal" dxfId="371" priority="371">
      <formula>"Novo"</formula>
    </cfRule>
  </conditionalFormatting>
  <conditionalFormatting sqref="W53">
    <cfRule type="cellIs" operator="equal" dxfId="372" priority="372">
      <formula>"Mercado Envios por conta do comprador"</formula>
    </cfRule>
  </conditionalFormatting>
  <conditionalFormatting sqref="X53">
    <cfRule type="cellIs" operator="equal" dxfId="373" priority="373">
      <formula>"Não aceito"</formula>
    </cfRule>
  </conditionalFormatting>
  <conditionalFormatting sqref="Y53">
    <cfRule type="cellIs" operator="equal" dxfId="374" priority="374">
      <formula>"Clássico"</formula>
    </cfRule>
  </conditionalFormatting>
  <conditionalFormatting sqref="AA53">
    <cfRule type="cellIs" operator="equal" dxfId="375" priority="375">
      <formula>"Ativo"</formula>
    </cfRule>
  </conditionalFormatting>
  <conditionalFormatting sqref="AB53">
    <cfRule type="cellIs" operator="equal" dxfId="376" priority="376">
      <formula>"Garantia do vendedor"</formula>
    </cfRule>
  </conditionalFormatting>
  <conditionalFormatting sqref="AD53">
    <cfRule type="cellIs" operator="equal" dxfId="377" priority="377">
      <formula>"meses"</formula>
    </cfRule>
  </conditionalFormatting>
  <conditionalFormatting sqref="J54">
    <cfRule type="cellIs" operator="equal" dxfId="378" priority="378">
      <formula>"R$"</formula>
    </cfRule>
  </conditionalFormatting>
  <conditionalFormatting sqref="U54">
    <cfRule type="cellIs" operator="equal" dxfId="379" priority="379">
      <formula>"Novo"</formula>
    </cfRule>
  </conditionalFormatting>
  <conditionalFormatting sqref="W54">
    <cfRule type="cellIs" operator="equal" dxfId="380" priority="380">
      <formula>"Mercado Envios por conta do comprador"</formula>
    </cfRule>
  </conditionalFormatting>
  <conditionalFormatting sqref="X54">
    <cfRule type="cellIs" operator="equal" dxfId="381" priority="381">
      <formula>"Não aceito"</formula>
    </cfRule>
  </conditionalFormatting>
  <conditionalFormatting sqref="Y54">
    <cfRule type="cellIs" operator="equal" dxfId="382" priority="382">
      <formula>"Premium"</formula>
    </cfRule>
  </conditionalFormatting>
  <conditionalFormatting sqref="AA54">
    <cfRule type="cellIs" operator="equal" dxfId="383" priority="383">
      <formula>"Ativo"</formula>
    </cfRule>
  </conditionalFormatting>
  <conditionalFormatting sqref="AB54">
    <cfRule type="cellIs" operator="equal" dxfId="384" priority="384">
      <formula>"Garantia do vendedor"</formula>
    </cfRule>
  </conditionalFormatting>
  <conditionalFormatting sqref="AD54">
    <cfRule type="cellIs" operator="equal" dxfId="385" priority="385">
      <formula>"dias"</formula>
    </cfRule>
  </conditionalFormatting>
  <conditionalFormatting sqref="J55">
    <cfRule type="cellIs" operator="equal" dxfId="386" priority="386">
      <formula>"R$"</formula>
    </cfRule>
  </conditionalFormatting>
  <conditionalFormatting sqref="U55">
    <cfRule type="cellIs" operator="equal" dxfId="387" priority="387">
      <formula>"Novo"</formula>
    </cfRule>
  </conditionalFormatting>
  <conditionalFormatting sqref="W55">
    <cfRule type="cellIs" operator="equal" dxfId="388" priority="388">
      <formula>"Mercado Envios por conta do comprador"</formula>
    </cfRule>
  </conditionalFormatting>
  <conditionalFormatting sqref="X55">
    <cfRule type="cellIs" operator="equal" dxfId="389" priority="389">
      <formula>"Aceita"</formula>
    </cfRule>
  </conditionalFormatting>
  <conditionalFormatting sqref="Y55">
    <cfRule type="cellIs" operator="equal" dxfId="390" priority="390">
      <formula>"Clássico"</formula>
    </cfRule>
  </conditionalFormatting>
  <conditionalFormatting sqref="AA55">
    <cfRule type="cellIs" operator="equal" dxfId="391" priority="391">
      <formula>"Ativo"</formula>
    </cfRule>
  </conditionalFormatting>
  <conditionalFormatting sqref="AB55">
    <cfRule type="cellIs" operator="equal" dxfId="392" priority="392">
      <formula>"Garantia do vendedor"</formula>
    </cfRule>
  </conditionalFormatting>
  <conditionalFormatting sqref="AD55">
    <cfRule type="cellIs" operator="equal" dxfId="393" priority="393">
      <formula>"meses"</formula>
    </cfRule>
  </conditionalFormatting>
  <conditionalFormatting sqref="J56">
    <cfRule type="cellIs" operator="equal" dxfId="394" priority="394">
      <formula>"R$"</formula>
    </cfRule>
  </conditionalFormatting>
  <conditionalFormatting sqref="U56">
    <cfRule type="cellIs" operator="equal" dxfId="395" priority="395">
      <formula>"Novo"</formula>
    </cfRule>
  </conditionalFormatting>
  <conditionalFormatting sqref="W56">
    <cfRule type="cellIs" operator="equal" dxfId="396" priority="396">
      <formula>"Mercado Envios grátis"</formula>
    </cfRule>
  </conditionalFormatting>
  <conditionalFormatting sqref="X56">
    <cfRule type="cellIs" operator="equal" dxfId="397" priority="397">
      <formula>"Não aceito"</formula>
    </cfRule>
  </conditionalFormatting>
  <conditionalFormatting sqref="Y56">
    <cfRule type="cellIs" operator="equal" dxfId="398" priority="398">
      <formula>"Clássico"</formula>
    </cfRule>
  </conditionalFormatting>
  <conditionalFormatting sqref="AA56">
    <cfRule type="cellIs" operator="equal" dxfId="399" priority="399">
      <formula>"Ativo"</formula>
    </cfRule>
  </conditionalFormatting>
  <conditionalFormatting sqref="AB56">
    <cfRule type="cellIs" operator="equal" dxfId="400" priority="400">
      <formula>"Garantia do vendedor"</formula>
    </cfRule>
  </conditionalFormatting>
  <conditionalFormatting sqref="AD56">
    <cfRule type="cellIs" operator="equal" dxfId="401" priority="401">
      <formula>"dias"</formula>
    </cfRule>
  </conditionalFormatting>
  <conditionalFormatting sqref="J57">
    <cfRule type="cellIs" operator="equal" dxfId="402" priority="402">
      <formula>"R$"</formula>
    </cfRule>
  </conditionalFormatting>
  <conditionalFormatting sqref="U57">
    <cfRule type="cellIs" operator="equal" dxfId="403" priority="403">
      <formula>"Novo"</formula>
    </cfRule>
  </conditionalFormatting>
  <conditionalFormatting sqref="X57">
    <cfRule type="cellIs" operator="equal" dxfId="404" priority="404">
      <formula>"Não aceito"</formula>
    </cfRule>
  </conditionalFormatting>
  <conditionalFormatting sqref="Y57">
    <cfRule type="cellIs" operator="equal" dxfId="405" priority="405">
      <formula>"Clássico"</formula>
    </cfRule>
  </conditionalFormatting>
  <conditionalFormatting sqref="AA57">
    <cfRule type="cellIs" operator="equal" dxfId="406" priority="406">
      <formula>"Ativo"</formula>
    </cfRule>
  </conditionalFormatting>
  <conditionalFormatting sqref="AB57">
    <cfRule type="cellIs" operator="equal" dxfId="407" priority="407">
      <formula>"Garantia do vendedor"</formula>
    </cfRule>
  </conditionalFormatting>
  <conditionalFormatting sqref="AD57">
    <cfRule type="cellIs" operator="equal" dxfId="408" priority="408">
      <formula>"dias"</formula>
    </cfRule>
  </conditionalFormatting>
  <conditionalFormatting sqref="J58">
    <cfRule type="cellIs" operator="equal" dxfId="409" priority="409">
      <formula>"R$"</formula>
    </cfRule>
  </conditionalFormatting>
  <conditionalFormatting sqref="U58">
    <cfRule type="cellIs" operator="equal" dxfId="410" priority="410">
      <formula>"Novo"</formula>
    </cfRule>
  </conditionalFormatting>
  <conditionalFormatting sqref="W58">
    <cfRule type="cellIs" operator="equal" dxfId="411" priority="411">
      <formula>"Mercado Envios por conta do comprador"</formula>
    </cfRule>
  </conditionalFormatting>
  <conditionalFormatting sqref="X58">
    <cfRule type="cellIs" operator="equal" dxfId="412" priority="412">
      <formula>"Aceita"</formula>
    </cfRule>
  </conditionalFormatting>
  <conditionalFormatting sqref="Y58">
    <cfRule type="cellIs" operator="equal" dxfId="413" priority="413">
      <formula>"Premium"</formula>
    </cfRule>
  </conditionalFormatting>
  <conditionalFormatting sqref="AA58">
    <cfRule type="cellIs" operator="equal" dxfId="414" priority="414">
      <formula>"Ativo"</formula>
    </cfRule>
  </conditionalFormatting>
  <conditionalFormatting sqref="AB58">
    <cfRule type="cellIs" operator="equal" dxfId="415" priority="415">
      <formula>"Garantia do vendedor"</formula>
    </cfRule>
  </conditionalFormatting>
  <conditionalFormatting sqref="AD58">
    <cfRule type="cellIs" operator="equal" dxfId="416" priority="416">
      <formula>"dias"</formula>
    </cfRule>
  </conditionalFormatting>
  <conditionalFormatting sqref="J59">
    <cfRule type="cellIs" operator="equal" dxfId="417" priority="417">
      <formula>"R$"</formula>
    </cfRule>
  </conditionalFormatting>
  <conditionalFormatting sqref="U59">
    <cfRule type="cellIs" operator="equal" dxfId="418" priority="418">
      <formula>"Novo"</formula>
    </cfRule>
  </conditionalFormatting>
  <conditionalFormatting sqref="W59">
    <cfRule type="cellIs" operator="equal" dxfId="419" priority="419">
      <formula>"Mercado Envios por conta do comprador"</formula>
    </cfRule>
  </conditionalFormatting>
  <conditionalFormatting sqref="X59">
    <cfRule type="cellIs" operator="equal" dxfId="420" priority="420">
      <formula>"Aceita"</formula>
    </cfRule>
  </conditionalFormatting>
  <conditionalFormatting sqref="Y59">
    <cfRule type="cellIs" operator="equal" dxfId="421" priority="421">
      <formula>"Premium"</formula>
    </cfRule>
  </conditionalFormatting>
  <conditionalFormatting sqref="AA59">
    <cfRule type="cellIs" operator="equal" dxfId="422" priority="422">
      <formula>"Ativo"</formula>
    </cfRule>
  </conditionalFormatting>
  <conditionalFormatting sqref="AB59">
    <cfRule type="cellIs" operator="equal" dxfId="423" priority="423">
      <formula>"Garantia de fábrica"</formula>
    </cfRule>
  </conditionalFormatting>
  <conditionalFormatting sqref="AD59">
    <cfRule type="cellIs" operator="equal" dxfId="424" priority="424">
      <formula>"meses"</formula>
    </cfRule>
  </conditionalFormatting>
  <conditionalFormatting sqref="J60">
    <cfRule type="cellIs" operator="equal" dxfId="425" priority="425">
      <formula>"R$"</formula>
    </cfRule>
  </conditionalFormatting>
  <conditionalFormatting sqref="U60">
    <cfRule type="cellIs" operator="equal" dxfId="426" priority="426">
      <formula>"Novo"</formula>
    </cfRule>
  </conditionalFormatting>
  <conditionalFormatting sqref="W60">
    <cfRule type="cellIs" operator="equal" dxfId="427" priority="427">
      <formula>"Mercado Envios grátis"</formula>
    </cfRule>
  </conditionalFormatting>
  <conditionalFormatting sqref="X60">
    <cfRule type="cellIs" operator="equal" dxfId="428" priority="428">
      <formula>"Aceita"</formula>
    </cfRule>
  </conditionalFormatting>
  <conditionalFormatting sqref="Y60">
    <cfRule type="cellIs" operator="equal" dxfId="429" priority="429">
      <formula>"Premium"</formula>
    </cfRule>
  </conditionalFormatting>
  <conditionalFormatting sqref="AA60">
    <cfRule type="cellIs" operator="equal" dxfId="430" priority="430">
      <formula>"Ativo"</formula>
    </cfRule>
  </conditionalFormatting>
  <conditionalFormatting sqref="AB60">
    <cfRule type="cellIs" operator="equal" dxfId="431" priority="431">
      <formula>"Garantia do vendedor"</formula>
    </cfRule>
  </conditionalFormatting>
  <conditionalFormatting sqref="AD60">
    <cfRule type="cellIs" operator="equal" dxfId="432" priority="432">
      <formula>"dias"</formula>
    </cfRule>
  </conditionalFormatting>
  <conditionalFormatting sqref="J61">
    <cfRule type="cellIs" operator="equal" dxfId="433" priority="433">
      <formula>"R$"</formula>
    </cfRule>
  </conditionalFormatting>
  <conditionalFormatting sqref="W61">
    <cfRule type="cellIs" operator="equal" dxfId="434" priority="434">
      <formula>"Mercado Envios por conta do comprador"</formula>
    </cfRule>
  </conditionalFormatting>
  <conditionalFormatting sqref="X61">
    <cfRule type="cellIs" operator="equal" dxfId="435" priority="435">
      <formula>"Aceita"</formula>
    </cfRule>
  </conditionalFormatting>
  <conditionalFormatting sqref="Y61">
    <cfRule type="cellIs" operator="equal" dxfId="436" priority="436">
      <formula>"Clássico"</formula>
    </cfRule>
  </conditionalFormatting>
  <conditionalFormatting sqref="AA61">
    <cfRule type="cellIs" operator="equal" dxfId="437" priority="437">
      <formula>"Ativo"</formula>
    </cfRule>
  </conditionalFormatting>
  <conditionalFormatting sqref="AB61">
    <cfRule type="cellIs" operator="equal" dxfId="438" priority="438">
      <formula>"Garantia do vendedor"</formula>
    </cfRule>
  </conditionalFormatting>
  <conditionalFormatting sqref="AD61">
    <cfRule type="cellIs" operator="equal" dxfId="439" priority="439">
      <formula>"dias"</formula>
    </cfRule>
  </conditionalFormatting>
  <conditionalFormatting sqref="J62">
    <cfRule type="cellIs" operator="equal" dxfId="440" priority="440">
      <formula>"R$"</formula>
    </cfRule>
  </conditionalFormatting>
  <conditionalFormatting sqref="U62">
    <cfRule type="cellIs" operator="equal" dxfId="441" priority="441">
      <formula>"Novo"</formula>
    </cfRule>
  </conditionalFormatting>
  <conditionalFormatting sqref="W62">
    <cfRule type="cellIs" operator="equal" dxfId="442" priority="442">
      <formula>"Mercado Envios por conta do comprador"</formula>
    </cfRule>
  </conditionalFormatting>
  <conditionalFormatting sqref="X62">
    <cfRule type="cellIs" operator="equal" dxfId="443" priority="443">
      <formula>"Não aceito"</formula>
    </cfRule>
  </conditionalFormatting>
  <conditionalFormatting sqref="Y62">
    <cfRule type="cellIs" operator="equal" dxfId="444" priority="444">
      <formula>"Clássico"</formula>
    </cfRule>
  </conditionalFormatting>
  <conditionalFormatting sqref="AA62">
    <cfRule type="cellIs" operator="equal" dxfId="445" priority="445">
      <formula>"Ativo"</formula>
    </cfRule>
  </conditionalFormatting>
  <conditionalFormatting sqref="AB62">
    <cfRule type="cellIs" operator="equal" dxfId="446" priority="446">
      <formula>"Garantia do vendedor"</formula>
    </cfRule>
  </conditionalFormatting>
  <conditionalFormatting sqref="AD62">
    <cfRule type="cellIs" operator="equal" dxfId="447" priority="447">
      <formula>"dias"</formula>
    </cfRule>
  </conditionalFormatting>
  <conditionalFormatting sqref="J63">
    <cfRule type="cellIs" operator="equal" dxfId="448" priority="448">
      <formula>"R$"</formula>
    </cfRule>
  </conditionalFormatting>
  <conditionalFormatting sqref="U63">
    <cfRule type="cellIs" operator="equal" dxfId="449" priority="449">
      <formula>"Novo"</formula>
    </cfRule>
  </conditionalFormatting>
  <conditionalFormatting sqref="W63">
    <cfRule type="cellIs" operator="equal" dxfId="450" priority="450">
      <formula>"Mercado Envios grátis"</formula>
    </cfRule>
  </conditionalFormatting>
  <conditionalFormatting sqref="X63">
    <cfRule type="cellIs" operator="equal" dxfId="451" priority="451">
      <formula>"Aceita"</formula>
    </cfRule>
  </conditionalFormatting>
  <conditionalFormatting sqref="Y63">
    <cfRule type="cellIs" operator="equal" dxfId="452" priority="452">
      <formula>"Premium"</formula>
    </cfRule>
  </conditionalFormatting>
  <conditionalFormatting sqref="AA63">
    <cfRule type="cellIs" operator="equal" dxfId="453" priority="453">
      <formula>"Ativo"</formula>
    </cfRule>
  </conditionalFormatting>
  <conditionalFormatting sqref="AB63">
    <cfRule type="cellIs" operator="equal" dxfId="454" priority="454">
      <formula>"Garantia do vendedor"</formula>
    </cfRule>
  </conditionalFormatting>
  <conditionalFormatting sqref="AD63">
    <cfRule type="cellIs" operator="equal" dxfId="455" priority="455">
      <formula>"dias"</formula>
    </cfRule>
  </conditionalFormatting>
  <conditionalFormatting sqref="J64">
    <cfRule type="cellIs" operator="equal" dxfId="456" priority="456">
      <formula>"R$"</formula>
    </cfRule>
  </conditionalFormatting>
  <conditionalFormatting sqref="U64">
    <cfRule type="cellIs" operator="equal" dxfId="457" priority="457">
      <formula>"Novo"</formula>
    </cfRule>
  </conditionalFormatting>
  <conditionalFormatting sqref="W64">
    <cfRule type="cellIs" operator="equal" dxfId="458" priority="458">
      <formula>"Mercado Envios grátis"</formula>
    </cfRule>
  </conditionalFormatting>
  <conditionalFormatting sqref="X64">
    <cfRule type="cellIs" operator="equal" dxfId="459" priority="459">
      <formula>"Aceita"</formula>
    </cfRule>
  </conditionalFormatting>
  <conditionalFormatting sqref="Y64">
    <cfRule type="cellIs" operator="equal" dxfId="460" priority="460">
      <formula>"Premium"</formula>
    </cfRule>
  </conditionalFormatting>
  <conditionalFormatting sqref="AA64">
    <cfRule type="cellIs" operator="equal" dxfId="461" priority="461">
      <formula>"Ativo"</formula>
    </cfRule>
  </conditionalFormatting>
  <conditionalFormatting sqref="AB64">
    <cfRule type="cellIs" operator="equal" dxfId="462" priority="462">
      <formula>"Garantia do vendedor"</formula>
    </cfRule>
  </conditionalFormatting>
  <conditionalFormatting sqref="AD64">
    <cfRule type="cellIs" operator="equal" dxfId="463" priority="463">
      <formula>"dias"</formula>
    </cfRule>
  </conditionalFormatting>
  <conditionalFormatting sqref="J65">
    <cfRule type="cellIs" operator="equal" dxfId="464" priority="464">
      <formula>"R$"</formula>
    </cfRule>
  </conditionalFormatting>
  <conditionalFormatting sqref="U65">
    <cfRule type="cellIs" operator="equal" dxfId="465" priority="465">
      <formula>"Novo"</formula>
    </cfRule>
  </conditionalFormatting>
  <conditionalFormatting sqref="W65">
    <cfRule type="cellIs" operator="equal" dxfId="466" priority="466">
      <formula>"Mercado Envios por conta do comprador"</formula>
    </cfRule>
  </conditionalFormatting>
  <conditionalFormatting sqref="X65">
    <cfRule type="cellIs" operator="equal" dxfId="467" priority="467">
      <formula>"Aceita"</formula>
    </cfRule>
  </conditionalFormatting>
  <conditionalFormatting sqref="Y65">
    <cfRule type="cellIs" operator="equal" dxfId="468" priority="468">
      <formula>"Premium"</formula>
    </cfRule>
  </conditionalFormatting>
  <conditionalFormatting sqref="AA65">
    <cfRule type="cellIs" operator="equal" dxfId="469" priority="469">
      <formula>"Ativo"</formula>
    </cfRule>
  </conditionalFormatting>
  <conditionalFormatting sqref="AB65">
    <cfRule type="cellIs" operator="equal" dxfId="470" priority="470">
      <formula>"Garantia do vendedor"</formula>
    </cfRule>
  </conditionalFormatting>
  <conditionalFormatting sqref="AD65">
    <cfRule type="cellIs" operator="equal" dxfId="471" priority="471">
      <formula>"dias"</formula>
    </cfRule>
  </conditionalFormatting>
  <conditionalFormatting sqref="J66">
    <cfRule type="cellIs" operator="equal" dxfId="472" priority="472">
      <formula>"R$"</formula>
    </cfRule>
  </conditionalFormatting>
  <conditionalFormatting sqref="U66">
    <cfRule type="cellIs" operator="equal" dxfId="473" priority="473">
      <formula>"Novo"</formula>
    </cfRule>
  </conditionalFormatting>
  <conditionalFormatting sqref="W66">
    <cfRule type="cellIs" operator="equal" dxfId="474" priority="474">
      <formula>"Mercado Envios por conta do comprador"</formula>
    </cfRule>
  </conditionalFormatting>
  <conditionalFormatting sqref="X66">
    <cfRule type="cellIs" operator="equal" dxfId="475" priority="475">
      <formula>"Aceita"</formula>
    </cfRule>
  </conditionalFormatting>
  <conditionalFormatting sqref="Y66">
    <cfRule type="cellIs" operator="equal" dxfId="476" priority="476">
      <formula>"Premium"</formula>
    </cfRule>
  </conditionalFormatting>
  <conditionalFormatting sqref="AA66">
    <cfRule type="cellIs" operator="equal" dxfId="477" priority="477">
      <formula>"Ativo"</formula>
    </cfRule>
  </conditionalFormatting>
  <conditionalFormatting sqref="AB66">
    <cfRule type="cellIs" operator="equal" dxfId="478" priority="478">
      <formula>"Garantia do vendedor"</formula>
    </cfRule>
  </conditionalFormatting>
  <conditionalFormatting sqref="AD66">
    <cfRule type="cellIs" operator="equal" dxfId="479" priority="479">
      <formula>"meses"</formula>
    </cfRule>
  </conditionalFormatting>
  <conditionalFormatting sqref="J67">
    <cfRule type="cellIs" operator="equal" dxfId="480" priority="480">
      <formula>"R$"</formula>
    </cfRule>
  </conditionalFormatting>
  <conditionalFormatting sqref="U67">
    <cfRule type="cellIs" operator="equal" dxfId="481" priority="481">
      <formula>"Novo"</formula>
    </cfRule>
  </conditionalFormatting>
  <conditionalFormatting sqref="W67">
    <cfRule type="cellIs" operator="equal" dxfId="482" priority="482">
      <formula>"Mercado Envios grátis"</formula>
    </cfRule>
  </conditionalFormatting>
  <conditionalFormatting sqref="X67">
    <cfRule type="cellIs" operator="equal" dxfId="483" priority="483">
      <formula>"Aceita"</formula>
    </cfRule>
  </conditionalFormatting>
  <conditionalFormatting sqref="Y67">
    <cfRule type="cellIs" operator="equal" dxfId="484" priority="484">
      <formula>"Clássico"</formula>
    </cfRule>
  </conditionalFormatting>
  <conditionalFormatting sqref="AA67">
    <cfRule type="cellIs" operator="equal" dxfId="485" priority="485">
      <formula>"Ativo"</formula>
    </cfRule>
  </conditionalFormatting>
  <conditionalFormatting sqref="AB67">
    <cfRule type="cellIs" operator="equal" dxfId="486" priority="486">
      <formula>"Garantia do vendedor"</formula>
    </cfRule>
  </conditionalFormatting>
  <conditionalFormatting sqref="AD67">
    <cfRule type="cellIs" operator="equal" dxfId="487" priority="487">
      <formula>"dias"</formula>
    </cfRule>
  </conditionalFormatting>
  <conditionalFormatting sqref="J68">
    <cfRule type="cellIs" operator="equal" dxfId="488" priority="488">
      <formula>"R$"</formula>
    </cfRule>
  </conditionalFormatting>
  <conditionalFormatting sqref="U68">
    <cfRule type="cellIs" operator="equal" dxfId="489" priority="489">
      <formula>"Novo"</formula>
    </cfRule>
  </conditionalFormatting>
  <conditionalFormatting sqref="W68">
    <cfRule type="cellIs" operator="equal" dxfId="490" priority="490">
      <formula>"Mercado Envios por conta do comprador"</formula>
    </cfRule>
  </conditionalFormatting>
  <conditionalFormatting sqref="X68">
    <cfRule type="cellIs" operator="equal" dxfId="491" priority="491">
      <formula>"Aceita"</formula>
    </cfRule>
  </conditionalFormatting>
  <conditionalFormatting sqref="Y68">
    <cfRule type="cellIs" operator="equal" dxfId="492" priority="492">
      <formula>"Premium"</formula>
    </cfRule>
  </conditionalFormatting>
  <conditionalFormatting sqref="AA68">
    <cfRule type="cellIs" operator="equal" dxfId="493" priority="493">
      <formula>"Ativo"</formula>
    </cfRule>
  </conditionalFormatting>
  <conditionalFormatting sqref="AB68">
    <cfRule type="cellIs" operator="equal" dxfId="494" priority="494">
      <formula>"Garantia do vendedor"</formula>
    </cfRule>
  </conditionalFormatting>
  <conditionalFormatting sqref="AD68">
    <cfRule type="cellIs" operator="equal" dxfId="495" priority="495">
      <formula>"dias"</formula>
    </cfRule>
  </conditionalFormatting>
  <conditionalFormatting sqref="J69">
    <cfRule type="cellIs" operator="equal" dxfId="496" priority="496">
      <formula>"R$"</formula>
    </cfRule>
  </conditionalFormatting>
  <conditionalFormatting sqref="U69">
    <cfRule type="cellIs" operator="equal" dxfId="497" priority="497">
      <formula>"Novo"</formula>
    </cfRule>
  </conditionalFormatting>
  <conditionalFormatting sqref="W69">
    <cfRule type="cellIs" operator="equal" dxfId="498" priority="498">
      <formula>"Mercado Envios por conta do comprador"</formula>
    </cfRule>
  </conditionalFormatting>
  <conditionalFormatting sqref="X69">
    <cfRule type="cellIs" operator="equal" dxfId="499" priority="499">
      <formula>"Aceita"</formula>
    </cfRule>
  </conditionalFormatting>
  <conditionalFormatting sqref="Y69">
    <cfRule type="cellIs" operator="equal" dxfId="500" priority="500">
      <formula>"Clássico"</formula>
    </cfRule>
  </conditionalFormatting>
  <conditionalFormatting sqref="AA69">
    <cfRule type="cellIs" operator="equal" dxfId="501" priority="501">
      <formula>"Ativo"</formula>
    </cfRule>
  </conditionalFormatting>
  <conditionalFormatting sqref="AB69">
    <cfRule type="cellIs" operator="equal" dxfId="502" priority="502">
      <formula>"Garantia do vendedor"</formula>
    </cfRule>
  </conditionalFormatting>
  <conditionalFormatting sqref="AD69">
    <cfRule type="cellIs" operator="equal" dxfId="503" priority="503">
      <formula>"dias"</formula>
    </cfRule>
  </conditionalFormatting>
  <conditionalFormatting sqref="J70">
    <cfRule type="cellIs" operator="equal" dxfId="504" priority="504">
      <formula>"R$"</formula>
    </cfRule>
  </conditionalFormatting>
  <conditionalFormatting sqref="U70">
    <cfRule type="cellIs" operator="equal" dxfId="505" priority="505">
      <formula>"Novo"</formula>
    </cfRule>
  </conditionalFormatting>
  <conditionalFormatting sqref="W70">
    <cfRule type="cellIs" operator="equal" dxfId="506" priority="506">
      <formula>"Mercado Envios grátis"</formula>
    </cfRule>
  </conditionalFormatting>
  <conditionalFormatting sqref="X70">
    <cfRule type="cellIs" operator="equal" dxfId="507" priority="507">
      <formula>"Não aceito"</formula>
    </cfRule>
  </conditionalFormatting>
  <conditionalFormatting sqref="Y70">
    <cfRule type="cellIs" operator="equal" dxfId="508" priority="508">
      <formula>"Premium"</formula>
    </cfRule>
  </conditionalFormatting>
  <conditionalFormatting sqref="AA70">
    <cfRule type="cellIs" operator="equal" dxfId="509" priority="509">
      <formula>"Ativo"</formula>
    </cfRule>
  </conditionalFormatting>
  <conditionalFormatting sqref="AB70">
    <cfRule type="cellIs" operator="equal" dxfId="510" priority="510">
      <formula>"Garantia do vendedor"</formula>
    </cfRule>
  </conditionalFormatting>
  <conditionalFormatting sqref="AD70">
    <cfRule type="cellIs" operator="equal" dxfId="511" priority="511">
      <formula>"dias"</formula>
    </cfRule>
  </conditionalFormatting>
  <conditionalFormatting sqref="J71">
    <cfRule type="cellIs" operator="equal" dxfId="512" priority="512">
      <formula>"R$"</formula>
    </cfRule>
  </conditionalFormatting>
  <conditionalFormatting sqref="U71">
    <cfRule type="cellIs" operator="equal" dxfId="513" priority="513">
      <formula>"Novo"</formula>
    </cfRule>
  </conditionalFormatting>
  <conditionalFormatting sqref="W71">
    <cfRule type="cellIs" operator="equal" dxfId="514" priority="514">
      <formula>"Mercado Envios por conta do comprador"</formula>
    </cfRule>
  </conditionalFormatting>
  <conditionalFormatting sqref="X71">
    <cfRule type="cellIs" operator="equal" dxfId="515" priority="515">
      <formula>"Aceita"</formula>
    </cfRule>
  </conditionalFormatting>
  <conditionalFormatting sqref="Y71">
    <cfRule type="cellIs" operator="equal" dxfId="516" priority="516">
      <formula>"Clássico"</formula>
    </cfRule>
  </conditionalFormatting>
  <conditionalFormatting sqref="AA71">
    <cfRule type="cellIs" operator="equal" dxfId="517" priority="517">
      <formula>"Ativo"</formula>
    </cfRule>
  </conditionalFormatting>
  <conditionalFormatting sqref="AB71">
    <cfRule type="cellIs" operator="equal" dxfId="518" priority="518">
      <formula>"Garantia do vendedor"</formula>
    </cfRule>
  </conditionalFormatting>
  <conditionalFormatting sqref="AD71">
    <cfRule type="cellIs" operator="equal" dxfId="519" priority="519">
      <formula>"meses"</formula>
    </cfRule>
  </conditionalFormatting>
  <conditionalFormatting sqref="J72">
    <cfRule type="cellIs" operator="equal" dxfId="520" priority="520">
      <formula>"R$"</formula>
    </cfRule>
  </conditionalFormatting>
  <conditionalFormatting sqref="U72">
    <cfRule type="cellIs" operator="equal" dxfId="521" priority="521">
      <formula>"Novo"</formula>
    </cfRule>
  </conditionalFormatting>
  <conditionalFormatting sqref="W72">
    <cfRule type="cellIs" operator="equal" dxfId="522" priority="522">
      <formula>"Mercado Envios por conta do comprador"</formula>
    </cfRule>
  </conditionalFormatting>
  <conditionalFormatting sqref="X72">
    <cfRule type="cellIs" operator="equal" dxfId="523" priority="523">
      <formula>"Não aceito"</formula>
    </cfRule>
  </conditionalFormatting>
  <conditionalFormatting sqref="Y72">
    <cfRule type="cellIs" operator="equal" dxfId="524" priority="524">
      <formula>"Premium"</formula>
    </cfRule>
  </conditionalFormatting>
  <conditionalFormatting sqref="AA72">
    <cfRule type="cellIs" operator="equal" dxfId="525" priority="525">
      <formula>"Ativo"</formula>
    </cfRule>
  </conditionalFormatting>
  <conditionalFormatting sqref="AB72">
    <cfRule type="cellIs" operator="equal" dxfId="526" priority="526">
      <formula>"Garantia do vendedor"</formula>
    </cfRule>
  </conditionalFormatting>
  <conditionalFormatting sqref="AD72">
    <cfRule type="cellIs" operator="equal" dxfId="527" priority="527">
      <formula>"dias"</formula>
    </cfRule>
  </conditionalFormatting>
  <conditionalFormatting sqref="J73">
    <cfRule type="cellIs" operator="equal" dxfId="528" priority="528">
      <formula>"R$"</formula>
    </cfRule>
  </conditionalFormatting>
  <conditionalFormatting sqref="U73">
    <cfRule type="cellIs" operator="equal" dxfId="529" priority="529">
      <formula>"Novo"</formula>
    </cfRule>
  </conditionalFormatting>
  <conditionalFormatting sqref="W73">
    <cfRule type="cellIs" operator="equal" dxfId="530" priority="530">
      <formula>"Mercado Envios grátis"</formula>
    </cfRule>
  </conditionalFormatting>
  <conditionalFormatting sqref="X73">
    <cfRule type="cellIs" operator="equal" dxfId="531" priority="531">
      <formula>"Não aceito"</formula>
    </cfRule>
  </conditionalFormatting>
  <conditionalFormatting sqref="Y73">
    <cfRule type="cellIs" operator="equal" dxfId="532" priority="532">
      <formula>"Premium"</formula>
    </cfRule>
  </conditionalFormatting>
  <conditionalFormatting sqref="AA73">
    <cfRule type="cellIs" operator="equal" dxfId="533" priority="533">
      <formula>"Ativo"</formula>
    </cfRule>
  </conditionalFormatting>
  <conditionalFormatting sqref="AB73">
    <cfRule type="cellIs" operator="equal" dxfId="534" priority="534">
      <formula>"Garantia do vendedor"</formula>
    </cfRule>
  </conditionalFormatting>
  <conditionalFormatting sqref="AD73">
    <cfRule type="cellIs" operator="equal" dxfId="535" priority="535">
      <formula>"dias"</formula>
    </cfRule>
  </conditionalFormatting>
  <conditionalFormatting sqref="J74">
    <cfRule type="cellIs" operator="equal" dxfId="536" priority="536">
      <formula>"R$"</formula>
    </cfRule>
  </conditionalFormatting>
  <conditionalFormatting sqref="U74">
    <cfRule type="cellIs" operator="equal" dxfId="537" priority="537">
      <formula>"Novo"</formula>
    </cfRule>
  </conditionalFormatting>
  <conditionalFormatting sqref="W74">
    <cfRule type="cellIs" operator="equal" dxfId="538" priority="538">
      <formula>"Mercado Envios por conta do comprador"</formula>
    </cfRule>
  </conditionalFormatting>
  <conditionalFormatting sqref="X74">
    <cfRule type="cellIs" operator="equal" dxfId="539" priority="539">
      <formula>"Aceita"</formula>
    </cfRule>
  </conditionalFormatting>
  <conditionalFormatting sqref="Y74">
    <cfRule type="cellIs" operator="equal" dxfId="540" priority="540">
      <formula>"Clássico"</formula>
    </cfRule>
  </conditionalFormatting>
  <conditionalFormatting sqref="AA74">
    <cfRule type="cellIs" operator="equal" dxfId="541" priority="541">
      <formula>"Ativo"</formula>
    </cfRule>
  </conditionalFormatting>
  <conditionalFormatting sqref="AB74">
    <cfRule type="cellIs" operator="equal" dxfId="542" priority="542">
      <formula>"Garantia do vendedor"</formula>
    </cfRule>
  </conditionalFormatting>
  <conditionalFormatting sqref="AD74">
    <cfRule type="cellIs" operator="equal" dxfId="543" priority="543">
      <formula>"meses"</formula>
    </cfRule>
  </conditionalFormatting>
  <conditionalFormatting sqref="J75">
    <cfRule type="cellIs" operator="equal" dxfId="544" priority="544">
      <formula>"R$"</formula>
    </cfRule>
  </conditionalFormatting>
  <conditionalFormatting sqref="U75">
    <cfRule type="cellIs" operator="equal" dxfId="545" priority="545">
      <formula>"Novo"</formula>
    </cfRule>
  </conditionalFormatting>
  <conditionalFormatting sqref="W75">
    <cfRule type="cellIs" operator="equal" dxfId="546" priority="546">
      <formula>"Mercado Envios por conta do comprador"</formula>
    </cfRule>
  </conditionalFormatting>
  <conditionalFormatting sqref="X75">
    <cfRule type="cellIs" operator="equal" dxfId="547" priority="547">
      <formula>"Aceita"</formula>
    </cfRule>
  </conditionalFormatting>
  <conditionalFormatting sqref="Y75">
    <cfRule type="cellIs" operator="equal" dxfId="548" priority="548">
      <formula>"Premium"</formula>
    </cfRule>
  </conditionalFormatting>
  <conditionalFormatting sqref="AA75">
    <cfRule type="cellIs" operator="equal" dxfId="549" priority="549">
      <formula>"Ativo"</formula>
    </cfRule>
  </conditionalFormatting>
  <conditionalFormatting sqref="AB75">
    <cfRule type="cellIs" operator="equal" dxfId="550" priority="550">
      <formula>"Garantia do vendedor"</formula>
    </cfRule>
  </conditionalFormatting>
  <conditionalFormatting sqref="AD75">
    <cfRule type="cellIs" operator="equal" dxfId="551" priority="551">
      <formula>"meses"</formula>
    </cfRule>
  </conditionalFormatting>
  <conditionalFormatting sqref="J76">
    <cfRule type="cellIs" operator="equal" dxfId="552" priority="552">
      <formula>"R$"</formula>
    </cfRule>
  </conditionalFormatting>
  <conditionalFormatting sqref="U76">
    <cfRule type="cellIs" operator="equal" dxfId="553" priority="553">
      <formula>"Novo"</formula>
    </cfRule>
  </conditionalFormatting>
  <conditionalFormatting sqref="W76">
    <cfRule type="cellIs" operator="equal" dxfId="554" priority="554">
      <formula>"Mercado Envios grátis"</formula>
    </cfRule>
  </conditionalFormatting>
  <conditionalFormatting sqref="X76">
    <cfRule type="cellIs" operator="equal" dxfId="555" priority="555">
      <formula>"Aceita"</formula>
    </cfRule>
  </conditionalFormatting>
  <conditionalFormatting sqref="Y76">
    <cfRule type="cellIs" operator="equal" dxfId="556" priority="556">
      <formula>"Clássico"</formula>
    </cfRule>
  </conditionalFormatting>
  <conditionalFormatting sqref="AA76">
    <cfRule type="cellIs" operator="equal" dxfId="557" priority="557">
      <formula>"Ativo"</formula>
    </cfRule>
  </conditionalFormatting>
  <conditionalFormatting sqref="AB76">
    <cfRule type="cellIs" operator="equal" dxfId="558" priority="558">
      <formula>"Garantia do vendedor"</formula>
    </cfRule>
  </conditionalFormatting>
  <conditionalFormatting sqref="AD76">
    <cfRule type="cellIs" operator="equal" dxfId="559" priority="559">
      <formula>"meses"</formula>
    </cfRule>
  </conditionalFormatting>
  <conditionalFormatting sqref="J77">
    <cfRule type="cellIs" operator="equal" dxfId="560" priority="560">
      <formula>"R$"</formula>
    </cfRule>
  </conditionalFormatting>
  <conditionalFormatting sqref="U77">
    <cfRule type="cellIs" operator="equal" dxfId="561" priority="561">
      <formula>"Novo"</formula>
    </cfRule>
  </conditionalFormatting>
  <conditionalFormatting sqref="W77">
    <cfRule type="cellIs" operator="equal" dxfId="562" priority="562">
      <formula>"Mercado Envios grátis"</formula>
    </cfRule>
  </conditionalFormatting>
  <conditionalFormatting sqref="X77">
    <cfRule type="cellIs" operator="equal" dxfId="563" priority="563">
      <formula>"Aceita"</formula>
    </cfRule>
  </conditionalFormatting>
  <conditionalFormatting sqref="Y77">
    <cfRule type="cellIs" operator="equal" dxfId="564" priority="564">
      <formula>"Clássico"</formula>
    </cfRule>
  </conditionalFormatting>
  <conditionalFormatting sqref="AA77">
    <cfRule type="cellIs" operator="equal" dxfId="565" priority="565">
      <formula>"Ativo"</formula>
    </cfRule>
  </conditionalFormatting>
  <conditionalFormatting sqref="AB77">
    <cfRule type="cellIs" operator="equal" dxfId="566" priority="566">
      <formula>"Garantia de fábrica"</formula>
    </cfRule>
  </conditionalFormatting>
  <conditionalFormatting sqref="AD77">
    <cfRule type="cellIs" operator="equal" dxfId="567" priority="567">
      <formula>"meses"</formula>
    </cfRule>
  </conditionalFormatting>
  <conditionalFormatting sqref="J78">
    <cfRule type="cellIs" operator="equal" dxfId="568" priority="568">
      <formula>"R$"</formula>
    </cfRule>
  </conditionalFormatting>
  <conditionalFormatting sqref="U78">
    <cfRule type="cellIs" operator="equal" dxfId="569" priority="569">
      <formula>"Novo"</formula>
    </cfRule>
  </conditionalFormatting>
  <conditionalFormatting sqref="W78">
    <cfRule type="cellIs" operator="equal" dxfId="570" priority="570">
      <formula>"Mercado Envios por conta do comprador"</formula>
    </cfRule>
  </conditionalFormatting>
  <conditionalFormatting sqref="X78">
    <cfRule type="cellIs" operator="equal" dxfId="571" priority="571">
      <formula>"Aceita"</formula>
    </cfRule>
  </conditionalFormatting>
  <conditionalFormatting sqref="Y78">
    <cfRule type="cellIs" operator="equal" dxfId="572" priority="572">
      <formula>"Clássico"</formula>
    </cfRule>
  </conditionalFormatting>
  <conditionalFormatting sqref="AA78">
    <cfRule type="cellIs" operator="equal" dxfId="573" priority="573">
      <formula>"Ativo"</formula>
    </cfRule>
  </conditionalFormatting>
  <conditionalFormatting sqref="AB78">
    <cfRule type="cellIs" operator="equal" dxfId="574" priority="574">
      <formula>"Garantia do vendedor"</formula>
    </cfRule>
  </conditionalFormatting>
  <conditionalFormatting sqref="AD78">
    <cfRule type="cellIs" operator="equal" dxfId="575" priority="575">
      <formula>"dias"</formula>
    </cfRule>
  </conditionalFormatting>
  <conditionalFormatting sqref="J79">
    <cfRule type="cellIs" operator="equal" dxfId="576" priority="576">
      <formula>"R$"</formula>
    </cfRule>
  </conditionalFormatting>
  <conditionalFormatting sqref="U79">
    <cfRule type="cellIs" operator="equal" dxfId="577" priority="577">
      <formula>"Novo"</formula>
    </cfRule>
  </conditionalFormatting>
  <conditionalFormatting sqref="W79">
    <cfRule type="cellIs" operator="equal" dxfId="578" priority="578">
      <formula>"Mercado Envios grátis"</formula>
    </cfRule>
  </conditionalFormatting>
  <conditionalFormatting sqref="X79">
    <cfRule type="cellIs" operator="equal" dxfId="579" priority="579">
      <formula>"Aceita"</formula>
    </cfRule>
  </conditionalFormatting>
  <conditionalFormatting sqref="Y79">
    <cfRule type="cellIs" operator="equal" dxfId="580" priority="580">
      <formula>"Clássico"</formula>
    </cfRule>
  </conditionalFormatting>
  <conditionalFormatting sqref="AA79">
    <cfRule type="cellIs" operator="equal" dxfId="581" priority="581">
      <formula>"Ativo"</formula>
    </cfRule>
  </conditionalFormatting>
  <conditionalFormatting sqref="AB79">
    <cfRule type="cellIs" operator="equal" dxfId="582" priority="582">
      <formula>"Garantia do vendedor"</formula>
    </cfRule>
  </conditionalFormatting>
  <conditionalFormatting sqref="AD79">
    <cfRule type="cellIs" operator="equal" dxfId="583" priority="583">
      <formula>"dias"</formula>
    </cfRule>
  </conditionalFormatting>
  <conditionalFormatting sqref="J80">
    <cfRule type="cellIs" operator="equal" dxfId="584" priority="584">
      <formula>"R$"</formula>
    </cfRule>
  </conditionalFormatting>
  <conditionalFormatting sqref="U80">
    <cfRule type="cellIs" operator="equal" dxfId="585" priority="585">
      <formula>"Novo"</formula>
    </cfRule>
  </conditionalFormatting>
  <conditionalFormatting sqref="W80">
    <cfRule type="cellIs" operator="equal" dxfId="586" priority="586">
      <formula>"Mercado Envios grátis"</formula>
    </cfRule>
  </conditionalFormatting>
  <conditionalFormatting sqref="X80">
    <cfRule type="cellIs" operator="equal" dxfId="587" priority="587">
      <formula>"Aceita"</formula>
    </cfRule>
  </conditionalFormatting>
  <conditionalFormatting sqref="Y80">
    <cfRule type="cellIs" operator="equal" dxfId="588" priority="588">
      <formula>"Clássico"</formula>
    </cfRule>
  </conditionalFormatting>
  <conditionalFormatting sqref="AA80">
    <cfRule type="cellIs" operator="equal" dxfId="589" priority="589">
      <formula>"Ativo"</formula>
    </cfRule>
  </conditionalFormatting>
  <conditionalFormatting sqref="AB80">
    <cfRule type="cellIs" operator="equal" dxfId="590" priority="590">
      <formula>"Garantia do vendedor"</formula>
    </cfRule>
  </conditionalFormatting>
  <conditionalFormatting sqref="AD80">
    <cfRule type="cellIs" operator="equal" dxfId="591" priority="591">
      <formula>"dias"</formula>
    </cfRule>
  </conditionalFormatting>
  <conditionalFormatting sqref="J81">
    <cfRule type="cellIs" operator="equal" dxfId="592" priority="592">
      <formula>"R$"</formula>
    </cfRule>
  </conditionalFormatting>
  <conditionalFormatting sqref="U81">
    <cfRule type="cellIs" operator="equal" dxfId="593" priority="593">
      <formula>"Novo"</formula>
    </cfRule>
  </conditionalFormatting>
  <conditionalFormatting sqref="W81">
    <cfRule type="cellIs" operator="equal" dxfId="594" priority="594">
      <formula>"Mercado Envios grátis"</formula>
    </cfRule>
  </conditionalFormatting>
  <conditionalFormatting sqref="X81">
    <cfRule type="cellIs" operator="equal" dxfId="595" priority="595">
      <formula>"Aceita"</formula>
    </cfRule>
  </conditionalFormatting>
  <conditionalFormatting sqref="Y81">
    <cfRule type="cellIs" operator="equal" dxfId="596" priority="596">
      <formula>"Clássico"</formula>
    </cfRule>
  </conditionalFormatting>
  <conditionalFormatting sqref="AA81">
    <cfRule type="cellIs" operator="equal" dxfId="597" priority="597">
      <formula>"Ativo"</formula>
    </cfRule>
  </conditionalFormatting>
  <conditionalFormatting sqref="AB81">
    <cfRule type="cellIs" operator="equal" dxfId="598" priority="598">
      <formula>"Garantia do vendedor"</formula>
    </cfRule>
  </conditionalFormatting>
  <conditionalFormatting sqref="AD81">
    <cfRule type="cellIs" operator="equal" dxfId="599" priority="599">
      <formula>"dias"</formula>
    </cfRule>
  </conditionalFormatting>
  <conditionalFormatting sqref="J82">
    <cfRule type="cellIs" operator="equal" dxfId="600" priority="600">
      <formula>"R$"</formula>
    </cfRule>
  </conditionalFormatting>
  <conditionalFormatting sqref="U82">
    <cfRule type="cellIs" operator="equal" dxfId="601" priority="601">
      <formula>"Novo"</formula>
    </cfRule>
  </conditionalFormatting>
  <conditionalFormatting sqref="W82">
    <cfRule type="cellIs" operator="equal" dxfId="602" priority="602">
      <formula>"Mercado Envios grátis"</formula>
    </cfRule>
  </conditionalFormatting>
  <conditionalFormatting sqref="X82">
    <cfRule type="cellIs" operator="equal" dxfId="603" priority="603">
      <formula>"Não aceito"</formula>
    </cfRule>
  </conditionalFormatting>
  <conditionalFormatting sqref="Y82">
    <cfRule type="cellIs" operator="equal" dxfId="604" priority="604">
      <formula>"Premium"</formula>
    </cfRule>
  </conditionalFormatting>
  <conditionalFormatting sqref="AA82">
    <cfRule type="cellIs" operator="equal" dxfId="605" priority="605">
      <formula>"Ativo"</formula>
    </cfRule>
  </conditionalFormatting>
  <conditionalFormatting sqref="AB82">
    <cfRule type="cellIs" operator="equal" dxfId="606" priority="606">
      <formula>"Garantia do vendedor"</formula>
    </cfRule>
  </conditionalFormatting>
  <conditionalFormatting sqref="AD82">
    <cfRule type="cellIs" operator="equal" dxfId="607" priority="607">
      <formula>"dias"</formula>
    </cfRule>
  </conditionalFormatting>
  <conditionalFormatting sqref="J83">
    <cfRule type="cellIs" operator="equal" dxfId="608" priority="608">
      <formula>"R$"</formula>
    </cfRule>
  </conditionalFormatting>
  <conditionalFormatting sqref="U83">
    <cfRule type="cellIs" operator="equal" dxfId="609" priority="609">
      <formula>"Novo"</formula>
    </cfRule>
  </conditionalFormatting>
  <conditionalFormatting sqref="W83">
    <cfRule type="cellIs" operator="equal" dxfId="610" priority="610">
      <formula>"Mercado Envios por conta do comprador"</formula>
    </cfRule>
  </conditionalFormatting>
  <conditionalFormatting sqref="X83">
    <cfRule type="cellIs" operator="equal" dxfId="611" priority="611">
      <formula>"Não aceito"</formula>
    </cfRule>
  </conditionalFormatting>
  <conditionalFormatting sqref="Y83">
    <cfRule type="cellIs" operator="equal" dxfId="612" priority="612">
      <formula>"Premium"</formula>
    </cfRule>
  </conditionalFormatting>
  <conditionalFormatting sqref="AA83">
    <cfRule type="cellIs" operator="equal" dxfId="613" priority="613">
      <formula>"Ativo"</formula>
    </cfRule>
  </conditionalFormatting>
  <conditionalFormatting sqref="AB83">
    <cfRule type="cellIs" operator="equal" dxfId="614" priority="614">
      <formula>"Garantia do vendedor"</formula>
    </cfRule>
  </conditionalFormatting>
  <conditionalFormatting sqref="AD83">
    <cfRule type="cellIs" operator="equal" dxfId="615" priority="615">
      <formula>"dias"</formula>
    </cfRule>
  </conditionalFormatting>
  <conditionalFormatting sqref="J84">
    <cfRule type="cellIs" operator="equal" dxfId="616" priority="616">
      <formula>"R$"</formula>
    </cfRule>
  </conditionalFormatting>
  <conditionalFormatting sqref="U84">
    <cfRule type="cellIs" operator="equal" dxfId="617" priority="617">
      <formula>"Novo"</formula>
    </cfRule>
  </conditionalFormatting>
  <conditionalFormatting sqref="W84">
    <cfRule type="cellIs" operator="equal" dxfId="618" priority="618">
      <formula>"Mercado Envios grátis"</formula>
    </cfRule>
  </conditionalFormatting>
  <conditionalFormatting sqref="X84">
    <cfRule type="cellIs" operator="equal" dxfId="619" priority="619">
      <formula>"Não aceito"</formula>
    </cfRule>
  </conditionalFormatting>
  <conditionalFormatting sqref="Y84">
    <cfRule type="cellIs" operator="equal" dxfId="620" priority="620">
      <formula>"Clássico"</formula>
    </cfRule>
  </conditionalFormatting>
  <conditionalFormatting sqref="AA84">
    <cfRule type="cellIs" operator="equal" dxfId="621" priority="621">
      <formula>"Ativo"</formula>
    </cfRule>
  </conditionalFormatting>
  <conditionalFormatting sqref="AB84">
    <cfRule type="cellIs" operator="equal" dxfId="622" priority="622">
      <formula>"Garantia do vendedor"</formula>
    </cfRule>
  </conditionalFormatting>
  <conditionalFormatting sqref="AD84">
    <cfRule type="cellIs" operator="equal" dxfId="623" priority="623">
      <formula>"dias"</formula>
    </cfRule>
  </conditionalFormatting>
  <conditionalFormatting sqref="J85">
    <cfRule type="cellIs" operator="equal" dxfId="624" priority="624">
      <formula>"R$"</formula>
    </cfRule>
  </conditionalFormatting>
  <conditionalFormatting sqref="U85">
    <cfRule type="cellIs" operator="equal" dxfId="625" priority="625">
      <formula>"Novo"</formula>
    </cfRule>
  </conditionalFormatting>
  <conditionalFormatting sqref="W85">
    <cfRule type="cellIs" operator="equal" dxfId="626" priority="626">
      <formula>"Mercado Envios por conta do comprador"</formula>
    </cfRule>
  </conditionalFormatting>
  <conditionalFormatting sqref="X85">
    <cfRule type="cellIs" operator="equal" dxfId="627" priority="627">
      <formula>"Não aceito"</formula>
    </cfRule>
  </conditionalFormatting>
  <conditionalFormatting sqref="Y85">
    <cfRule type="cellIs" operator="equal" dxfId="628" priority="628">
      <formula>"Premium"</formula>
    </cfRule>
  </conditionalFormatting>
  <conditionalFormatting sqref="AA85">
    <cfRule type="cellIs" operator="equal" dxfId="629" priority="629">
      <formula>"Ativo"</formula>
    </cfRule>
  </conditionalFormatting>
  <conditionalFormatting sqref="AB85">
    <cfRule type="cellIs" operator="equal" dxfId="630" priority="630">
      <formula>"Garantia do vendedor"</formula>
    </cfRule>
  </conditionalFormatting>
  <conditionalFormatting sqref="AD85">
    <cfRule type="cellIs" operator="equal" dxfId="631" priority="631">
      <formula>"dias"</formula>
    </cfRule>
  </conditionalFormatting>
  <conditionalFormatting sqref="J86">
    <cfRule type="cellIs" operator="equal" dxfId="632" priority="632">
      <formula>"R$"</formula>
    </cfRule>
  </conditionalFormatting>
  <conditionalFormatting sqref="U86">
    <cfRule type="cellIs" operator="equal" dxfId="633" priority="633">
      <formula>"Novo"</formula>
    </cfRule>
  </conditionalFormatting>
  <conditionalFormatting sqref="W86">
    <cfRule type="cellIs" operator="equal" dxfId="634" priority="634">
      <formula>"Mercado Envios grátis"</formula>
    </cfRule>
  </conditionalFormatting>
  <conditionalFormatting sqref="X86">
    <cfRule type="cellIs" operator="equal" dxfId="635" priority="635">
      <formula>"Aceita"</formula>
    </cfRule>
  </conditionalFormatting>
  <conditionalFormatting sqref="Y86">
    <cfRule type="cellIs" operator="equal" dxfId="636" priority="636">
      <formula>"Clássico"</formula>
    </cfRule>
  </conditionalFormatting>
  <conditionalFormatting sqref="AA86">
    <cfRule type="cellIs" operator="equal" dxfId="637" priority="637">
      <formula>"Ativo"</formula>
    </cfRule>
  </conditionalFormatting>
  <conditionalFormatting sqref="AB86">
    <cfRule type="cellIs" operator="equal" dxfId="638" priority="638">
      <formula>"Garantia do vendedor"</formula>
    </cfRule>
  </conditionalFormatting>
  <conditionalFormatting sqref="AD86">
    <cfRule type="cellIs" operator="equal" dxfId="639" priority="639">
      <formula>"dias"</formula>
    </cfRule>
  </conditionalFormatting>
  <conditionalFormatting sqref="J87">
    <cfRule type="cellIs" operator="equal" dxfId="640" priority="640">
      <formula>"R$"</formula>
    </cfRule>
  </conditionalFormatting>
  <conditionalFormatting sqref="U87">
    <cfRule type="cellIs" operator="equal" dxfId="641" priority="641">
      <formula>"Novo"</formula>
    </cfRule>
  </conditionalFormatting>
  <conditionalFormatting sqref="W87">
    <cfRule type="cellIs" operator="equal" dxfId="642" priority="642">
      <formula>"Mercado Envios grátis"</formula>
    </cfRule>
  </conditionalFormatting>
  <conditionalFormatting sqref="X87">
    <cfRule type="cellIs" operator="equal" dxfId="643" priority="643">
      <formula>"Aceita"</formula>
    </cfRule>
  </conditionalFormatting>
  <conditionalFormatting sqref="Y87">
    <cfRule type="cellIs" operator="equal" dxfId="644" priority="644">
      <formula>"Premium"</formula>
    </cfRule>
  </conditionalFormatting>
  <conditionalFormatting sqref="AA87">
    <cfRule type="cellIs" operator="equal" dxfId="645" priority="645">
      <formula>"Ativo"</formula>
    </cfRule>
  </conditionalFormatting>
  <conditionalFormatting sqref="AB87">
    <cfRule type="cellIs" operator="equal" dxfId="646" priority="646">
      <formula>"Garantia do vendedor"</formula>
    </cfRule>
  </conditionalFormatting>
  <conditionalFormatting sqref="AD87">
    <cfRule type="cellIs" operator="equal" dxfId="647" priority="647">
      <formula>"dias"</formula>
    </cfRule>
  </conditionalFormatting>
  <conditionalFormatting sqref="J88">
    <cfRule type="cellIs" operator="equal" dxfId="648" priority="648">
      <formula>"R$"</formula>
    </cfRule>
  </conditionalFormatting>
  <conditionalFormatting sqref="U88">
    <cfRule type="cellIs" operator="equal" dxfId="649" priority="649">
      <formula>"Novo"</formula>
    </cfRule>
  </conditionalFormatting>
  <conditionalFormatting sqref="W88">
    <cfRule type="cellIs" operator="equal" dxfId="650" priority="650">
      <formula>"Mercado Envios por conta do comprador"</formula>
    </cfRule>
  </conditionalFormatting>
  <conditionalFormatting sqref="X88">
    <cfRule type="cellIs" operator="equal" dxfId="651" priority="651">
      <formula>"Aceita"</formula>
    </cfRule>
  </conditionalFormatting>
  <conditionalFormatting sqref="Y88">
    <cfRule type="cellIs" operator="equal" dxfId="652" priority="652">
      <formula>"Clássico"</formula>
    </cfRule>
  </conditionalFormatting>
  <conditionalFormatting sqref="AA88">
    <cfRule type="cellIs" operator="equal" dxfId="653" priority="653">
      <formula>"Ativo"</formula>
    </cfRule>
  </conditionalFormatting>
  <conditionalFormatting sqref="AB88">
    <cfRule type="cellIs" operator="equal" dxfId="654" priority="654">
      <formula>"Garantia do vendedor"</formula>
    </cfRule>
  </conditionalFormatting>
  <conditionalFormatting sqref="AD88">
    <cfRule type="cellIs" operator="equal" dxfId="655" priority="655">
      <formula>"dias"</formula>
    </cfRule>
  </conditionalFormatting>
  <conditionalFormatting sqref="J89">
    <cfRule type="cellIs" operator="equal" dxfId="656" priority="656">
      <formula>"R$"</formula>
    </cfRule>
  </conditionalFormatting>
  <conditionalFormatting sqref="U89">
    <cfRule type="cellIs" operator="equal" dxfId="657" priority="657">
      <formula>"Novo"</formula>
    </cfRule>
  </conditionalFormatting>
  <conditionalFormatting sqref="W89">
    <cfRule type="cellIs" operator="equal" dxfId="658" priority="658">
      <formula>"Mercado Envios grátis"</formula>
    </cfRule>
  </conditionalFormatting>
  <conditionalFormatting sqref="X89">
    <cfRule type="cellIs" operator="equal" dxfId="659" priority="659">
      <formula>"Aceita"</formula>
    </cfRule>
  </conditionalFormatting>
  <conditionalFormatting sqref="Y89">
    <cfRule type="cellIs" operator="equal" dxfId="660" priority="660">
      <formula>"Clássico"</formula>
    </cfRule>
  </conditionalFormatting>
  <conditionalFormatting sqref="AA89">
    <cfRule type="cellIs" operator="equal" dxfId="661" priority="661">
      <formula>"Ativo"</formula>
    </cfRule>
  </conditionalFormatting>
  <conditionalFormatting sqref="AB89">
    <cfRule type="cellIs" operator="equal" dxfId="662" priority="662">
      <formula>"Garantia do vendedor"</formula>
    </cfRule>
  </conditionalFormatting>
  <conditionalFormatting sqref="AD89">
    <cfRule type="cellIs" operator="equal" dxfId="663" priority="663">
      <formula>"dias"</formula>
    </cfRule>
  </conditionalFormatting>
  <conditionalFormatting sqref="J90">
    <cfRule type="cellIs" operator="equal" dxfId="664" priority="664">
      <formula>"R$"</formula>
    </cfRule>
  </conditionalFormatting>
  <conditionalFormatting sqref="U90">
    <cfRule type="cellIs" operator="equal" dxfId="665" priority="665">
      <formula>"Novo"</formula>
    </cfRule>
  </conditionalFormatting>
  <conditionalFormatting sqref="W90">
    <cfRule type="cellIs" operator="equal" dxfId="666" priority="666">
      <formula>"Mercado Envios por conta do comprador"</formula>
    </cfRule>
  </conditionalFormatting>
  <conditionalFormatting sqref="X90">
    <cfRule type="cellIs" operator="equal" dxfId="667" priority="667">
      <formula>"Aceita"</formula>
    </cfRule>
  </conditionalFormatting>
  <conditionalFormatting sqref="Y90">
    <cfRule type="cellIs" operator="equal" dxfId="668" priority="668">
      <formula>"Clássico"</formula>
    </cfRule>
  </conditionalFormatting>
  <conditionalFormatting sqref="AA90">
    <cfRule type="cellIs" operator="equal" dxfId="669" priority="669">
      <formula>"Ativo"</formula>
    </cfRule>
  </conditionalFormatting>
  <conditionalFormatting sqref="AB90">
    <cfRule type="cellIs" operator="equal" dxfId="670" priority="670">
      <formula>"Garantia do vendedor"</formula>
    </cfRule>
  </conditionalFormatting>
  <conditionalFormatting sqref="AD90">
    <cfRule type="cellIs" operator="equal" dxfId="671" priority="671">
      <formula>"meses"</formula>
    </cfRule>
  </conditionalFormatting>
  <conditionalFormatting sqref="J91">
    <cfRule type="cellIs" operator="equal" dxfId="672" priority="672">
      <formula>"R$"</formula>
    </cfRule>
  </conditionalFormatting>
  <conditionalFormatting sqref="U91">
    <cfRule type="cellIs" operator="equal" dxfId="673" priority="673">
      <formula>"Novo"</formula>
    </cfRule>
  </conditionalFormatting>
  <conditionalFormatting sqref="W91">
    <cfRule type="cellIs" operator="equal" dxfId="674" priority="674">
      <formula>"Mercado Envios por conta do comprador"</formula>
    </cfRule>
  </conditionalFormatting>
  <conditionalFormatting sqref="X91">
    <cfRule type="cellIs" operator="equal" dxfId="675" priority="675">
      <formula>"Aceita"</formula>
    </cfRule>
  </conditionalFormatting>
  <conditionalFormatting sqref="Y91">
    <cfRule type="cellIs" operator="equal" dxfId="676" priority="676">
      <formula>"Clássico"</formula>
    </cfRule>
  </conditionalFormatting>
  <conditionalFormatting sqref="AA91">
    <cfRule type="cellIs" operator="equal" dxfId="677" priority="677">
      <formula>"Ativo"</formula>
    </cfRule>
  </conditionalFormatting>
  <conditionalFormatting sqref="AB91">
    <cfRule type="cellIs" operator="equal" dxfId="678" priority="678">
      <formula>"Garantia do vendedor"</formula>
    </cfRule>
  </conditionalFormatting>
  <conditionalFormatting sqref="AD91">
    <cfRule type="cellIs" operator="equal" dxfId="679" priority="679">
      <formula>"meses"</formula>
    </cfRule>
  </conditionalFormatting>
  <conditionalFormatting sqref="J92">
    <cfRule type="cellIs" operator="equal" dxfId="680" priority="680">
      <formula>"R$"</formula>
    </cfRule>
  </conditionalFormatting>
  <conditionalFormatting sqref="U92">
    <cfRule type="cellIs" operator="equal" dxfId="681" priority="681">
      <formula>"Novo"</formula>
    </cfRule>
  </conditionalFormatting>
  <conditionalFormatting sqref="W92">
    <cfRule type="cellIs" operator="equal" dxfId="682" priority="682">
      <formula>"Mercado Envios grátis"</formula>
    </cfRule>
  </conditionalFormatting>
  <conditionalFormatting sqref="X92">
    <cfRule type="cellIs" operator="equal" dxfId="683" priority="683">
      <formula>"Aceita"</formula>
    </cfRule>
  </conditionalFormatting>
  <conditionalFormatting sqref="Y92">
    <cfRule type="cellIs" operator="equal" dxfId="684" priority="684">
      <formula>"Clássico"</formula>
    </cfRule>
  </conditionalFormatting>
  <conditionalFormatting sqref="AA92">
    <cfRule type="cellIs" operator="equal" dxfId="685" priority="685">
      <formula>"Ativo"</formula>
    </cfRule>
  </conditionalFormatting>
  <conditionalFormatting sqref="AB92">
    <cfRule type="cellIs" operator="equal" dxfId="686" priority="686">
      <formula>"Garantia do vendedor"</formula>
    </cfRule>
  </conditionalFormatting>
  <conditionalFormatting sqref="AD92">
    <cfRule type="cellIs" operator="equal" dxfId="687" priority="687">
      <formula>"dias"</formula>
    </cfRule>
  </conditionalFormatting>
  <conditionalFormatting sqref="J93">
    <cfRule type="cellIs" operator="equal" dxfId="688" priority="688">
      <formula>"R$"</formula>
    </cfRule>
  </conditionalFormatting>
  <conditionalFormatting sqref="U93">
    <cfRule type="cellIs" operator="equal" dxfId="689" priority="689">
      <formula>"Novo"</formula>
    </cfRule>
  </conditionalFormatting>
  <conditionalFormatting sqref="W93">
    <cfRule type="cellIs" operator="equal" dxfId="690" priority="690">
      <formula>"Mercado Envios grátis"</formula>
    </cfRule>
  </conditionalFormatting>
  <conditionalFormatting sqref="X93">
    <cfRule type="cellIs" operator="equal" dxfId="691" priority="691">
      <formula>"Aceita"</formula>
    </cfRule>
  </conditionalFormatting>
  <conditionalFormatting sqref="Y93">
    <cfRule type="cellIs" operator="equal" dxfId="692" priority="692">
      <formula>"Premium"</formula>
    </cfRule>
  </conditionalFormatting>
  <conditionalFormatting sqref="AA93">
    <cfRule type="cellIs" operator="equal" dxfId="693" priority="693">
      <formula>"Ativo"</formula>
    </cfRule>
  </conditionalFormatting>
  <conditionalFormatting sqref="AB93">
    <cfRule type="cellIs" operator="equal" dxfId="694" priority="694">
      <formula>"Garantia do vendedor"</formula>
    </cfRule>
  </conditionalFormatting>
  <conditionalFormatting sqref="AD93">
    <cfRule type="cellIs" operator="equal" dxfId="695" priority="695">
      <formula>"dias"</formula>
    </cfRule>
  </conditionalFormatting>
  <conditionalFormatting sqref="J94">
    <cfRule type="cellIs" operator="equal" dxfId="696" priority="696">
      <formula>"R$"</formula>
    </cfRule>
  </conditionalFormatting>
  <conditionalFormatting sqref="U94">
    <cfRule type="cellIs" operator="equal" dxfId="697" priority="697">
      <formula>"Novo"</formula>
    </cfRule>
  </conditionalFormatting>
  <conditionalFormatting sqref="W94">
    <cfRule type="cellIs" operator="equal" dxfId="698" priority="698">
      <formula>"Mercado Envios por conta do comprador"</formula>
    </cfRule>
  </conditionalFormatting>
  <conditionalFormatting sqref="X94">
    <cfRule type="cellIs" operator="equal" dxfId="699" priority="699">
      <formula>"Aceita"</formula>
    </cfRule>
  </conditionalFormatting>
  <conditionalFormatting sqref="Y94">
    <cfRule type="cellIs" operator="equal" dxfId="700" priority="700">
      <formula>"Premium"</formula>
    </cfRule>
  </conditionalFormatting>
  <conditionalFormatting sqref="AA94">
    <cfRule type="cellIs" operator="equal" dxfId="701" priority="701">
      <formula>"Ativo"</formula>
    </cfRule>
  </conditionalFormatting>
  <conditionalFormatting sqref="AB94">
    <cfRule type="cellIs" operator="equal" dxfId="702" priority="702">
      <formula>"Garantia do vendedor"</formula>
    </cfRule>
  </conditionalFormatting>
  <conditionalFormatting sqref="AD94">
    <cfRule type="cellIs" operator="equal" dxfId="703" priority="703">
      <formula>"dias"</formula>
    </cfRule>
  </conditionalFormatting>
  <conditionalFormatting sqref="J95">
    <cfRule type="cellIs" operator="equal" dxfId="704" priority="704">
      <formula>"R$"</formula>
    </cfRule>
  </conditionalFormatting>
  <conditionalFormatting sqref="W95">
    <cfRule type="cellIs" operator="equal" dxfId="705" priority="705">
      <formula>"Mercado Envios por conta do comprador"</formula>
    </cfRule>
  </conditionalFormatting>
  <conditionalFormatting sqref="X95">
    <cfRule type="cellIs" operator="equal" dxfId="706" priority="706">
      <formula>"Não aceito"</formula>
    </cfRule>
  </conditionalFormatting>
  <conditionalFormatting sqref="Y95">
    <cfRule type="cellIs" operator="equal" dxfId="707" priority="707">
      <formula>"Clássico"</formula>
    </cfRule>
  </conditionalFormatting>
  <conditionalFormatting sqref="AA95">
    <cfRule type="cellIs" operator="equal" dxfId="708" priority="708">
      <formula>"Ativo"</formula>
    </cfRule>
  </conditionalFormatting>
  <conditionalFormatting sqref="AB95">
    <cfRule type="cellIs" operator="equal" dxfId="709" priority="709">
      <formula>"Sem garantia"</formula>
    </cfRule>
  </conditionalFormatting>
  <conditionalFormatting sqref="AD95">
    <cfRule type="cellIs" operator="equal" dxfId="710" priority="710">
      <formula>""</formula>
    </cfRule>
  </conditionalFormatting>
  <conditionalFormatting sqref="J96">
    <cfRule type="cellIs" operator="equal" dxfId="711" priority="711">
      <formula>"R$"</formula>
    </cfRule>
  </conditionalFormatting>
  <conditionalFormatting sqref="U96">
    <cfRule type="cellIs" operator="equal" dxfId="712" priority="712">
      <formula>"Novo"</formula>
    </cfRule>
  </conditionalFormatting>
  <conditionalFormatting sqref="W96">
    <cfRule type="cellIs" operator="equal" dxfId="713" priority="713">
      <formula>"Mercado Envios por conta do comprador"</formula>
    </cfRule>
  </conditionalFormatting>
  <conditionalFormatting sqref="X96">
    <cfRule type="cellIs" operator="equal" dxfId="714" priority="714">
      <formula>"Não aceito"</formula>
    </cfRule>
  </conditionalFormatting>
  <conditionalFormatting sqref="Y96">
    <cfRule type="cellIs" operator="equal" dxfId="715" priority="715">
      <formula>"Clássico"</formula>
    </cfRule>
  </conditionalFormatting>
  <conditionalFormatting sqref="AA96">
    <cfRule type="cellIs" operator="equal" dxfId="716" priority="716">
      <formula>"Ativo"</formula>
    </cfRule>
  </conditionalFormatting>
  <conditionalFormatting sqref="AB96">
    <cfRule type="cellIs" operator="equal" dxfId="717" priority="717">
      <formula>"Sem garantia"</formula>
    </cfRule>
  </conditionalFormatting>
  <conditionalFormatting sqref="AD96">
    <cfRule type="cellIs" operator="equal" dxfId="718" priority="718">
      <formula>""</formula>
    </cfRule>
  </conditionalFormatting>
  <conditionalFormatting sqref="J97">
    <cfRule type="cellIs" operator="equal" dxfId="719" priority="719">
      <formula>"R$"</formula>
    </cfRule>
  </conditionalFormatting>
  <conditionalFormatting sqref="U97">
    <cfRule type="cellIs" operator="equal" dxfId="720" priority="720">
      <formula>"Novo"</formula>
    </cfRule>
  </conditionalFormatting>
  <conditionalFormatting sqref="W97">
    <cfRule type="cellIs" operator="equal" dxfId="721" priority="721">
      <formula>"Mercado Envios grátis"</formula>
    </cfRule>
  </conditionalFormatting>
  <conditionalFormatting sqref="X97">
    <cfRule type="cellIs" operator="equal" dxfId="722" priority="722">
      <formula>"Não aceito"</formula>
    </cfRule>
  </conditionalFormatting>
  <conditionalFormatting sqref="Y97">
    <cfRule type="cellIs" operator="equal" dxfId="723" priority="723">
      <formula>"Premium"</formula>
    </cfRule>
  </conditionalFormatting>
  <conditionalFormatting sqref="AA97">
    <cfRule type="cellIs" operator="equal" dxfId="724" priority="724">
      <formula>"Ativo"</formula>
    </cfRule>
  </conditionalFormatting>
  <conditionalFormatting sqref="AB97">
    <cfRule type="cellIs" operator="equal" dxfId="725" priority="725">
      <formula>"Garantia do vendedor"</formula>
    </cfRule>
  </conditionalFormatting>
  <conditionalFormatting sqref="AD97">
    <cfRule type="cellIs" operator="equal" dxfId="726" priority="726">
      <formula>"dias"</formula>
    </cfRule>
  </conditionalFormatting>
  <conditionalFormatting sqref="J98">
    <cfRule type="cellIs" operator="equal" dxfId="727" priority="727">
      <formula>"R$"</formula>
    </cfRule>
  </conditionalFormatting>
  <conditionalFormatting sqref="U98">
    <cfRule type="cellIs" operator="equal" dxfId="728" priority="728">
      <formula>"Novo"</formula>
    </cfRule>
  </conditionalFormatting>
  <conditionalFormatting sqref="W98">
    <cfRule type="cellIs" operator="equal" dxfId="729" priority="729">
      <formula>"Mercado Envios grátis"</formula>
    </cfRule>
  </conditionalFormatting>
  <conditionalFormatting sqref="X98">
    <cfRule type="cellIs" operator="equal" dxfId="730" priority="730">
      <formula>"Não aceito"</formula>
    </cfRule>
  </conditionalFormatting>
  <conditionalFormatting sqref="Y98">
    <cfRule type="cellIs" operator="equal" dxfId="731" priority="731">
      <formula>"Premium"</formula>
    </cfRule>
  </conditionalFormatting>
  <conditionalFormatting sqref="AA98">
    <cfRule type="cellIs" operator="equal" dxfId="732" priority="732">
      <formula>"Ativo"</formula>
    </cfRule>
  </conditionalFormatting>
  <conditionalFormatting sqref="AB98">
    <cfRule type="cellIs" operator="equal" dxfId="733" priority="733">
      <formula>"Garantia do vendedor"</formula>
    </cfRule>
  </conditionalFormatting>
  <conditionalFormatting sqref="AD98">
    <cfRule type="cellIs" operator="equal" dxfId="734" priority="734">
      <formula>"dias"</formula>
    </cfRule>
  </conditionalFormatting>
  <conditionalFormatting sqref="J99">
    <cfRule type="cellIs" operator="equal" dxfId="735" priority="735">
      <formula>"R$"</formula>
    </cfRule>
  </conditionalFormatting>
  <conditionalFormatting sqref="U99">
    <cfRule type="cellIs" operator="equal" dxfId="736" priority="736">
      <formula>"Novo"</formula>
    </cfRule>
  </conditionalFormatting>
  <conditionalFormatting sqref="W99">
    <cfRule type="cellIs" operator="equal" dxfId="737" priority="737">
      <formula>"Mercado Envios grátis"</formula>
    </cfRule>
  </conditionalFormatting>
  <conditionalFormatting sqref="X99">
    <cfRule type="cellIs" operator="equal" dxfId="738" priority="738">
      <formula>"Não aceito"</formula>
    </cfRule>
  </conditionalFormatting>
  <conditionalFormatting sqref="Y99">
    <cfRule type="cellIs" operator="equal" dxfId="739" priority="739">
      <formula>"Premium"</formula>
    </cfRule>
  </conditionalFormatting>
  <conditionalFormatting sqref="AA99">
    <cfRule type="cellIs" operator="equal" dxfId="740" priority="740">
      <formula>"Ativo"</formula>
    </cfRule>
  </conditionalFormatting>
  <conditionalFormatting sqref="AB99">
    <cfRule type="cellIs" operator="equal" dxfId="741" priority="741">
      <formula>"Garantia do vendedor"</formula>
    </cfRule>
  </conditionalFormatting>
  <conditionalFormatting sqref="AD99">
    <cfRule type="cellIs" operator="equal" dxfId="742" priority="742">
      <formula>"dias"</formula>
    </cfRule>
  </conditionalFormatting>
  <conditionalFormatting sqref="J100">
    <cfRule type="cellIs" operator="equal" dxfId="743" priority="743">
      <formula>"R$"</formula>
    </cfRule>
  </conditionalFormatting>
  <conditionalFormatting sqref="U100">
    <cfRule type="cellIs" operator="equal" dxfId="744" priority="744">
      <formula>"Novo"</formula>
    </cfRule>
  </conditionalFormatting>
  <conditionalFormatting sqref="W100">
    <cfRule type="cellIs" operator="equal" dxfId="745" priority="745">
      <formula>"Mercado Envios por conta do comprador"</formula>
    </cfRule>
  </conditionalFormatting>
  <conditionalFormatting sqref="X100">
    <cfRule type="cellIs" operator="equal" dxfId="746" priority="746">
      <formula>"Não aceito"</formula>
    </cfRule>
  </conditionalFormatting>
  <conditionalFormatting sqref="Y100">
    <cfRule type="cellIs" operator="equal" dxfId="747" priority="747">
      <formula>"Clássico"</formula>
    </cfRule>
  </conditionalFormatting>
  <conditionalFormatting sqref="AA100">
    <cfRule type="cellIs" operator="equal" dxfId="748" priority="748">
      <formula>"Ativo"</formula>
    </cfRule>
  </conditionalFormatting>
  <conditionalFormatting sqref="AB100">
    <cfRule type="cellIs" operator="equal" dxfId="749" priority="749">
      <formula>"Garantia do vendedor"</formula>
    </cfRule>
  </conditionalFormatting>
  <conditionalFormatting sqref="AD100">
    <cfRule type="cellIs" operator="equal" dxfId="750" priority="750">
      <formula>"dias"</formula>
    </cfRule>
  </conditionalFormatting>
  <conditionalFormatting sqref="J101">
    <cfRule type="cellIs" operator="equal" dxfId="751" priority="751">
      <formula>"R$"</formula>
    </cfRule>
  </conditionalFormatting>
  <conditionalFormatting sqref="U101">
    <cfRule type="cellIs" operator="equal" dxfId="752" priority="752">
      <formula>"Novo"</formula>
    </cfRule>
  </conditionalFormatting>
  <conditionalFormatting sqref="W101">
    <cfRule type="cellIs" operator="equal" dxfId="753" priority="753">
      <formula>"Mercado Envios por conta do comprador"</formula>
    </cfRule>
  </conditionalFormatting>
  <conditionalFormatting sqref="X101">
    <cfRule type="cellIs" operator="equal" dxfId="754" priority="754">
      <formula>"Aceita"</formula>
    </cfRule>
  </conditionalFormatting>
  <conditionalFormatting sqref="Y101">
    <cfRule type="cellIs" operator="equal" dxfId="755" priority="755">
      <formula>"Clássico"</formula>
    </cfRule>
  </conditionalFormatting>
  <conditionalFormatting sqref="AA101">
    <cfRule type="cellIs" operator="equal" dxfId="756" priority="756">
      <formula>"Ativo"</formula>
    </cfRule>
  </conditionalFormatting>
  <conditionalFormatting sqref="AB101">
    <cfRule type="cellIs" operator="equal" dxfId="757" priority="757">
      <formula>"Garantia do vendedor"</formula>
    </cfRule>
  </conditionalFormatting>
  <conditionalFormatting sqref="AD101">
    <cfRule type="cellIs" operator="equal" dxfId="758" priority="758">
      <formula>"meses"</formula>
    </cfRule>
  </conditionalFormatting>
  <conditionalFormatting sqref="J102">
    <cfRule type="cellIs" operator="equal" dxfId="759" priority="759">
      <formula>"R$"</formula>
    </cfRule>
  </conditionalFormatting>
  <conditionalFormatting sqref="U102">
    <cfRule type="cellIs" operator="equal" dxfId="760" priority="760">
      <formula>"Novo"</formula>
    </cfRule>
  </conditionalFormatting>
  <conditionalFormatting sqref="W102">
    <cfRule type="cellIs" operator="equal" dxfId="761" priority="761">
      <formula>"Mercado Envios por conta do comprador"</formula>
    </cfRule>
  </conditionalFormatting>
  <conditionalFormatting sqref="X102">
    <cfRule type="cellIs" operator="equal" dxfId="762" priority="762">
      <formula>"Não aceito"</formula>
    </cfRule>
  </conditionalFormatting>
  <conditionalFormatting sqref="Y102">
    <cfRule type="cellIs" operator="equal" dxfId="763" priority="763">
      <formula>"Clássico"</formula>
    </cfRule>
  </conditionalFormatting>
  <conditionalFormatting sqref="AA102">
    <cfRule type="cellIs" operator="equal" dxfId="764" priority="764">
      <formula>"Ativo"</formula>
    </cfRule>
  </conditionalFormatting>
  <conditionalFormatting sqref="AB102">
    <cfRule type="cellIs" operator="equal" dxfId="765" priority="765">
      <formula>"Garantia do vendedor"</formula>
    </cfRule>
  </conditionalFormatting>
  <conditionalFormatting sqref="AD102">
    <cfRule type="cellIs" operator="equal" dxfId="766" priority="766">
      <formula>"meses"</formula>
    </cfRule>
  </conditionalFormatting>
  <conditionalFormatting sqref="J103">
    <cfRule type="cellIs" operator="equal" dxfId="767" priority="767">
      <formula>"R$"</formula>
    </cfRule>
  </conditionalFormatting>
  <conditionalFormatting sqref="U103">
    <cfRule type="cellIs" operator="equal" dxfId="768" priority="768">
      <formula>"Novo"</formula>
    </cfRule>
  </conditionalFormatting>
  <conditionalFormatting sqref="W103">
    <cfRule type="cellIs" operator="equal" dxfId="769" priority="769">
      <formula>"Mercado Envios grátis"</formula>
    </cfRule>
  </conditionalFormatting>
  <conditionalFormatting sqref="X103">
    <cfRule type="cellIs" operator="equal" dxfId="770" priority="770">
      <formula>"Não aceito"</formula>
    </cfRule>
  </conditionalFormatting>
  <conditionalFormatting sqref="Y103">
    <cfRule type="cellIs" operator="equal" dxfId="771" priority="771">
      <formula>"Clássico"</formula>
    </cfRule>
  </conditionalFormatting>
  <conditionalFormatting sqref="AA103">
    <cfRule type="cellIs" operator="equal" dxfId="772" priority="772">
      <formula>"Ativo"</formula>
    </cfRule>
  </conditionalFormatting>
  <conditionalFormatting sqref="AB103">
    <cfRule type="cellIs" operator="equal" dxfId="773" priority="773">
      <formula>"Garantia do vendedor"</formula>
    </cfRule>
  </conditionalFormatting>
  <conditionalFormatting sqref="AD103">
    <cfRule type="cellIs" operator="equal" dxfId="774" priority="774">
      <formula>"meses"</formula>
    </cfRule>
  </conditionalFormatting>
  <conditionalFormatting sqref="J104">
    <cfRule type="cellIs" operator="equal" dxfId="775" priority="775">
      <formula>"R$"</formula>
    </cfRule>
  </conditionalFormatting>
  <conditionalFormatting sqref="U104">
    <cfRule type="cellIs" operator="equal" dxfId="776" priority="776">
      <formula>"Novo"</formula>
    </cfRule>
  </conditionalFormatting>
  <conditionalFormatting sqref="W104">
    <cfRule type="cellIs" operator="equal" dxfId="777" priority="777">
      <formula>"Mercado Envios grátis"</formula>
    </cfRule>
  </conditionalFormatting>
  <conditionalFormatting sqref="X104">
    <cfRule type="cellIs" operator="equal" dxfId="778" priority="778">
      <formula>"Não aceito"</formula>
    </cfRule>
  </conditionalFormatting>
  <conditionalFormatting sqref="Y104">
    <cfRule type="cellIs" operator="equal" dxfId="779" priority="779">
      <formula>"Premium"</formula>
    </cfRule>
  </conditionalFormatting>
  <conditionalFormatting sqref="AA104">
    <cfRule type="cellIs" operator="equal" dxfId="780" priority="780">
      <formula>"Ativo"</formula>
    </cfRule>
  </conditionalFormatting>
  <conditionalFormatting sqref="AB104">
    <cfRule type="cellIs" operator="equal" dxfId="781" priority="781">
      <formula>"Garantia do vendedor"</formula>
    </cfRule>
  </conditionalFormatting>
  <conditionalFormatting sqref="AD104">
    <cfRule type="cellIs" operator="equal" dxfId="782" priority="782">
      <formula>"dias"</formula>
    </cfRule>
  </conditionalFormatting>
  <conditionalFormatting sqref="J105">
    <cfRule type="cellIs" operator="equal" dxfId="783" priority="783">
      <formula>"R$"</formula>
    </cfRule>
  </conditionalFormatting>
  <conditionalFormatting sqref="U105">
    <cfRule type="cellIs" operator="equal" dxfId="784" priority="784">
      <formula>"Novo"</formula>
    </cfRule>
  </conditionalFormatting>
  <conditionalFormatting sqref="W105">
    <cfRule type="cellIs" operator="equal" dxfId="785" priority="785">
      <formula>"Mercado Envios grátis"</formula>
    </cfRule>
  </conditionalFormatting>
  <conditionalFormatting sqref="X105">
    <cfRule type="cellIs" operator="equal" dxfId="786" priority="786">
      <formula>"Não aceito"</formula>
    </cfRule>
  </conditionalFormatting>
  <conditionalFormatting sqref="Y105">
    <cfRule type="cellIs" operator="equal" dxfId="787" priority="787">
      <formula>"Premium"</formula>
    </cfRule>
  </conditionalFormatting>
  <conditionalFormatting sqref="AA105">
    <cfRule type="cellIs" operator="equal" dxfId="788" priority="788">
      <formula>"Ativo"</formula>
    </cfRule>
  </conditionalFormatting>
  <conditionalFormatting sqref="AB105">
    <cfRule type="cellIs" operator="equal" dxfId="789" priority="789">
      <formula>"Garantia do vendedor"</formula>
    </cfRule>
  </conditionalFormatting>
  <conditionalFormatting sqref="AD105">
    <cfRule type="cellIs" operator="equal" dxfId="790" priority="790">
      <formula>"dias"</formula>
    </cfRule>
  </conditionalFormatting>
  <conditionalFormatting sqref="J106">
    <cfRule type="cellIs" operator="equal" dxfId="791" priority="791">
      <formula>"R$"</formula>
    </cfRule>
  </conditionalFormatting>
  <conditionalFormatting sqref="U106">
    <cfRule type="cellIs" operator="equal" dxfId="792" priority="792">
      <formula>"Novo"</formula>
    </cfRule>
  </conditionalFormatting>
  <conditionalFormatting sqref="W106">
    <cfRule type="cellIs" operator="equal" dxfId="793" priority="793">
      <formula>"Mercado Envios grátis"</formula>
    </cfRule>
  </conditionalFormatting>
  <conditionalFormatting sqref="X106">
    <cfRule type="cellIs" operator="equal" dxfId="794" priority="794">
      <formula>"Não aceito"</formula>
    </cfRule>
  </conditionalFormatting>
  <conditionalFormatting sqref="Y106">
    <cfRule type="cellIs" operator="equal" dxfId="795" priority="795">
      <formula>"Premium"</formula>
    </cfRule>
  </conditionalFormatting>
  <conditionalFormatting sqref="AA106">
    <cfRule type="cellIs" operator="equal" dxfId="796" priority="796">
      <formula>"Ativo"</formula>
    </cfRule>
  </conditionalFormatting>
  <conditionalFormatting sqref="AB106">
    <cfRule type="cellIs" operator="equal" dxfId="797" priority="797">
      <formula>"Garantia do vendedor"</formula>
    </cfRule>
  </conditionalFormatting>
  <conditionalFormatting sqref="AD106">
    <cfRule type="cellIs" operator="equal" dxfId="798" priority="798">
      <formula>"dias"</formula>
    </cfRule>
  </conditionalFormatting>
  <conditionalFormatting sqref="J107">
    <cfRule type="cellIs" operator="equal" dxfId="799" priority="799">
      <formula>"R$"</formula>
    </cfRule>
  </conditionalFormatting>
  <conditionalFormatting sqref="U107">
    <cfRule type="cellIs" operator="equal" dxfId="800" priority="800">
      <formula>"Novo"</formula>
    </cfRule>
  </conditionalFormatting>
  <conditionalFormatting sqref="W107">
    <cfRule type="cellIs" operator="equal" dxfId="801" priority="801">
      <formula>"Mercado Envios grátis"</formula>
    </cfRule>
  </conditionalFormatting>
  <conditionalFormatting sqref="X107">
    <cfRule type="cellIs" operator="equal" dxfId="802" priority="802">
      <formula>"Não aceito"</formula>
    </cfRule>
  </conditionalFormatting>
  <conditionalFormatting sqref="Y107">
    <cfRule type="cellIs" operator="equal" dxfId="803" priority="803">
      <formula>"Premium"</formula>
    </cfRule>
  </conditionalFormatting>
  <conditionalFormatting sqref="AA107">
    <cfRule type="cellIs" operator="equal" dxfId="804" priority="804">
      <formula>"Ativo"</formula>
    </cfRule>
  </conditionalFormatting>
  <conditionalFormatting sqref="AB107">
    <cfRule type="cellIs" operator="equal" dxfId="805" priority="805">
      <formula>"Garantia do vendedor"</formula>
    </cfRule>
  </conditionalFormatting>
  <conditionalFormatting sqref="AD107">
    <cfRule type="cellIs" operator="equal" dxfId="806" priority="806">
      <formula>"dias"</formula>
    </cfRule>
  </conditionalFormatting>
  <conditionalFormatting sqref="J108">
    <cfRule type="cellIs" operator="equal" dxfId="807" priority="807">
      <formula>"R$"</formula>
    </cfRule>
  </conditionalFormatting>
  <conditionalFormatting sqref="U108">
    <cfRule type="cellIs" operator="equal" dxfId="808" priority="808">
      <formula>"Novo"</formula>
    </cfRule>
  </conditionalFormatting>
  <conditionalFormatting sqref="W108">
    <cfRule type="cellIs" operator="equal" dxfId="809" priority="809">
      <formula>"Mercado Envios grátis"</formula>
    </cfRule>
  </conditionalFormatting>
  <conditionalFormatting sqref="X108">
    <cfRule type="cellIs" operator="equal" dxfId="810" priority="810">
      <formula>"Não aceito"</formula>
    </cfRule>
  </conditionalFormatting>
  <conditionalFormatting sqref="Y108">
    <cfRule type="cellIs" operator="equal" dxfId="811" priority="811">
      <formula>"Premium"</formula>
    </cfRule>
  </conditionalFormatting>
  <conditionalFormatting sqref="AA108">
    <cfRule type="cellIs" operator="equal" dxfId="812" priority="812">
      <formula>"Ativo"</formula>
    </cfRule>
  </conditionalFormatting>
  <conditionalFormatting sqref="AB108">
    <cfRule type="cellIs" operator="equal" dxfId="813" priority="813">
      <formula>"Garantia do vendedor"</formula>
    </cfRule>
  </conditionalFormatting>
  <conditionalFormatting sqref="AD108">
    <cfRule type="cellIs" operator="equal" dxfId="814" priority="814">
      <formula>"dias"</formula>
    </cfRule>
  </conditionalFormatting>
  <conditionalFormatting sqref="J109">
    <cfRule type="cellIs" operator="equal" dxfId="815" priority="815">
      <formula>"R$"</formula>
    </cfRule>
  </conditionalFormatting>
  <conditionalFormatting sqref="U109">
    <cfRule type="cellIs" operator="equal" dxfId="816" priority="816">
      <formula>"Novo"</formula>
    </cfRule>
  </conditionalFormatting>
  <conditionalFormatting sqref="W109">
    <cfRule type="cellIs" operator="equal" dxfId="817" priority="817">
      <formula>"Não faço envios"</formula>
    </cfRule>
  </conditionalFormatting>
  <conditionalFormatting sqref="X109">
    <cfRule type="cellIs" operator="equal" dxfId="818" priority="818">
      <formula>"Não aceito"</formula>
    </cfRule>
  </conditionalFormatting>
  <conditionalFormatting sqref="Y109">
    <cfRule type="cellIs" operator="equal" dxfId="819" priority="819">
      <formula>"Premium"</formula>
    </cfRule>
  </conditionalFormatting>
  <conditionalFormatting sqref="AA109">
    <cfRule type="cellIs" operator="equal" dxfId="820" priority="820">
      <formula>"Ativo"</formula>
    </cfRule>
  </conditionalFormatting>
  <conditionalFormatting sqref="AB109">
    <cfRule type="cellIs" operator="equal" dxfId="821" priority="821">
      <formula>"Garantia do vendedor"</formula>
    </cfRule>
  </conditionalFormatting>
  <conditionalFormatting sqref="AD109">
    <cfRule type="cellIs" operator="equal" dxfId="822" priority="822">
      <formula>"dias"</formula>
    </cfRule>
  </conditionalFormatting>
  <conditionalFormatting sqref="J110">
    <cfRule type="cellIs" operator="equal" dxfId="823" priority="823">
      <formula>"R$"</formula>
    </cfRule>
  </conditionalFormatting>
  <conditionalFormatting sqref="U110">
    <cfRule type="cellIs" operator="equal" dxfId="824" priority="824">
      <formula>"Novo"</formula>
    </cfRule>
  </conditionalFormatting>
  <conditionalFormatting sqref="W110">
    <cfRule type="cellIs" operator="equal" dxfId="825" priority="825">
      <formula>"Mercado Envios grátis"</formula>
    </cfRule>
  </conditionalFormatting>
  <conditionalFormatting sqref="X110">
    <cfRule type="cellIs" operator="equal" dxfId="826" priority="826">
      <formula>"Não aceito"</formula>
    </cfRule>
  </conditionalFormatting>
  <conditionalFormatting sqref="Y110">
    <cfRule type="cellIs" operator="equal" dxfId="827" priority="827">
      <formula>"Premium"</formula>
    </cfRule>
  </conditionalFormatting>
  <conditionalFormatting sqref="AA110">
    <cfRule type="cellIs" operator="equal" dxfId="828" priority="828">
      <formula>"Ativo"</formula>
    </cfRule>
  </conditionalFormatting>
  <conditionalFormatting sqref="AB110">
    <cfRule type="cellIs" operator="equal" dxfId="829" priority="829">
      <formula>"Garantia do vendedor"</formula>
    </cfRule>
  </conditionalFormatting>
  <conditionalFormatting sqref="AD110">
    <cfRule type="cellIs" operator="equal" dxfId="830" priority="830">
      <formula>"dias"</formula>
    </cfRule>
  </conditionalFormatting>
  <conditionalFormatting sqref="J111">
    <cfRule type="cellIs" operator="equal" dxfId="831" priority="831">
      <formula>"R$"</formula>
    </cfRule>
  </conditionalFormatting>
  <conditionalFormatting sqref="U111">
    <cfRule type="cellIs" operator="equal" dxfId="832" priority="832">
      <formula>"Novo"</formula>
    </cfRule>
  </conditionalFormatting>
  <conditionalFormatting sqref="W111">
    <cfRule type="cellIs" operator="equal" dxfId="833" priority="833">
      <formula>"Mercado Envios grátis"</formula>
    </cfRule>
  </conditionalFormatting>
  <conditionalFormatting sqref="X111">
    <cfRule type="cellIs" operator="equal" dxfId="834" priority="834">
      <formula>"Não aceito"</formula>
    </cfRule>
  </conditionalFormatting>
  <conditionalFormatting sqref="Y111">
    <cfRule type="cellIs" operator="equal" dxfId="835" priority="835">
      <formula>"Premium"</formula>
    </cfRule>
  </conditionalFormatting>
  <conditionalFormatting sqref="AA111">
    <cfRule type="cellIs" operator="equal" dxfId="836" priority="836">
      <formula>"Ativo"</formula>
    </cfRule>
  </conditionalFormatting>
  <conditionalFormatting sqref="AB111">
    <cfRule type="cellIs" operator="equal" dxfId="837" priority="837">
      <formula>"Garantia do vendedor"</formula>
    </cfRule>
  </conditionalFormatting>
  <conditionalFormatting sqref="AD111">
    <cfRule type="cellIs" operator="equal" dxfId="838" priority="838">
      <formula>"dias"</formula>
    </cfRule>
  </conditionalFormatting>
  <conditionalFormatting sqref="J112">
    <cfRule type="cellIs" operator="equal" dxfId="839" priority="839">
      <formula>"R$"</formula>
    </cfRule>
  </conditionalFormatting>
  <conditionalFormatting sqref="U112">
    <cfRule type="cellIs" operator="equal" dxfId="840" priority="840">
      <formula>"Novo"</formula>
    </cfRule>
  </conditionalFormatting>
  <conditionalFormatting sqref="W112">
    <cfRule type="cellIs" operator="equal" dxfId="841" priority="841">
      <formula>"Mercado Envios grátis"</formula>
    </cfRule>
  </conditionalFormatting>
  <conditionalFormatting sqref="X112">
    <cfRule type="cellIs" operator="equal" dxfId="842" priority="842">
      <formula>"Não aceito"</formula>
    </cfRule>
  </conditionalFormatting>
  <conditionalFormatting sqref="Y112">
    <cfRule type="cellIs" operator="equal" dxfId="843" priority="843">
      <formula>"Clássico"</formula>
    </cfRule>
  </conditionalFormatting>
  <conditionalFormatting sqref="AA112">
    <cfRule type="cellIs" operator="equal" dxfId="844" priority="844">
      <formula>"Ativo"</formula>
    </cfRule>
  </conditionalFormatting>
  <conditionalFormatting sqref="AB112">
    <cfRule type="cellIs" operator="equal" dxfId="845" priority="845">
      <formula>"Garantia do vendedor"</formula>
    </cfRule>
  </conditionalFormatting>
  <conditionalFormatting sqref="AD112">
    <cfRule type="cellIs" operator="equal" dxfId="846" priority="846">
      <formula>"dias"</formula>
    </cfRule>
  </conditionalFormatting>
  <conditionalFormatting sqref="J113">
    <cfRule type="cellIs" operator="equal" dxfId="847" priority="847">
      <formula>"R$"</formula>
    </cfRule>
  </conditionalFormatting>
  <conditionalFormatting sqref="U113">
    <cfRule type="cellIs" operator="equal" dxfId="848" priority="848">
      <formula>"Novo"</formula>
    </cfRule>
  </conditionalFormatting>
  <conditionalFormatting sqref="W113">
    <cfRule type="cellIs" operator="equal" dxfId="849" priority="849">
      <formula>"Mercado Envios grátis"</formula>
    </cfRule>
  </conditionalFormatting>
  <conditionalFormatting sqref="X113">
    <cfRule type="cellIs" operator="equal" dxfId="850" priority="850">
      <formula>"Não aceito"</formula>
    </cfRule>
  </conditionalFormatting>
  <conditionalFormatting sqref="Y113">
    <cfRule type="cellIs" operator="equal" dxfId="851" priority="851">
      <formula>"Premium"</formula>
    </cfRule>
  </conditionalFormatting>
  <conditionalFormatting sqref="AA113">
    <cfRule type="cellIs" operator="equal" dxfId="852" priority="852">
      <formula>"Ativo"</formula>
    </cfRule>
  </conditionalFormatting>
  <conditionalFormatting sqref="AB113">
    <cfRule type="cellIs" operator="equal" dxfId="853" priority="853">
      <formula>"Garantia do vendedor"</formula>
    </cfRule>
  </conditionalFormatting>
  <conditionalFormatting sqref="AD113">
    <cfRule type="cellIs" operator="equal" dxfId="854" priority="854">
      <formula>"dias"</formula>
    </cfRule>
  </conditionalFormatting>
  <conditionalFormatting sqref="J114">
    <cfRule type="cellIs" operator="equal" dxfId="855" priority="855">
      <formula>"R$"</formula>
    </cfRule>
  </conditionalFormatting>
  <conditionalFormatting sqref="U114">
    <cfRule type="cellIs" operator="equal" dxfId="856" priority="856">
      <formula>"Novo"</formula>
    </cfRule>
  </conditionalFormatting>
  <conditionalFormatting sqref="W114">
    <cfRule type="cellIs" operator="equal" dxfId="857" priority="857">
      <formula>"Mercado Envios grátis"</formula>
    </cfRule>
  </conditionalFormatting>
  <conditionalFormatting sqref="X114">
    <cfRule type="cellIs" operator="equal" dxfId="858" priority="858">
      <formula>"Não aceito"</formula>
    </cfRule>
  </conditionalFormatting>
  <conditionalFormatting sqref="Y114">
    <cfRule type="cellIs" operator="equal" dxfId="859" priority="859">
      <formula>"Premium"</formula>
    </cfRule>
  </conditionalFormatting>
  <conditionalFormatting sqref="AA114">
    <cfRule type="cellIs" operator="equal" dxfId="860" priority="860">
      <formula>"Ativo"</formula>
    </cfRule>
  </conditionalFormatting>
  <conditionalFormatting sqref="AB114">
    <cfRule type="cellIs" operator="equal" dxfId="861" priority="861">
      <formula>"Garantia do vendedor"</formula>
    </cfRule>
  </conditionalFormatting>
  <conditionalFormatting sqref="AD114">
    <cfRule type="cellIs" operator="equal" dxfId="862" priority="862">
      <formula>"dias"</formula>
    </cfRule>
  </conditionalFormatting>
  <conditionalFormatting sqref="J115">
    <cfRule type="cellIs" operator="equal" dxfId="863" priority="863">
      <formula>"R$"</formula>
    </cfRule>
  </conditionalFormatting>
  <conditionalFormatting sqref="U115">
    <cfRule type="cellIs" operator="equal" dxfId="864" priority="864">
      <formula>"Novo"</formula>
    </cfRule>
  </conditionalFormatting>
  <conditionalFormatting sqref="W115">
    <cfRule type="cellIs" operator="equal" dxfId="865" priority="865">
      <formula>"Mercado Envios grátis"</formula>
    </cfRule>
  </conditionalFormatting>
  <conditionalFormatting sqref="X115">
    <cfRule type="cellIs" operator="equal" dxfId="866" priority="866">
      <formula>"Não aceito"</formula>
    </cfRule>
  </conditionalFormatting>
  <conditionalFormatting sqref="Y115">
    <cfRule type="cellIs" operator="equal" dxfId="867" priority="867">
      <formula>"Premium"</formula>
    </cfRule>
  </conditionalFormatting>
  <conditionalFormatting sqref="AA115">
    <cfRule type="cellIs" operator="equal" dxfId="868" priority="868">
      <formula>"Ativo"</formula>
    </cfRule>
  </conditionalFormatting>
  <conditionalFormatting sqref="AB115">
    <cfRule type="cellIs" operator="equal" dxfId="869" priority="869">
      <formula>"Garantia do vendedor"</formula>
    </cfRule>
  </conditionalFormatting>
  <conditionalFormatting sqref="AD115">
    <cfRule type="cellIs" operator="equal" dxfId="870" priority="870">
      <formula>"dias"</formula>
    </cfRule>
  </conditionalFormatting>
  <conditionalFormatting sqref="J116">
    <cfRule type="cellIs" operator="equal" dxfId="871" priority="871">
      <formula>"R$"</formula>
    </cfRule>
  </conditionalFormatting>
  <conditionalFormatting sqref="U116">
    <cfRule type="cellIs" operator="equal" dxfId="872" priority="872">
      <formula>"Novo"</formula>
    </cfRule>
  </conditionalFormatting>
  <conditionalFormatting sqref="W116">
    <cfRule type="cellIs" operator="equal" dxfId="873" priority="873">
      <formula>"Mercado Envios grátis"</formula>
    </cfRule>
  </conditionalFormatting>
  <conditionalFormatting sqref="X116">
    <cfRule type="cellIs" operator="equal" dxfId="874" priority="874">
      <formula>"Não aceito"</formula>
    </cfRule>
  </conditionalFormatting>
  <conditionalFormatting sqref="Y116">
    <cfRule type="cellIs" operator="equal" dxfId="875" priority="875">
      <formula>"Premium"</formula>
    </cfRule>
  </conditionalFormatting>
  <conditionalFormatting sqref="AA116">
    <cfRule type="cellIs" operator="equal" dxfId="876" priority="876">
      <formula>"Ativo"</formula>
    </cfRule>
  </conditionalFormatting>
  <conditionalFormatting sqref="AB116">
    <cfRule type="cellIs" operator="equal" dxfId="877" priority="877">
      <formula>"Garantia do vendedor"</formula>
    </cfRule>
  </conditionalFormatting>
  <conditionalFormatting sqref="AD116">
    <cfRule type="cellIs" operator="equal" dxfId="878" priority="878">
      <formula>"dias"</formula>
    </cfRule>
  </conditionalFormatting>
  <conditionalFormatting sqref="J117">
    <cfRule type="cellIs" operator="equal" dxfId="879" priority="879">
      <formula>"R$"</formula>
    </cfRule>
  </conditionalFormatting>
  <conditionalFormatting sqref="U117">
    <cfRule type="cellIs" operator="equal" dxfId="880" priority="880">
      <formula>"Novo"</formula>
    </cfRule>
  </conditionalFormatting>
  <conditionalFormatting sqref="W117">
    <cfRule type="cellIs" operator="equal" dxfId="881" priority="881">
      <formula>"Mercado Envios grátis"</formula>
    </cfRule>
  </conditionalFormatting>
  <conditionalFormatting sqref="X117">
    <cfRule type="cellIs" operator="equal" dxfId="882" priority="882">
      <formula>"Não aceito"</formula>
    </cfRule>
  </conditionalFormatting>
  <conditionalFormatting sqref="Y117">
    <cfRule type="cellIs" operator="equal" dxfId="883" priority="883">
      <formula>"Premium"</formula>
    </cfRule>
  </conditionalFormatting>
  <conditionalFormatting sqref="AA117">
    <cfRule type="cellIs" operator="equal" dxfId="884" priority="884">
      <formula>"Ativo"</formula>
    </cfRule>
  </conditionalFormatting>
  <conditionalFormatting sqref="AB117">
    <cfRule type="cellIs" operator="equal" dxfId="885" priority="885">
      <formula>"Garantia do vendedor"</formula>
    </cfRule>
  </conditionalFormatting>
  <conditionalFormatting sqref="AD117">
    <cfRule type="cellIs" operator="equal" dxfId="886" priority="886">
      <formula>"dias"</formula>
    </cfRule>
  </conditionalFormatting>
  <conditionalFormatting sqref="J118">
    <cfRule type="cellIs" operator="equal" dxfId="887" priority="887">
      <formula>"R$"</formula>
    </cfRule>
  </conditionalFormatting>
  <conditionalFormatting sqref="U118">
    <cfRule type="cellIs" operator="equal" dxfId="888" priority="888">
      <formula>"Novo"</formula>
    </cfRule>
  </conditionalFormatting>
  <conditionalFormatting sqref="W118">
    <cfRule type="cellIs" operator="equal" dxfId="889" priority="889">
      <formula>"Mercado Envios grátis"</formula>
    </cfRule>
  </conditionalFormatting>
  <conditionalFormatting sqref="X118">
    <cfRule type="cellIs" operator="equal" dxfId="890" priority="890">
      <formula>"Não aceito"</formula>
    </cfRule>
  </conditionalFormatting>
  <conditionalFormatting sqref="Y118">
    <cfRule type="cellIs" operator="equal" dxfId="891" priority="891">
      <formula>"Premium"</formula>
    </cfRule>
  </conditionalFormatting>
  <conditionalFormatting sqref="AA118">
    <cfRule type="cellIs" operator="equal" dxfId="892" priority="892">
      <formula>"Ativo"</formula>
    </cfRule>
  </conditionalFormatting>
  <conditionalFormatting sqref="AB118">
    <cfRule type="cellIs" operator="equal" dxfId="893" priority="893">
      <formula>"Garantia do vendedor"</formula>
    </cfRule>
  </conditionalFormatting>
  <conditionalFormatting sqref="AD118">
    <cfRule type="cellIs" operator="equal" dxfId="894" priority="894">
      <formula>"dias"</formula>
    </cfRule>
  </conditionalFormatting>
  <conditionalFormatting sqref="J119">
    <cfRule type="cellIs" operator="equal" dxfId="895" priority="895">
      <formula>"R$"</formula>
    </cfRule>
  </conditionalFormatting>
  <conditionalFormatting sqref="U119">
    <cfRule type="cellIs" operator="equal" dxfId="896" priority="896">
      <formula>"Novo"</formula>
    </cfRule>
  </conditionalFormatting>
  <conditionalFormatting sqref="W119">
    <cfRule type="cellIs" operator="equal" dxfId="897" priority="897">
      <formula>"Mercado Envios grátis"</formula>
    </cfRule>
  </conditionalFormatting>
  <conditionalFormatting sqref="X119">
    <cfRule type="cellIs" operator="equal" dxfId="898" priority="898">
      <formula>"Não aceito"</formula>
    </cfRule>
  </conditionalFormatting>
  <conditionalFormatting sqref="Y119">
    <cfRule type="cellIs" operator="equal" dxfId="899" priority="899">
      <formula>"Clássico"</formula>
    </cfRule>
  </conditionalFormatting>
  <conditionalFormatting sqref="AA119">
    <cfRule type="cellIs" operator="equal" dxfId="900" priority="900">
      <formula>"Ativo"</formula>
    </cfRule>
  </conditionalFormatting>
  <conditionalFormatting sqref="AB119">
    <cfRule type="cellIs" operator="equal" dxfId="901" priority="901">
      <formula>"Garantia do vendedor"</formula>
    </cfRule>
  </conditionalFormatting>
  <conditionalFormatting sqref="AD119">
    <cfRule type="cellIs" operator="equal" dxfId="902" priority="902">
      <formula>"dias"</formula>
    </cfRule>
  </conditionalFormatting>
  <conditionalFormatting sqref="J120">
    <cfRule type="cellIs" operator="equal" dxfId="903" priority="903">
      <formula>"R$"</formula>
    </cfRule>
  </conditionalFormatting>
  <conditionalFormatting sqref="U120">
    <cfRule type="cellIs" operator="equal" dxfId="904" priority="904">
      <formula>"Novo"</formula>
    </cfRule>
  </conditionalFormatting>
  <conditionalFormatting sqref="W120">
    <cfRule type="cellIs" operator="equal" dxfId="905" priority="905">
      <formula>"Mercado Envios grátis"</formula>
    </cfRule>
  </conditionalFormatting>
  <conditionalFormatting sqref="X120">
    <cfRule type="cellIs" operator="equal" dxfId="906" priority="906">
      <formula>"Aceita"</formula>
    </cfRule>
  </conditionalFormatting>
  <conditionalFormatting sqref="Y120">
    <cfRule type="cellIs" operator="equal" dxfId="907" priority="907">
      <formula>"Premium"</formula>
    </cfRule>
  </conditionalFormatting>
  <conditionalFormatting sqref="AA120">
    <cfRule type="cellIs" operator="equal" dxfId="908" priority="908">
      <formula>"Ativo"</formula>
    </cfRule>
  </conditionalFormatting>
  <conditionalFormatting sqref="AB120">
    <cfRule type="cellIs" operator="equal" dxfId="909" priority="909">
      <formula>"Garantia do vendedor"</formula>
    </cfRule>
  </conditionalFormatting>
  <conditionalFormatting sqref="AD120">
    <cfRule type="cellIs" operator="equal" dxfId="910" priority="910">
      <formula>"dias"</formula>
    </cfRule>
  </conditionalFormatting>
  <conditionalFormatting sqref="J121">
    <cfRule type="cellIs" operator="equal" dxfId="911" priority="911">
      <formula>"R$"</formula>
    </cfRule>
  </conditionalFormatting>
  <conditionalFormatting sqref="U121">
    <cfRule type="cellIs" operator="equal" dxfId="912" priority="912">
      <formula>"Novo"</formula>
    </cfRule>
  </conditionalFormatting>
  <conditionalFormatting sqref="W121">
    <cfRule type="cellIs" operator="equal" dxfId="913" priority="913">
      <formula>"Mercado Envios grátis"</formula>
    </cfRule>
  </conditionalFormatting>
  <conditionalFormatting sqref="X121">
    <cfRule type="cellIs" operator="equal" dxfId="914" priority="914">
      <formula>"Aceita"</formula>
    </cfRule>
  </conditionalFormatting>
  <conditionalFormatting sqref="Y121">
    <cfRule type="cellIs" operator="equal" dxfId="915" priority="915">
      <formula>"Clássico"</formula>
    </cfRule>
  </conditionalFormatting>
  <conditionalFormatting sqref="AA121">
    <cfRule type="cellIs" operator="equal" dxfId="916" priority="916">
      <formula>"Ativo"</formula>
    </cfRule>
  </conditionalFormatting>
  <conditionalFormatting sqref="AB121">
    <cfRule type="cellIs" operator="equal" dxfId="917" priority="917">
      <formula>"Garantia do vendedor"</formula>
    </cfRule>
  </conditionalFormatting>
  <conditionalFormatting sqref="AD121">
    <cfRule type="cellIs" operator="equal" dxfId="918" priority="918">
      <formula>"dias"</formula>
    </cfRule>
  </conditionalFormatting>
  <conditionalFormatting sqref="J122">
    <cfRule type="cellIs" operator="equal" dxfId="919" priority="919">
      <formula>"R$"</formula>
    </cfRule>
  </conditionalFormatting>
  <conditionalFormatting sqref="U122">
    <cfRule type="cellIs" operator="equal" dxfId="920" priority="920">
      <formula>"Novo"</formula>
    </cfRule>
  </conditionalFormatting>
  <conditionalFormatting sqref="W122">
    <cfRule type="cellIs" operator="equal" dxfId="921" priority="921">
      <formula>"Frete grátis por conta própria"</formula>
    </cfRule>
  </conditionalFormatting>
  <conditionalFormatting sqref="X122">
    <cfRule type="cellIs" operator="equal" dxfId="922" priority="922">
      <formula>"Aceita"</formula>
    </cfRule>
  </conditionalFormatting>
  <conditionalFormatting sqref="Y122">
    <cfRule type="cellIs" operator="equal" dxfId="923" priority="923">
      <formula>"Premium"</formula>
    </cfRule>
  </conditionalFormatting>
  <conditionalFormatting sqref="AA122">
    <cfRule type="cellIs" operator="equal" dxfId="924" priority="924">
      <formula>"Ativo"</formula>
    </cfRule>
  </conditionalFormatting>
  <conditionalFormatting sqref="AB122">
    <cfRule type="cellIs" operator="equal" dxfId="925" priority="925">
      <formula>"Garantia do vendedor"</formula>
    </cfRule>
  </conditionalFormatting>
  <conditionalFormatting sqref="AD122">
    <cfRule type="cellIs" operator="equal" dxfId="926" priority="926">
      <formula>"dias"</formula>
    </cfRule>
  </conditionalFormatting>
  <conditionalFormatting sqref="J123">
    <cfRule type="cellIs" operator="equal" dxfId="927" priority="927">
      <formula>"R$"</formula>
    </cfRule>
  </conditionalFormatting>
  <conditionalFormatting sqref="U123">
    <cfRule type="cellIs" operator="equal" dxfId="928" priority="928">
      <formula>"Novo"</formula>
    </cfRule>
  </conditionalFormatting>
  <conditionalFormatting sqref="W123">
    <cfRule type="cellIs" operator="equal" dxfId="929" priority="929">
      <formula>"Mercado Envios grátis"</formula>
    </cfRule>
  </conditionalFormatting>
  <conditionalFormatting sqref="X123">
    <cfRule type="cellIs" operator="equal" dxfId="930" priority="930">
      <formula>"Aceita"</formula>
    </cfRule>
  </conditionalFormatting>
  <conditionalFormatting sqref="Y123">
    <cfRule type="cellIs" operator="equal" dxfId="931" priority="931">
      <formula>"Clássico"</formula>
    </cfRule>
  </conditionalFormatting>
  <conditionalFormatting sqref="AA123">
    <cfRule type="cellIs" operator="equal" dxfId="932" priority="932">
      <formula>"Ativo"</formula>
    </cfRule>
  </conditionalFormatting>
  <conditionalFormatting sqref="AB123">
    <cfRule type="cellIs" operator="equal" dxfId="933" priority="933">
      <formula>"Garantia do vendedor"</formula>
    </cfRule>
  </conditionalFormatting>
  <conditionalFormatting sqref="AD123">
    <cfRule type="cellIs" operator="equal" dxfId="934" priority="934">
      <formula>"dias"</formula>
    </cfRule>
  </conditionalFormatting>
  <conditionalFormatting sqref="J124">
    <cfRule type="cellIs" operator="equal" dxfId="935" priority="935">
      <formula>"R$"</formula>
    </cfRule>
  </conditionalFormatting>
  <conditionalFormatting sqref="U124">
    <cfRule type="cellIs" operator="equal" dxfId="936" priority="936">
      <formula>"Novo"</formula>
    </cfRule>
  </conditionalFormatting>
  <conditionalFormatting sqref="W124">
    <cfRule type="cellIs" operator="equal" dxfId="937" priority="937">
      <formula>"Mercado Envios grátis"</formula>
    </cfRule>
  </conditionalFormatting>
  <conditionalFormatting sqref="X124">
    <cfRule type="cellIs" operator="equal" dxfId="938" priority="938">
      <formula>"Aceita"</formula>
    </cfRule>
  </conditionalFormatting>
  <conditionalFormatting sqref="Y124">
    <cfRule type="cellIs" operator="equal" dxfId="939" priority="939">
      <formula>"Clássico"</formula>
    </cfRule>
  </conditionalFormatting>
  <conditionalFormatting sqref="AA124">
    <cfRule type="cellIs" operator="equal" dxfId="940" priority="940">
      <formula>"Ativo"</formula>
    </cfRule>
  </conditionalFormatting>
  <conditionalFormatting sqref="AB124">
    <cfRule type="cellIs" operator="equal" dxfId="941" priority="941">
      <formula>"Garantia do vendedor"</formula>
    </cfRule>
  </conditionalFormatting>
  <conditionalFormatting sqref="AD124">
    <cfRule type="cellIs" operator="equal" dxfId="942" priority="942">
      <formula>"dias"</formula>
    </cfRule>
  </conditionalFormatting>
  <conditionalFormatting sqref="J125">
    <cfRule type="cellIs" operator="equal" dxfId="943" priority="943">
      <formula>"R$"</formula>
    </cfRule>
  </conditionalFormatting>
  <conditionalFormatting sqref="U125">
    <cfRule type="cellIs" operator="equal" dxfId="944" priority="944">
      <formula>"Novo"</formula>
    </cfRule>
  </conditionalFormatting>
  <conditionalFormatting sqref="W125">
    <cfRule type="cellIs" operator="equal" dxfId="945" priority="945">
      <formula>"Mercado Envios grátis"</formula>
    </cfRule>
  </conditionalFormatting>
  <conditionalFormatting sqref="X125">
    <cfRule type="cellIs" operator="equal" dxfId="946" priority="946">
      <formula>"Aceita"</formula>
    </cfRule>
  </conditionalFormatting>
  <conditionalFormatting sqref="Y125">
    <cfRule type="cellIs" operator="equal" dxfId="947" priority="947">
      <formula>"Clássico"</formula>
    </cfRule>
  </conditionalFormatting>
  <conditionalFormatting sqref="AA125">
    <cfRule type="cellIs" operator="equal" dxfId="948" priority="948">
      <formula>"Ativo"</formula>
    </cfRule>
  </conditionalFormatting>
  <conditionalFormatting sqref="AB125">
    <cfRule type="cellIs" operator="equal" dxfId="949" priority="949">
      <formula>"Garantia do vendedor"</formula>
    </cfRule>
  </conditionalFormatting>
  <conditionalFormatting sqref="AD125">
    <cfRule type="cellIs" operator="equal" dxfId="950" priority="950">
      <formula>"dias"</formula>
    </cfRule>
  </conditionalFormatting>
  <conditionalFormatting sqref="J126">
    <cfRule type="cellIs" operator="equal" dxfId="951" priority="951">
      <formula>"R$"</formula>
    </cfRule>
  </conditionalFormatting>
  <conditionalFormatting sqref="U126">
    <cfRule type="cellIs" operator="equal" dxfId="952" priority="952">
      <formula>"Novo"</formula>
    </cfRule>
  </conditionalFormatting>
  <conditionalFormatting sqref="W126">
    <cfRule type="cellIs" operator="equal" dxfId="953" priority="953">
      <formula>"Mercado Envios grátis"</formula>
    </cfRule>
  </conditionalFormatting>
  <conditionalFormatting sqref="X126">
    <cfRule type="cellIs" operator="equal" dxfId="954" priority="954">
      <formula>"Aceita"</formula>
    </cfRule>
  </conditionalFormatting>
  <conditionalFormatting sqref="Y126">
    <cfRule type="cellIs" operator="equal" dxfId="955" priority="955">
      <formula>"Clássico"</formula>
    </cfRule>
  </conditionalFormatting>
  <conditionalFormatting sqref="AA126">
    <cfRule type="cellIs" operator="equal" dxfId="956" priority="956">
      <formula>"Ativo"</formula>
    </cfRule>
  </conditionalFormatting>
  <conditionalFormatting sqref="AB126">
    <cfRule type="cellIs" operator="equal" dxfId="957" priority="957">
      <formula>"Garantia do vendedor"</formula>
    </cfRule>
  </conditionalFormatting>
  <conditionalFormatting sqref="AD126">
    <cfRule type="cellIs" operator="equal" dxfId="958" priority="958">
      <formula>"dias"</formula>
    </cfRule>
  </conditionalFormatting>
  <conditionalFormatting sqref="J127">
    <cfRule type="cellIs" operator="equal" dxfId="959" priority="959">
      <formula>"R$"</formula>
    </cfRule>
  </conditionalFormatting>
  <conditionalFormatting sqref="U127">
    <cfRule type="cellIs" operator="equal" dxfId="960" priority="960">
      <formula>"Novo"</formula>
    </cfRule>
  </conditionalFormatting>
  <conditionalFormatting sqref="W127">
    <cfRule type="cellIs" operator="equal" dxfId="961" priority="961">
      <formula>"Mercado Envios por conta do comprador"</formula>
    </cfRule>
  </conditionalFormatting>
  <conditionalFormatting sqref="X127">
    <cfRule type="cellIs" operator="equal" dxfId="962" priority="962">
      <formula>"Aceita"</formula>
    </cfRule>
  </conditionalFormatting>
  <conditionalFormatting sqref="Y127">
    <cfRule type="cellIs" operator="equal" dxfId="963" priority="963">
      <formula>"Clássico"</formula>
    </cfRule>
  </conditionalFormatting>
  <conditionalFormatting sqref="AA127">
    <cfRule type="cellIs" operator="equal" dxfId="964" priority="964">
      <formula>"Ativo"</formula>
    </cfRule>
  </conditionalFormatting>
  <conditionalFormatting sqref="AB127">
    <cfRule type="cellIs" operator="equal" dxfId="965" priority="965">
      <formula>"Garantia do vendedor"</formula>
    </cfRule>
  </conditionalFormatting>
  <conditionalFormatting sqref="AD127">
    <cfRule type="cellIs" operator="equal" dxfId="966" priority="966">
      <formula>"dias"</formula>
    </cfRule>
  </conditionalFormatting>
  <conditionalFormatting sqref="J128">
    <cfRule type="cellIs" operator="equal" dxfId="967" priority="967">
      <formula>"R$"</formula>
    </cfRule>
  </conditionalFormatting>
  <conditionalFormatting sqref="U128">
    <cfRule type="cellIs" operator="equal" dxfId="968" priority="968">
      <formula>"Novo"</formula>
    </cfRule>
  </conditionalFormatting>
  <conditionalFormatting sqref="W128">
    <cfRule type="cellIs" operator="equal" dxfId="969" priority="969">
      <formula>"Mercado Envios grátis"</formula>
    </cfRule>
  </conditionalFormatting>
  <conditionalFormatting sqref="X128">
    <cfRule type="cellIs" operator="equal" dxfId="970" priority="970">
      <formula>"Aceita"</formula>
    </cfRule>
  </conditionalFormatting>
  <conditionalFormatting sqref="Y128">
    <cfRule type="cellIs" operator="equal" dxfId="971" priority="971">
      <formula>"Clássico"</formula>
    </cfRule>
  </conditionalFormatting>
  <conditionalFormatting sqref="AA128">
    <cfRule type="cellIs" operator="equal" dxfId="972" priority="972">
      <formula>"Ativo"</formula>
    </cfRule>
  </conditionalFormatting>
  <conditionalFormatting sqref="AB128">
    <cfRule type="cellIs" operator="equal" dxfId="973" priority="973">
      <formula>"Garantia do vendedor"</formula>
    </cfRule>
  </conditionalFormatting>
  <conditionalFormatting sqref="AD128">
    <cfRule type="cellIs" operator="equal" dxfId="974" priority="974">
      <formula>"dias"</formula>
    </cfRule>
  </conditionalFormatting>
  <conditionalFormatting sqref="J129">
    <cfRule type="cellIs" operator="equal" dxfId="975" priority="975">
      <formula>"R$"</formula>
    </cfRule>
  </conditionalFormatting>
  <conditionalFormatting sqref="U129">
    <cfRule type="cellIs" operator="equal" dxfId="976" priority="976">
      <formula>"Novo"</formula>
    </cfRule>
  </conditionalFormatting>
  <conditionalFormatting sqref="W129">
    <cfRule type="cellIs" operator="equal" dxfId="977" priority="977">
      <formula>"Mercado Envios grátis"</formula>
    </cfRule>
  </conditionalFormatting>
  <conditionalFormatting sqref="X129">
    <cfRule type="cellIs" operator="equal" dxfId="978" priority="978">
      <formula>"Aceita"</formula>
    </cfRule>
  </conditionalFormatting>
  <conditionalFormatting sqref="Y129">
    <cfRule type="cellIs" operator="equal" dxfId="979" priority="979">
      <formula>"Clássico"</formula>
    </cfRule>
  </conditionalFormatting>
  <conditionalFormatting sqref="AA129">
    <cfRule type="cellIs" operator="equal" dxfId="980" priority="980">
      <formula>"Ativo"</formula>
    </cfRule>
  </conditionalFormatting>
  <conditionalFormatting sqref="AB129">
    <cfRule type="cellIs" operator="equal" dxfId="981" priority="981">
      <formula>"Garantia do vendedor"</formula>
    </cfRule>
  </conditionalFormatting>
  <conditionalFormatting sqref="AD129">
    <cfRule type="cellIs" operator="equal" dxfId="982" priority="982">
      <formula>"dias"</formula>
    </cfRule>
  </conditionalFormatting>
  <conditionalFormatting sqref="J130">
    <cfRule type="cellIs" operator="equal" dxfId="983" priority="983">
      <formula>"R$"</formula>
    </cfRule>
  </conditionalFormatting>
  <conditionalFormatting sqref="U130">
    <cfRule type="cellIs" operator="equal" dxfId="984" priority="984">
      <formula>"Novo"</formula>
    </cfRule>
  </conditionalFormatting>
  <conditionalFormatting sqref="W130">
    <cfRule type="cellIs" operator="equal" dxfId="985" priority="985">
      <formula>"Mercado Envios grátis"</formula>
    </cfRule>
  </conditionalFormatting>
  <conditionalFormatting sqref="X130">
    <cfRule type="cellIs" operator="equal" dxfId="986" priority="986">
      <formula>"Aceita"</formula>
    </cfRule>
  </conditionalFormatting>
  <conditionalFormatting sqref="Y130">
    <cfRule type="cellIs" operator="equal" dxfId="987" priority="987">
      <formula>"Premium"</formula>
    </cfRule>
  </conditionalFormatting>
  <conditionalFormatting sqref="AA130">
    <cfRule type="cellIs" operator="equal" dxfId="988" priority="988">
      <formula>"Ativo"</formula>
    </cfRule>
  </conditionalFormatting>
  <conditionalFormatting sqref="AB130">
    <cfRule type="cellIs" operator="equal" dxfId="989" priority="989">
      <formula>"Garantia do vendedor"</formula>
    </cfRule>
  </conditionalFormatting>
  <conditionalFormatting sqref="AD130">
    <cfRule type="cellIs" operator="equal" dxfId="990" priority="990">
      <formula>"dias"</formula>
    </cfRule>
  </conditionalFormatting>
  <conditionalFormatting sqref="J131">
    <cfRule type="cellIs" operator="equal" dxfId="991" priority="991">
      <formula>"R$"</formula>
    </cfRule>
  </conditionalFormatting>
  <conditionalFormatting sqref="U131">
    <cfRule type="cellIs" operator="equal" dxfId="992" priority="992">
      <formula>"Novo"</formula>
    </cfRule>
  </conditionalFormatting>
  <conditionalFormatting sqref="W131">
    <cfRule type="cellIs" operator="equal" dxfId="993" priority="993">
      <formula>"Frete grátis por conta própria"</formula>
    </cfRule>
  </conditionalFormatting>
  <conditionalFormatting sqref="X131">
    <cfRule type="cellIs" operator="equal" dxfId="994" priority="994">
      <formula>"Aceita"</formula>
    </cfRule>
  </conditionalFormatting>
  <conditionalFormatting sqref="Y131">
    <cfRule type="cellIs" operator="equal" dxfId="995" priority="995">
      <formula>"Premium"</formula>
    </cfRule>
  </conditionalFormatting>
  <conditionalFormatting sqref="AA131">
    <cfRule type="cellIs" operator="equal" dxfId="996" priority="996">
      <formula>"Ativo"</formula>
    </cfRule>
  </conditionalFormatting>
  <conditionalFormatting sqref="AB131">
    <cfRule type="cellIs" operator="equal" dxfId="997" priority="997">
      <formula>"Garantia do vendedor"</formula>
    </cfRule>
  </conditionalFormatting>
  <conditionalFormatting sqref="AD131">
    <cfRule type="cellIs" operator="equal" dxfId="998" priority="998">
      <formula>"dias"</formula>
    </cfRule>
  </conditionalFormatting>
  <conditionalFormatting sqref="J132">
    <cfRule type="cellIs" operator="equal" dxfId="999" priority="999">
      <formula>"R$"</formula>
    </cfRule>
  </conditionalFormatting>
  <conditionalFormatting sqref="U132">
    <cfRule type="cellIs" operator="equal" dxfId="1000" priority="1000">
      <formula>"Novo"</formula>
    </cfRule>
  </conditionalFormatting>
  <conditionalFormatting sqref="W132">
    <cfRule type="cellIs" operator="equal" dxfId="1001" priority="1001">
      <formula>"Mercado Envios por conta do comprador"</formula>
    </cfRule>
  </conditionalFormatting>
  <conditionalFormatting sqref="X132">
    <cfRule type="cellIs" operator="equal" dxfId="1002" priority="1002">
      <formula>"Aceita"</formula>
    </cfRule>
  </conditionalFormatting>
  <conditionalFormatting sqref="Y132">
    <cfRule type="cellIs" operator="equal" dxfId="1003" priority="1003">
      <formula>"Clássico"</formula>
    </cfRule>
  </conditionalFormatting>
  <conditionalFormatting sqref="AA132">
    <cfRule type="cellIs" operator="equal" dxfId="1004" priority="1004">
      <formula>"Ativo"</formula>
    </cfRule>
  </conditionalFormatting>
  <conditionalFormatting sqref="AB132">
    <cfRule type="cellIs" operator="equal" dxfId="1005" priority="1005">
      <formula>"Garantia do vendedor"</formula>
    </cfRule>
  </conditionalFormatting>
  <conditionalFormatting sqref="AD132">
    <cfRule type="cellIs" operator="equal" dxfId="1006" priority="1006">
      <formula>"dias"</formula>
    </cfRule>
  </conditionalFormatting>
  <conditionalFormatting sqref="J133">
    <cfRule type="cellIs" operator="equal" dxfId="1007" priority="1007">
      <formula>"R$"</formula>
    </cfRule>
  </conditionalFormatting>
  <conditionalFormatting sqref="U133">
    <cfRule type="cellIs" operator="equal" dxfId="1008" priority="1008">
      <formula>"Novo"</formula>
    </cfRule>
  </conditionalFormatting>
  <conditionalFormatting sqref="W133">
    <cfRule type="cellIs" operator="equal" dxfId="1009" priority="1009">
      <formula>"Mercado Envios grátis"</formula>
    </cfRule>
  </conditionalFormatting>
  <conditionalFormatting sqref="X133">
    <cfRule type="cellIs" operator="equal" dxfId="1010" priority="1010">
      <formula>"Aceita"</formula>
    </cfRule>
  </conditionalFormatting>
  <conditionalFormatting sqref="Y133">
    <cfRule type="cellIs" operator="equal" dxfId="1011" priority="1011">
      <formula>"Premium"</formula>
    </cfRule>
  </conditionalFormatting>
  <conditionalFormatting sqref="AA133">
    <cfRule type="cellIs" operator="equal" dxfId="1012" priority="1012">
      <formula>"Ativo"</formula>
    </cfRule>
  </conditionalFormatting>
  <conditionalFormatting sqref="AB133">
    <cfRule type="cellIs" operator="equal" dxfId="1013" priority="1013">
      <formula>"Garantia do vendedor"</formula>
    </cfRule>
  </conditionalFormatting>
  <conditionalFormatting sqref="AD133">
    <cfRule type="cellIs" operator="equal" dxfId="1014" priority="1014">
      <formula>"dias"</formula>
    </cfRule>
  </conditionalFormatting>
  <conditionalFormatting sqref="J134">
    <cfRule type="cellIs" operator="equal" dxfId="1015" priority="1015">
      <formula>"R$"</formula>
    </cfRule>
  </conditionalFormatting>
  <conditionalFormatting sqref="U134">
    <cfRule type="cellIs" operator="equal" dxfId="1016" priority="1016">
      <formula>"Novo"</formula>
    </cfRule>
  </conditionalFormatting>
  <conditionalFormatting sqref="W134">
    <cfRule type="cellIs" operator="equal" dxfId="1017" priority="1017">
      <formula>"Mercado Envios grátis"</formula>
    </cfRule>
  </conditionalFormatting>
  <conditionalFormatting sqref="X134">
    <cfRule type="cellIs" operator="equal" dxfId="1018" priority="1018">
      <formula>"Aceita"</formula>
    </cfRule>
  </conditionalFormatting>
  <conditionalFormatting sqref="Y134">
    <cfRule type="cellIs" operator="equal" dxfId="1019" priority="1019">
      <formula>"Premium"</formula>
    </cfRule>
  </conditionalFormatting>
  <conditionalFormatting sqref="AA134">
    <cfRule type="cellIs" operator="equal" dxfId="1020" priority="1020">
      <formula>"Ativo"</formula>
    </cfRule>
  </conditionalFormatting>
  <conditionalFormatting sqref="AB134">
    <cfRule type="cellIs" operator="equal" dxfId="1021" priority="1021">
      <formula>"Garantia do vendedor"</formula>
    </cfRule>
  </conditionalFormatting>
  <conditionalFormatting sqref="AD134">
    <cfRule type="cellIs" operator="equal" dxfId="1022" priority="1022">
      <formula>"dias"</formula>
    </cfRule>
  </conditionalFormatting>
  <conditionalFormatting sqref="J135">
    <cfRule type="cellIs" operator="equal" dxfId="1023" priority="1023">
      <formula>"R$"</formula>
    </cfRule>
  </conditionalFormatting>
  <conditionalFormatting sqref="U135">
    <cfRule type="cellIs" operator="equal" dxfId="1024" priority="1024">
      <formula>"Novo"</formula>
    </cfRule>
  </conditionalFormatting>
  <conditionalFormatting sqref="W135">
    <cfRule type="cellIs" operator="equal" dxfId="1025" priority="1025">
      <formula>"Mercado Envios grátis"</formula>
    </cfRule>
  </conditionalFormatting>
  <conditionalFormatting sqref="X135">
    <cfRule type="cellIs" operator="equal" dxfId="1026" priority="1026">
      <formula>"Aceita"</formula>
    </cfRule>
  </conditionalFormatting>
  <conditionalFormatting sqref="Y135">
    <cfRule type="cellIs" operator="equal" dxfId="1027" priority="1027">
      <formula>"Premium"</formula>
    </cfRule>
  </conditionalFormatting>
  <conditionalFormatting sqref="AA135">
    <cfRule type="cellIs" operator="equal" dxfId="1028" priority="1028">
      <formula>"Ativo"</formula>
    </cfRule>
  </conditionalFormatting>
  <conditionalFormatting sqref="AB135">
    <cfRule type="cellIs" operator="equal" dxfId="1029" priority="1029">
      <formula>"Garantia do vendedor"</formula>
    </cfRule>
  </conditionalFormatting>
  <conditionalFormatting sqref="AD135">
    <cfRule type="cellIs" operator="equal" dxfId="1030" priority="1030">
      <formula>"dias"</formula>
    </cfRule>
  </conditionalFormatting>
  <conditionalFormatting sqref="J136">
    <cfRule type="cellIs" operator="equal" dxfId="1031" priority="1031">
      <formula>"R$"</formula>
    </cfRule>
  </conditionalFormatting>
  <conditionalFormatting sqref="U136">
    <cfRule type="cellIs" operator="equal" dxfId="1032" priority="1032">
      <formula>"Novo"</formula>
    </cfRule>
  </conditionalFormatting>
  <conditionalFormatting sqref="W136">
    <cfRule type="cellIs" operator="equal" dxfId="1033" priority="1033">
      <formula>"Não faço envios"</formula>
    </cfRule>
  </conditionalFormatting>
  <conditionalFormatting sqref="X136">
    <cfRule type="cellIs" operator="equal" dxfId="1034" priority="1034">
      <formula>"Aceita"</formula>
    </cfRule>
  </conditionalFormatting>
  <conditionalFormatting sqref="Y136">
    <cfRule type="cellIs" operator="equal" dxfId="1035" priority="1035">
      <formula>"Premium"</formula>
    </cfRule>
  </conditionalFormatting>
  <conditionalFormatting sqref="AA136">
    <cfRule type="cellIs" operator="equal" dxfId="1036" priority="1036">
      <formula>"Ativo"</formula>
    </cfRule>
  </conditionalFormatting>
  <conditionalFormatting sqref="AB136">
    <cfRule type="cellIs" operator="equal" dxfId="1037" priority="1037">
      <formula>"Garantia do vendedor"</formula>
    </cfRule>
  </conditionalFormatting>
  <conditionalFormatting sqref="AD136">
    <cfRule type="cellIs" operator="equal" dxfId="1038" priority="1038">
      <formula>"dias"</formula>
    </cfRule>
  </conditionalFormatting>
  <conditionalFormatting sqref="J137">
    <cfRule type="cellIs" operator="equal" dxfId="1039" priority="1039">
      <formula>"R$"</formula>
    </cfRule>
  </conditionalFormatting>
  <conditionalFormatting sqref="U137">
    <cfRule type="cellIs" operator="equal" dxfId="1040" priority="1040">
      <formula>"Novo"</formula>
    </cfRule>
  </conditionalFormatting>
  <conditionalFormatting sqref="W137">
    <cfRule type="cellIs" operator="equal" dxfId="1041" priority="1041">
      <formula>"Não faço envios"</formula>
    </cfRule>
  </conditionalFormatting>
  <conditionalFormatting sqref="X137">
    <cfRule type="cellIs" operator="equal" dxfId="1042" priority="1042">
      <formula>"Aceita"</formula>
    </cfRule>
  </conditionalFormatting>
  <conditionalFormatting sqref="Y137">
    <cfRule type="cellIs" operator="equal" dxfId="1043" priority="1043">
      <formula>"Premium"</formula>
    </cfRule>
  </conditionalFormatting>
  <conditionalFormatting sqref="AA137">
    <cfRule type="cellIs" operator="equal" dxfId="1044" priority="1044">
      <formula>"Ativo"</formula>
    </cfRule>
  </conditionalFormatting>
  <conditionalFormatting sqref="AB137">
    <cfRule type="cellIs" operator="equal" dxfId="1045" priority="1045">
      <formula>"Garantia do vendedor"</formula>
    </cfRule>
  </conditionalFormatting>
  <conditionalFormatting sqref="AD137">
    <cfRule type="cellIs" operator="equal" dxfId="1046" priority="1046">
      <formula>"dias"</formula>
    </cfRule>
  </conditionalFormatting>
  <conditionalFormatting sqref="J138">
    <cfRule type="cellIs" operator="equal" dxfId="1047" priority="1047">
      <formula>"R$"</formula>
    </cfRule>
  </conditionalFormatting>
  <conditionalFormatting sqref="U138">
    <cfRule type="cellIs" operator="equal" dxfId="1048" priority="1048">
      <formula>"Novo"</formula>
    </cfRule>
  </conditionalFormatting>
  <conditionalFormatting sqref="W138">
    <cfRule type="cellIs" operator="equal" dxfId="1049" priority="1049">
      <formula>"Não faço envios"</formula>
    </cfRule>
  </conditionalFormatting>
  <conditionalFormatting sqref="X138">
    <cfRule type="cellIs" operator="equal" dxfId="1050" priority="1050">
      <formula>"Aceita"</formula>
    </cfRule>
  </conditionalFormatting>
  <conditionalFormatting sqref="Y138">
    <cfRule type="cellIs" operator="equal" dxfId="1051" priority="1051">
      <formula>"Premium"</formula>
    </cfRule>
  </conditionalFormatting>
  <conditionalFormatting sqref="AA138">
    <cfRule type="cellIs" operator="equal" dxfId="1052" priority="1052">
      <formula>"Ativo"</formula>
    </cfRule>
  </conditionalFormatting>
  <conditionalFormatting sqref="AB138">
    <cfRule type="cellIs" operator="equal" dxfId="1053" priority="1053">
      <formula>"Garantia do vendedor"</formula>
    </cfRule>
  </conditionalFormatting>
  <conditionalFormatting sqref="AD138">
    <cfRule type="cellIs" operator="equal" dxfId="1054" priority="1054">
      <formula>"dias"</formula>
    </cfRule>
  </conditionalFormatting>
  <conditionalFormatting sqref="J139">
    <cfRule type="cellIs" operator="equal" dxfId="1055" priority="1055">
      <formula>"R$"</formula>
    </cfRule>
  </conditionalFormatting>
  <conditionalFormatting sqref="U139">
    <cfRule type="cellIs" operator="equal" dxfId="1056" priority="1056">
      <formula>"Novo"</formula>
    </cfRule>
  </conditionalFormatting>
  <conditionalFormatting sqref="W139">
    <cfRule type="cellIs" operator="equal" dxfId="1057" priority="1057">
      <formula>"Mercado Envios grátis"</formula>
    </cfRule>
  </conditionalFormatting>
  <conditionalFormatting sqref="X139">
    <cfRule type="cellIs" operator="equal" dxfId="1058" priority="1058">
      <formula>"Aceita"</formula>
    </cfRule>
  </conditionalFormatting>
  <conditionalFormatting sqref="Y139">
    <cfRule type="cellIs" operator="equal" dxfId="1059" priority="1059">
      <formula>"Premium"</formula>
    </cfRule>
  </conditionalFormatting>
  <conditionalFormatting sqref="AA139">
    <cfRule type="cellIs" operator="equal" dxfId="1060" priority="1060">
      <formula>"Ativo"</formula>
    </cfRule>
  </conditionalFormatting>
  <conditionalFormatting sqref="AB139">
    <cfRule type="cellIs" operator="equal" dxfId="1061" priority="1061">
      <formula>"Garantia do vendedor"</formula>
    </cfRule>
  </conditionalFormatting>
  <conditionalFormatting sqref="AD139">
    <cfRule type="cellIs" operator="equal" dxfId="1062" priority="1062">
      <formula>"dias"</formula>
    </cfRule>
  </conditionalFormatting>
  <conditionalFormatting sqref="J140">
    <cfRule type="cellIs" operator="equal" dxfId="1063" priority="1063">
      <formula>"R$"</formula>
    </cfRule>
  </conditionalFormatting>
  <conditionalFormatting sqref="U140">
    <cfRule type="cellIs" operator="equal" dxfId="1064" priority="1064">
      <formula>"Novo"</formula>
    </cfRule>
  </conditionalFormatting>
  <conditionalFormatting sqref="W140">
    <cfRule type="cellIs" operator="equal" dxfId="1065" priority="1065">
      <formula>"Mercado Envios grátis"</formula>
    </cfRule>
  </conditionalFormatting>
  <conditionalFormatting sqref="X140">
    <cfRule type="cellIs" operator="equal" dxfId="1066" priority="1066">
      <formula>"Aceita"</formula>
    </cfRule>
  </conditionalFormatting>
  <conditionalFormatting sqref="Y140">
    <cfRule type="cellIs" operator="equal" dxfId="1067" priority="1067">
      <formula>"Clássico"</formula>
    </cfRule>
  </conditionalFormatting>
  <conditionalFormatting sqref="AA140">
    <cfRule type="cellIs" operator="equal" dxfId="1068" priority="1068">
      <formula>"Ativo"</formula>
    </cfRule>
  </conditionalFormatting>
  <conditionalFormatting sqref="AB140">
    <cfRule type="cellIs" operator="equal" dxfId="1069" priority="1069">
      <formula>"Garantia do vendedor"</formula>
    </cfRule>
  </conditionalFormatting>
  <conditionalFormatting sqref="AD140">
    <cfRule type="cellIs" operator="equal" dxfId="1070" priority="1070">
      <formula>"dias"</formula>
    </cfRule>
  </conditionalFormatting>
  <conditionalFormatting sqref="J141">
    <cfRule type="cellIs" operator="equal" dxfId="1071" priority="1071">
      <formula>"R$"</formula>
    </cfRule>
  </conditionalFormatting>
  <conditionalFormatting sqref="U141">
    <cfRule type="cellIs" operator="equal" dxfId="1072" priority="1072">
      <formula>"Novo"</formula>
    </cfRule>
  </conditionalFormatting>
  <conditionalFormatting sqref="W141">
    <cfRule type="cellIs" operator="equal" dxfId="1073" priority="1073">
      <formula>"Mercado Envios grátis"</formula>
    </cfRule>
  </conditionalFormatting>
  <conditionalFormatting sqref="X141">
    <cfRule type="cellIs" operator="equal" dxfId="1074" priority="1074">
      <formula>"Aceita"</formula>
    </cfRule>
  </conditionalFormatting>
  <conditionalFormatting sqref="Y141">
    <cfRule type="cellIs" operator="equal" dxfId="1075" priority="1075">
      <formula>"Premium"</formula>
    </cfRule>
  </conditionalFormatting>
  <conditionalFormatting sqref="AA141">
    <cfRule type="cellIs" operator="equal" dxfId="1076" priority="1076">
      <formula>"Ativo"</formula>
    </cfRule>
  </conditionalFormatting>
  <conditionalFormatting sqref="AB141">
    <cfRule type="cellIs" operator="equal" dxfId="1077" priority="1077">
      <formula>"Garantia do vendedor"</formula>
    </cfRule>
  </conditionalFormatting>
  <conditionalFormatting sqref="AD141">
    <cfRule type="cellIs" operator="equal" dxfId="1078" priority="1078">
      <formula>"dias"</formula>
    </cfRule>
  </conditionalFormatting>
  <conditionalFormatting sqref="J142">
    <cfRule type="cellIs" operator="equal" dxfId="1079" priority="1079">
      <formula>"R$"</formula>
    </cfRule>
  </conditionalFormatting>
  <conditionalFormatting sqref="U142">
    <cfRule type="cellIs" operator="equal" dxfId="1080" priority="1080">
      <formula>"Novo"</formula>
    </cfRule>
  </conditionalFormatting>
  <conditionalFormatting sqref="W142">
    <cfRule type="cellIs" operator="equal" dxfId="1081" priority="1081">
      <formula>"Mercado Envios grátis"</formula>
    </cfRule>
  </conditionalFormatting>
  <conditionalFormatting sqref="X142">
    <cfRule type="cellIs" operator="equal" dxfId="1082" priority="1082">
      <formula>"Aceita"</formula>
    </cfRule>
  </conditionalFormatting>
  <conditionalFormatting sqref="Y142">
    <cfRule type="cellIs" operator="equal" dxfId="1083" priority="1083">
      <formula>"Premium"</formula>
    </cfRule>
  </conditionalFormatting>
  <conditionalFormatting sqref="AA142">
    <cfRule type="cellIs" operator="equal" dxfId="1084" priority="1084">
      <formula>"Ativo"</formula>
    </cfRule>
  </conditionalFormatting>
  <conditionalFormatting sqref="AB142">
    <cfRule type="cellIs" operator="equal" dxfId="1085" priority="1085">
      <formula>"Garantia do vendedor"</formula>
    </cfRule>
  </conditionalFormatting>
  <conditionalFormatting sqref="AD142">
    <cfRule type="cellIs" operator="equal" dxfId="1086" priority="1086">
      <formula>"dias"</formula>
    </cfRule>
  </conditionalFormatting>
  <conditionalFormatting sqref="J143">
    <cfRule type="cellIs" operator="equal" dxfId="1087" priority="1087">
      <formula>"R$"</formula>
    </cfRule>
  </conditionalFormatting>
  <conditionalFormatting sqref="U143">
    <cfRule type="cellIs" operator="equal" dxfId="1088" priority="1088">
      <formula>"Novo"</formula>
    </cfRule>
  </conditionalFormatting>
  <conditionalFormatting sqref="W143">
    <cfRule type="cellIs" operator="equal" dxfId="1089" priority="1089">
      <formula>"Mercado Envios grátis"</formula>
    </cfRule>
  </conditionalFormatting>
  <conditionalFormatting sqref="X143">
    <cfRule type="cellIs" operator="equal" dxfId="1090" priority="1090">
      <formula>"Aceita"</formula>
    </cfRule>
  </conditionalFormatting>
  <conditionalFormatting sqref="Y143">
    <cfRule type="cellIs" operator="equal" dxfId="1091" priority="1091">
      <formula>"Premium"</formula>
    </cfRule>
  </conditionalFormatting>
  <conditionalFormatting sqref="AA143">
    <cfRule type="cellIs" operator="equal" dxfId="1092" priority="1092">
      <formula>"Ativo"</formula>
    </cfRule>
  </conditionalFormatting>
  <conditionalFormatting sqref="AB143">
    <cfRule type="cellIs" operator="equal" dxfId="1093" priority="1093">
      <formula>"Garantia do vendedor"</formula>
    </cfRule>
  </conditionalFormatting>
  <conditionalFormatting sqref="AD143">
    <cfRule type="cellIs" operator="equal" dxfId="1094" priority="1094">
      <formula>"dias"</formula>
    </cfRule>
  </conditionalFormatting>
  <conditionalFormatting sqref="J144">
    <cfRule type="cellIs" operator="equal" dxfId="1095" priority="1095">
      <formula>"R$"</formula>
    </cfRule>
  </conditionalFormatting>
  <conditionalFormatting sqref="U144">
    <cfRule type="cellIs" operator="equal" dxfId="1096" priority="1096">
      <formula>"Novo"</formula>
    </cfRule>
  </conditionalFormatting>
  <conditionalFormatting sqref="W144">
    <cfRule type="cellIs" operator="equal" dxfId="1097" priority="1097">
      <formula>"Mercado Envios grátis"</formula>
    </cfRule>
  </conditionalFormatting>
  <conditionalFormatting sqref="X144">
    <cfRule type="cellIs" operator="equal" dxfId="1098" priority="1098">
      <formula>"Aceita"</formula>
    </cfRule>
  </conditionalFormatting>
  <conditionalFormatting sqref="Y144">
    <cfRule type="cellIs" operator="equal" dxfId="1099" priority="1099">
      <formula>"Clássico"</formula>
    </cfRule>
  </conditionalFormatting>
  <conditionalFormatting sqref="AA144">
    <cfRule type="cellIs" operator="equal" dxfId="1100" priority="1100">
      <formula>"Ativo"</formula>
    </cfRule>
  </conditionalFormatting>
  <conditionalFormatting sqref="AB144">
    <cfRule type="cellIs" operator="equal" dxfId="1101" priority="1101">
      <formula>"Garantia do vendedor"</formula>
    </cfRule>
  </conditionalFormatting>
  <conditionalFormatting sqref="AD144">
    <cfRule type="cellIs" operator="equal" dxfId="1102" priority="1102">
      <formula>"dias"</formula>
    </cfRule>
  </conditionalFormatting>
  <conditionalFormatting sqref="J145">
    <cfRule type="cellIs" operator="equal" dxfId="1103" priority="1103">
      <formula>"R$"</formula>
    </cfRule>
  </conditionalFormatting>
  <conditionalFormatting sqref="U145">
    <cfRule type="cellIs" operator="equal" dxfId="1104" priority="1104">
      <formula>"Novo"</formula>
    </cfRule>
  </conditionalFormatting>
  <conditionalFormatting sqref="W145">
    <cfRule type="cellIs" operator="equal" dxfId="1105" priority="1105">
      <formula>"Mercado Envios grátis"</formula>
    </cfRule>
  </conditionalFormatting>
  <conditionalFormatting sqref="X145">
    <cfRule type="cellIs" operator="equal" dxfId="1106" priority="1106">
      <formula>"Aceita"</formula>
    </cfRule>
  </conditionalFormatting>
  <conditionalFormatting sqref="Y145">
    <cfRule type="cellIs" operator="equal" dxfId="1107" priority="1107">
      <formula>"Premium"</formula>
    </cfRule>
  </conditionalFormatting>
  <conditionalFormatting sqref="AA145">
    <cfRule type="cellIs" operator="equal" dxfId="1108" priority="1108">
      <formula>"Ativo"</formula>
    </cfRule>
  </conditionalFormatting>
  <conditionalFormatting sqref="AB145">
    <cfRule type="cellIs" operator="equal" dxfId="1109" priority="1109">
      <formula>"Garantia do vendedor"</formula>
    </cfRule>
  </conditionalFormatting>
  <conditionalFormatting sqref="AD145">
    <cfRule type="cellIs" operator="equal" dxfId="1110" priority="1110">
      <formula>"dias"</formula>
    </cfRule>
  </conditionalFormatting>
  <conditionalFormatting sqref="J146">
    <cfRule type="cellIs" operator="equal" dxfId="1111" priority="1111">
      <formula>"R$"</formula>
    </cfRule>
  </conditionalFormatting>
  <conditionalFormatting sqref="U146">
    <cfRule type="cellIs" operator="equal" dxfId="1112" priority="1112">
      <formula>"Novo"</formula>
    </cfRule>
  </conditionalFormatting>
  <conditionalFormatting sqref="W146">
    <cfRule type="cellIs" operator="equal" dxfId="1113" priority="1113">
      <formula>"Mercado Envios grátis"</formula>
    </cfRule>
  </conditionalFormatting>
  <conditionalFormatting sqref="X146">
    <cfRule type="cellIs" operator="equal" dxfId="1114" priority="1114">
      <formula>"Aceita"</formula>
    </cfRule>
  </conditionalFormatting>
  <conditionalFormatting sqref="Y146">
    <cfRule type="cellIs" operator="equal" dxfId="1115" priority="1115">
      <formula>"Premium"</formula>
    </cfRule>
  </conditionalFormatting>
  <conditionalFormatting sqref="AA146">
    <cfRule type="cellIs" operator="equal" dxfId="1116" priority="1116">
      <formula>"Ativo"</formula>
    </cfRule>
  </conditionalFormatting>
  <conditionalFormatting sqref="AB146">
    <cfRule type="cellIs" operator="equal" dxfId="1117" priority="1117">
      <formula>"Garantia do vendedor"</formula>
    </cfRule>
  </conditionalFormatting>
  <conditionalFormatting sqref="AD146">
    <cfRule type="cellIs" operator="equal" dxfId="1118" priority="1118">
      <formula>"dias"</formula>
    </cfRule>
  </conditionalFormatting>
  <conditionalFormatting sqref="J147">
    <cfRule type="cellIs" operator="equal" dxfId="1119" priority="1119">
      <formula>"R$"</formula>
    </cfRule>
  </conditionalFormatting>
  <conditionalFormatting sqref="U147">
    <cfRule type="cellIs" operator="equal" dxfId="1120" priority="1120">
      <formula>"Novo"</formula>
    </cfRule>
  </conditionalFormatting>
  <conditionalFormatting sqref="W147">
    <cfRule type="cellIs" operator="equal" dxfId="1121" priority="1121">
      <formula>"Mercado Envios grátis"</formula>
    </cfRule>
  </conditionalFormatting>
  <conditionalFormatting sqref="X147">
    <cfRule type="cellIs" operator="equal" dxfId="1122" priority="1122">
      <formula>"Aceita"</formula>
    </cfRule>
  </conditionalFormatting>
  <conditionalFormatting sqref="Y147">
    <cfRule type="cellIs" operator="equal" dxfId="1123" priority="1123">
      <formula>"Premium"</formula>
    </cfRule>
  </conditionalFormatting>
  <conditionalFormatting sqref="AA147">
    <cfRule type="cellIs" operator="equal" dxfId="1124" priority="1124">
      <formula>"Ativo"</formula>
    </cfRule>
  </conditionalFormatting>
  <conditionalFormatting sqref="AB147">
    <cfRule type="cellIs" operator="equal" dxfId="1125" priority="1125">
      <formula>"Garantia do vendedor"</formula>
    </cfRule>
  </conditionalFormatting>
  <conditionalFormatting sqref="AD147">
    <cfRule type="cellIs" operator="equal" dxfId="1126" priority="1126">
      <formula>"dias"</formula>
    </cfRule>
  </conditionalFormatting>
  <conditionalFormatting sqref="J148">
    <cfRule type="cellIs" operator="equal" dxfId="1127" priority="1127">
      <formula>"R$"</formula>
    </cfRule>
  </conditionalFormatting>
  <conditionalFormatting sqref="U148">
    <cfRule type="cellIs" operator="equal" dxfId="1128" priority="1128">
      <formula>"Novo"</formula>
    </cfRule>
  </conditionalFormatting>
  <conditionalFormatting sqref="W148">
    <cfRule type="cellIs" operator="equal" dxfId="1129" priority="1129">
      <formula>"Mercado Envios grátis"</formula>
    </cfRule>
  </conditionalFormatting>
  <conditionalFormatting sqref="X148">
    <cfRule type="cellIs" operator="equal" dxfId="1130" priority="1130">
      <formula>"Aceita"</formula>
    </cfRule>
  </conditionalFormatting>
  <conditionalFormatting sqref="Y148">
    <cfRule type="cellIs" operator="equal" dxfId="1131" priority="1131">
      <formula>"Premium"</formula>
    </cfRule>
  </conditionalFormatting>
  <conditionalFormatting sqref="AA148">
    <cfRule type="cellIs" operator="equal" dxfId="1132" priority="1132">
      <formula>"Ativo"</formula>
    </cfRule>
  </conditionalFormatting>
  <conditionalFormatting sqref="AB148">
    <cfRule type="cellIs" operator="equal" dxfId="1133" priority="1133">
      <formula>"Garantia do vendedor"</formula>
    </cfRule>
  </conditionalFormatting>
  <conditionalFormatting sqref="AD148">
    <cfRule type="cellIs" operator="equal" dxfId="1134" priority="1134">
      <formula>"dias"</formula>
    </cfRule>
  </conditionalFormatting>
  <conditionalFormatting sqref="J149">
    <cfRule type="cellIs" operator="equal" dxfId="1135" priority="1135">
      <formula>"R$"</formula>
    </cfRule>
  </conditionalFormatting>
  <conditionalFormatting sqref="U149">
    <cfRule type="cellIs" operator="equal" dxfId="1136" priority="1136">
      <formula>"Novo"</formula>
    </cfRule>
  </conditionalFormatting>
  <conditionalFormatting sqref="W149">
    <cfRule type="cellIs" operator="equal" dxfId="1137" priority="1137">
      <formula>"Mercado Envios grátis"</formula>
    </cfRule>
  </conditionalFormatting>
  <conditionalFormatting sqref="X149">
    <cfRule type="cellIs" operator="equal" dxfId="1138" priority="1138">
      <formula>"Aceita"</formula>
    </cfRule>
  </conditionalFormatting>
  <conditionalFormatting sqref="Y149">
    <cfRule type="cellIs" operator="equal" dxfId="1139" priority="1139">
      <formula>"Premium"</formula>
    </cfRule>
  </conditionalFormatting>
  <conditionalFormatting sqref="AA149">
    <cfRule type="cellIs" operator="equal" dxfId="1140" priority="1140">
      <formula>"Ativo"</formula>
    </cfRule>
  </conditionalFormatting>
  <conditionalFormatting sqref="AB149">
    <cfRule type="cellIs" operator="equal" dxfId="1141" priority="1141">
      <formula>"Garantia de fábrica"</formula>
    </cfRule>
  </conditionalFormatting>
  <conditionalFormatting sqref="AD149">
    <cfRule type="cellIs" operator="equal" dxfId="1142" priority="1142">
      <formula>"dias"</formula>
    </cfRule>
  </conditionalFormatting>
  <conditionalFormatting sqref="J150">
    <cfRule type="cellIs" operator="equal" dxfId="1143" priority="1143">
      <formula>"R$"</formula>
    </cfRule>
  </conditionalFormatting>
  <conditionalFormatting sqref="U150">
    <cfRule type="cellIs" operator="equal" dxfId="1144" priority="1144">
      <formula>"Novo"</formula>
    </cfRule>
  </conditionalFormatting>
  <conditionalFormatting sqref="W150">
    <cfRule type="cellIs" operator="equal" dxfId="1145" priority="1145">
      <formula>"Mercado Envios grátis"</formula>
    </cfRule>
  </conditionalFormatting>
  <conditionalFormatting sqref="X150">
    <cfRule type="cellIs" operator="equal" dxfId="1146" priority="1146">
      <formula>"Aceita"</formula>
    </cfRule>
  </conditionalFormatting>
  <conditionalFormatting sqref="Y150">
    <cfRule type="cellIs" operator="equal" dxfId="1147" priority="1147">
      <formula>"Premium"</formula>
    </cfRule>
  </conditionalFormatting>
  <conditionalFormatting sqref="AA150">
    <cfRule type="cellIs" operator="equal" dxfId="1148" priority="1148">
      <formula>"Ativo"</formula>
    </cfRule>
  </conditionalFormatting>
  <conditionalFormatting sqref="AB150">
    <cfRule type="cellIs" operator="equal" dxfId="1149" priority="1149">
      <formula>"Garantia do vendedor"</formula>
    </cfRule>
  </conditionalFormatting>
  <conditionalFormatting sqref="AD150">
    <cfRule type="cellIs" operator="equal" dxfId="1150" priority="1150">
      <formula>"dias"</formula>
    </cfRule>
  </conditionalFormatting>
  <conditionalFormatting sqref="J151">
    <cfRule type="cellIs" operator="equal" dxfId="1151" priority="1151">
      <formula>"R$"</formula>
    </cfRule>
  </conditionalFormatting>
  <conditionalFormatting sqref="U151">
    <cfRule type="cellIs" operator="equal" dxfId="1152" priority="1152">
      <formula>"Novo"</formula>
    </cfRule>
  </conditionalFormatting>
  <conditionalFormatting sqref="W151">
    <cfRule type="cellIs" operator="equal" dxfId="1153" priority="1153">
      <formula>"Mercado Envios por conta do comprador"</formula>
    </cfRule>
  </conditionalFormatting>
  <conditionalFormatting sqref="X151">
    <cfRule type="cellIs" operator="equal" dxfId="1154" priority="1154">
      <formula>"Aceita"</formula>
    </cfRule>
  </conditionalFormatting>
  <conditionalFormatting sqref="Y151">
    <cfRule type="cellIs" operator="equal" dxfId="1155" priority="1155">
      <formula>"Premium"</formula>
    </cfRule>
  </conditionalFormatting>
  <conditionalFormatting sqref="AA151">
    <cfRule type="cellIs" operator="equal" dxfId="1156" priority="1156">
      <formula>"Ativo"</formula>
    </cfRule>
  </conditionalFormatting>
  <conditionalFormatting sqref="AB151">
    <cfRule type="cellIs" operator="equal" dxfId="1157" priority="1157">
      <formula>"Garantia do vendedor"</formula>
    </cfRule>
  </conditionalFormatting>
  <conditionalFormatting sqref="AD151">
    <cfRule type="cellIs" operator="equal" dxfId="1158" priority="1158">
      <formula>"dias"</formula>
    </cfRule>
  </conditionalFormatting>
  <conditionalFormatting sqref="J152">
    <cfRule type="cellIs" operator="equal" dxfId="1159" priority="1159">
      <formula>"R$"</formula>
    </cfRule>
  </conditionalFormatting>
  <conditionalFormatting sqref="U152">
    <cfRule type="cellIs" operator="equal" dxfId="1160" priority="1160">
      <formula>"Novo"</formula>
    </cfRule>
  </conditionalFormatting>
  <conditionalFormatting sqref="W152">
    <cfRule type="cellIs" operator="equal" dxfId="1161" priority="1161">
      <formula>"Mercado Envios por conta do comprador"</formula>
    </cfRule>
  </conditionalFormatting>
  <conditionalFormatting sqref="X152">
    <cfRule type="cellIs" operator="equal" dxfId="1162" priority="1162">
      <formula>"Aceita"</formula>
    </cfRule>
  </conditionalFormatting>
  <conditionalFormatting sqref="Y152">
    <cfRule type="cellIs" operator="equal" dxfId="1163" priority="1163">
      <formula>"Clássico"</formula>
    </cfRule>
  </conditionalFormatting>
  <conditionalFormatting sqref="AA152">
    <cfRule type="cellIs" operator="equal" dxfId="1164" priority="1164">
      <formula>"Ativo"</formula>
    </cfRule>
  </conditionalFormatting>
  <conditionalFormatting sqref="AB152">
    <cfRule type="cellIs" operator="equal" dxfId="1165" priority="1165">
      <formula>"Garantia do vendedor"</formula>
    </cfRule>
  </conditionalFormatting>
  <conditionalFormatting sqref="AD152">
    <cfRule type="cellIs" operator="equal" dxfId="1166" priority="1166">
      <formula>"dias"</formula>
    </cfRule>
  </conditionalFormatting>
  <conditionalFormatting sqref="J153">
    <cfRule type="cellIs" operator="equal" dxfId="1167" priority="1167">
      <formula>"R$"</formula>
    </cfRule>
  </conditionalFormatting>
  <conditionalFormatting sqref="U153">
    <cfRule type="cellIs" operator="equal" dxfId="1168" priority="1168">
      <formula>"Novo"</formula>
    </cfRule>
  </conditionalFormatting>
  <conditionalFormatting sqref="W153">
    <cfRule type="cellIs" operator="equal" dxfId="1169" priority="1169">
      <formula>"Mercado Envios por conta do comprador"</formula>
    </cfRule>
  </conditionalFormatting>
  <conditionalFormatting sqref="X153">
    <cfRule type="cellIs" operator="equal" dxfId="1170" priority="1170">
      <formula>"Aceita"</formula>
    </cfRule>
  </conditionalFormatting>
  <conditionalFormatting sqref="Y153">
    <cfRule type="cellIs" operator="equal" dxfId="1171" priority="1171">
      <formula>"Clássico"</formula>
    </cfRule>
  </conditionalFormatting>
  <conditionalFormatting sqref="AA153">
    <cfRule type="cellIs" operator="equal" dxfId="1172" priority="1172">
      <formula>"Ativo"</formula>
    </cfRule>
  </conditionalFormatting>
  <conditionalFormatting sqref="AB153">
    <cfRule type="cellIs" operator="equal" dxfId="1173" priority="1173">
      <formula>"Garantia do vendedor"</formula>
    </cfRule>
  </conditionalFormatting>
  <conditionalFormatting sqref="AD153">
    <cfRule type="cellIs" operator="equal" dxfId="1174" priority="1174">
      <formula>"dias"</formula>
    </cfRule>
  </conditionalFormatting>
  <conditionalFormatting sqref="J154">
    <cfRule type="cellIs" operator="equal" dxfId="1175" priority="1175">
      <formula>"R$"</formula>
    </cfRule>
  </conditionalFormatting>
  <conditionalFormatting sqref="U154">
    <cfRule type="cellIs" operator="equal" dxfId="1176" priority="1176">
      <formula>"Novo"</formula>
    </cfRule>
  </conditionalFormatting>
  <conditionalFormatting sqref="W154">
    <cfRule type="cellIs" operator="equal" dxfId="1177" priority="1177">
      <formula>"Mercado Envios por conta do comprador"</formula>
    </cfRule>
  </conditionalFormatting>
  <conditionalFormatting sqref="X154">
    <cfRule type="cellIs" operator="equal" dxfId="1178" priority="1178">
      <formula>"Não aceito"</formula>
    </cfRule>
  </conditionalFormatting>
  <conditionalFormatting sqref="Y154">
    <cfRule type="cellIs" operator="equal" dxfId="1179" priority="1179">
      <formula>"Premium"</formula>
    </cfRule>
  </conditionalFormatting>
  <conditionalFormatting sqref="AA154">
    <cfRule type="cellIs" operator="equal" dxfId="1180" priority="1180">
      <formula>"Ativo"</formula>
    </cfRule>
  </conditionalFormatting>
  <conditionalFormatting sqref="AB154">
    <cfRule type="cellIs" operator="equal" dxfId="1181" priority="1181">
      <formula>"Garantia do vendedor"</formula>
    </cfRule>
  </conditionalFormatting>
  <conditionalFormatting sqref="AD154">
    <cfRule type="cellIs" operator="equal" dxfId="1182" priority="1182">
      <formula>"dias"</formula>
    </cfRule>
  </conditionalFormatting>
  <conditionalFormatting sqref="J155">
    <cfRule type="cellIs" operator="equal" dxfId="1183" priority="1183">
      <formula>"R$"</formula>
    </cfRule>
  </conditionalFormatting>
  <conditionalFormatting sqref="U155">
    <cfRule type="cellIs" operator="equal" dxfId="1184" priority="1184">
      <formula>"Novo"</formula>
    </cfRule>
  </conditionalFormatting>
  <conditionalFormatting sqref="W155">
    <cfRule type="cellIs" operator="equal" dxfId="1185" priority="1185">
      <formula>"Mercado Envios por conta do comprador"</formula>
    </cfRule>
  </conditionalFormatting>
  <conditionalFormatting sqref="X155">
    <cfRule type="cellIs" operator="equal" dxfId="1186" priority="1186">
      <formula>"Não aceito"</formula>
    </cfRule>
  </conditionalFormatting>
  <conditionalFormatting sqref="Y155">
    <cfRule type="cellIs" operator="equal" dxfId="1187" priority="1187">
      <formula>"Premium"</formula>
    </cfRule>
  </conditionalFormatting>
  <conditionalFormatting sqref="AA155">
    <cfRule type="cellIs" operator="equal" dxfId="1188" priority="1188">
      <formula>"Ativo"</formula>
    </cfRule>
  </conditionalFormatting>
  <conditionalFormatting sqref="AB155">
    <cfRule type="cellIs" operator="equal" dxfId="1189" priority="1189">
      <formula>"Garantia do vendedor"</formula>
    </cfRule>
  </conditionalFormatting>
  <conditionalFormatting sqref="AD155">
    <cfRule type="cellIs" operator="equal" dxfId="1190" priority="1190">
      <formula>"dias"</formula>
    </cfRule>
  </conditionalFormatting>
  <conditionalFormatting sqref="J156">
    <cfRule type="cellIs" operator="equal" dxfId="1191" priority="1191">
      <formula>"R$"</formula>
    </cfRule>
  </conditionalFormatting>
  <conditionalFormatting sqref="U156">
    <cfRule type="cellIs" operator="equal" dxfId="1192" priority="1192">
      <formula>"Novo"</formula>
    </cfRule>
  </conditionalFormatting>
  <conditionalFormatting sqref="W156">
    <cfRule type="cellIs" operator="equal" dxfId="1193" priority="1193">
      <formula>"Mercado Envios grátis"</formula>
    </cfRule>
  </conditionalFormatting>
  <conditionalFormatting sqref="X156">
    <cfRule type="cellIs" operator="equal" dxfId="1194" priority="1194">
      <formula>"Não aceito"</formula>
    </cfRule>
  </conditionalFormatting>
  <conditionalFormatting sqref="Y156">
    <cfRule type="cellIs" operator="equal" dxfId="1195" priority="1195">
      <formula>"Premium"</formula>
    </cfRule>
  </conditionalFormatting>
  <conditionalFormatting sqref="AA156">
    <cfRule type="cellIs" operator="equal" dxfId="1196" priority="1196">
      <formula>"Ativo"</formula>
    </cfRule>
  </conditionalFormatting>
  <conditionalFormatting sqref="AB156">
    <cfRule type="cellIs" operator="equal" dxfId="1197" priority="1197">
      <formula>"Garantia do vendedor"</formula>
    </cfRule>
  </conditionalFormatting>
  <conditionalFormatting sqref="AD156">
    <cfRule type="cellIs" operator="equal" dxfId="1198" priority="1198">
      <formula>"dias"</formula>
    </cfRule>
  </conditionalFormatting>
  <conditionalFormatting sqref="J157">
    <cfRule type="cellIs" operator="equal" dxfId="1199" priority="1199">
      <formula>"R$"</formula>
    </cfRule>
  </conditionalFormatting>
  <conditionalFormatting sqref="U157">
    <cfRule type="cellIs" operator="equal" dxfId="1200" priority="1200">
      <formula>"Novo"</formula>
    </cfRule>
  </conditionalFormatting>
  <conditionalFormatting sqref="W157">
    <cfRule type="cellIs" operator="equal" dxfId="1201" priority="1201">
      <formula>"Mercado Envios grátis"</formula>
    </cfRule>
  </conditionalFormatting>
  <conditionalFormatting sqref="X157">
    <cfRule type="cellIs" operator="equal" dxfId="1202" priority="1202">
      <formula>"Não aceito"</formula>
    </cfRule>
  </conditionalFormatting>
  <conditionalFormatting sqref="Y157">
    <cfRule type="cellIs" operator="equal" dxfId="1203" priority="1203">
      <formula>"Premium"</formula>
    </cfRule>
  </conditionalFormatting>
  <conditionalFormatting sqref="AA157">
    <cfRule type="cellIs" operator="equal" dxfId="1204" priority="1204">
      <formula>"Ativo"</formula>
    </cfRule>
  </conditionalFormatting>
  <conditionalFormatting sqref="AB157">
    <cfRule type="cellIs" operator="equal" dxfId="1205" priority="1205">
      <formula>"Garantia do vendedor"</formula>
    </cfRule>
  </conditionalFormatting>
  <conditionalFormatting sqref="AD157">
    <cfRule type="cellIs" operator="equal" dxfId="1206" priority="1206">
      <formula>"dias"</formula>
    </cfRule>
  </conditionalFormatting>
  <conditionalFormatting sqref="J158">
    <cfRule type="cellIs" operator="equal" dxfId="1207" priority="1207">
      <formula>"R$"</formula>
    </cfRule>
  </conditionalFormatting>
  <conditionalFormatting sqref="U158">
    <cfRule type="cellIs" operator="equal" dxfId="1208" priority="1208">
      <formula>"Novo"</formula>
    </cfRule>
  </conditionalFormatting>
  <conditionalFormatting sqref="W158">
    <cfRule type="cellIs" operator="equal" dxfId="1209" priority="1209">
      <formula>"Mercado Envios grátis"</formula>
    </cfRule>
  </conditionalFormatting>
  <conditionalFormatting sqref="X158">
    <cfRule type="cellIs" operator="equal" dxfId="1210" priority="1210">
      <formula>"Não aceito"</formula>
    </cfRule>
  </conditionalFormatting>
  <conditionalFormatting sqref="Y158">
    <cfRule type="cellIs" operator="equal" dxfId="1211" priority="1211">
      <formula>"Premium"</formula>
    </cfRule>
  </conditionalFormatting>
  <conditionalFormatting sqref="AA158">
    <cfRule type="cellIs" operator="equal" dxfId="1212" priority="1212">
      <formula>"Ativo"</formula>
    </cfRule>
  </conditionalFormatting>
  <conditionalFormatting sqref="AB158">
    <cfRule type="cellIs" operator="equal" dxfId="1213" priority="1213">
      <formula>"Garantia do vendedor"</formula>
    </cfRule>
  </conditionalFormatting>
  <conditionalFormatting sqref="AD158">
    <cfRule type="cellIs" operator="equal" dxfId="1214" priority="1214">
      <formula>"dias"</formula>
    </cfRule>
  </conditionalFormatting>
  <conditionalFormatting sqref="J159">
    <cfRule type="cellIs" operator="equal" dxfId="1215" priority="1215">
      <formula>"R$"</formula>
    </cfRule>
  </conditionalFormatting>
  <conditionalFormatting sqref="U159">
    <cfRule type="cellIs" operator="equal" dxfId="1216" priority="1216">
      <formula>"Novo"</formula>
    </cfRule>
  </conditionalFormatting>
  <conditionalFormatting sqref="W159">
    <cfRule type="cellIs" operator="equal" dxfId="1217" priority="1217">
      <formula>"Mercado Envios grátis"</formula>
    </cfRule>
  </conditionalFormatting>
  <conditionalFormatting sqref="X159">
    <cfRule type="cellIs" operator="equal" dxfId="1218" priority="1218">
      <formula>"Não aceito"</formula>
    </cfRule>
  </conditionalFormatting>
  <conditionalFormatting sqref="Y159">
    <cfRule type="cellIs" operator="equal" dxfId="1219" priority="1219">
      <formula>"Premium"</formula>
    </cfRule>
  </conditionalFormatting>
  <conditionalFormatting sqref="AA159">
    <cfRule type="cellIs" operator="equal" dxfId="1220" priority="1220">
      <formula>"Ativo"</formula>
    </cfRule>
  </conditionalFormatting>
  <conditionalFormatting sqref="AB159">
    <cfRule type="cellIs" operator="equal" dxfId="1221" priority="1221">
      <formula>"Garantia do vendedor"</formula>
    </cfRule>
  </conditionalFormatting>
  <conditionalFormatting sqref="AD159">
    <cfRule type="cellIs" operator="equal" dxfId="1222" priority="1222">
      <formula>"dias"</formula>
    </cfRule>
  </conditionalFormatting>
  <conditionalFormatting sqref="J160">
    <cfRule type="cellIs" operator="equal" dxfId="1223" priority="1223">
      <formula>"R$"</formula>
    </cfRule>
  </conditionalFormatting>
  <conditionalFormatting sqref="U160">
    <cfRule type="cellIs" operator="equal" dxfId="1224" priority="1224">
      <formula>"Novo"</formula>
    </cfRule>
  </conditionalFormatting>
  <conditionalFormatting sqref="W160">
    <cfRule type="cellIs" operator="equal" dxfId="1225" priority="1225">
      <formula>"Mercado Envios grátis"</formula>
    </cfRule>
  </conditionalFormatting>
  <conditionalFormatting sqref="X160">
    <cfRule type="cellIs" operator="equal" dxfId="1226" priority="1226">
      <formula>"Não aceito"</formula>
    </cfRule>
  </conditionalFormatting>
  <conditionalFormatting sqref="Y160">
    <cfRule type="cellIs" operator="equal" dxfId="1227" priority="1227">
      <formula>"Premium"</formula>
    </cfRule>
  </conditionalFormatting>
  <conditionalFormatting sqref="AA160">
    <cfRule type="cellIs" operator="equal" dxfId="1228" priority="1228">
      <formula>"Ativo"</formula>
    </cfRule>
  </conditionalFormatting>
  <conditionalFormatting sqref="AB160">
    <cfRule type="cellIs" operator="equal" dxfId="1229" priority="1229">
      <formula>"Sem garantia"</formula>
    </cfRule>
  </conditionalFormatting>
  <conditionalFormatting sqref="AD160">
    <cfRule type="cellIs" operator="equal" dxfId="1230" priority="1230">
      <formula>""</formula>
    </cfRule>
  </conditionalFormatting>
  <conditionalFormatting sqref="J161">
    <cfRule type="cellIs" operator="equal" dxfId="1231" priority="1231">
      <formula>"R$"</formula>
    </cfRule>
  </conditionalFormatting>
  <conditionalFormatting sqref="U161">
    <cfRule type="cellIs" operator="equal" dxfId="1232" priority="1232">
      <formula>"Novo"</formula>
    </cfRule>
  </conditionalFormatting>
  <conditionalFormatting sqref="W161">
    <cfRule type="cellIs" operator="equal" dxfId="1233" priority="1233">
      <formula>"Mercado Envios grátis"</formula>
    </cfRule>
  </conditionalFormatting>
  <conditionalFormatting sqref="X161">
    <cfRule type="cellIs" operator="equal" dxfId="1234" priority="1234">
      <formula>"Não aceito"</formula>
    </cfRule>
  </conditionalFormatting>
  <conditionalFormatting sqref="Y161">
    <cfRule type="cellIs" operator="equal" dxfId="1235" priority="1235">
      <formula>"Premium"</formula>
    </cfRule>
  </conditionalFormatting>
  <conditionalFormatting sqref="AA161">
    <cfRule type="cellIs" operator="equal" dxfId="1236" priority="1236">
      <formula>"Ativo"</formula>
    </cfRule>
  </conditionalFormatting>
  <conditionalFormatting sqref="AB161">
    <cfRule type="cellIs" operator="equal" dxfId="1237" priority="1237">
      <formula>"Sem garantia"</formula>
    </cfRule>
  </conditionalFormatting>
  <conditionalFormatting sqref="AD161">
    <cfRule type="cellIs" operator="equal" dxfId="1238" priority="1238">
      <formula>""</formula>
    </cfRule>
  </conditionalFormatting>
  <conditionalFormatting sqref="J162">
    <cfRule type="cellIs" operator="equal" dxfId="1239" priority="1239">
      <formula>"R$"</formula>
    </cfRule>
  </conditionalFormatting>
  <conditionalFormatting sqref="U162">
    <cfRule type="cellIs" operator="equal" dxfId="1240" priority="1240">
      <formula>"Novo"</formula>
    </cfRule>
  </conditionalFormatting>
  <conditionalFormatting sqref="W162">
    <cfRule type="cellIs" operator="equal" dxfId="1241" priority="1241">
      <formula>"Mercado Envios grátis"</formula>
    </cfRule>
  </conditionalFormatting>
  <conditionalFormatting sqref="X162">
    <cfRule type="cellIs" operator="equal" dxfId="1242" priority="1242">
      <formula>"Não aceito"</formula>
    </cfRule>
  </conditionalFormatting>
  <conditionalFormatting sqref="Y162">
    <cfRule type="cellIs" operator="equal" dxfId="1243" priority="1243">
      <formula>"Clássico"</formula>
    </cfRule>
  </conditionalFormatting>
  <conditionalFormatting sqref="AA162">
    <cfRule type="cellIs" operator="equal" dxfId="1244" priority="1244">
      <formula>"Ativo"</formula>
    </cfRule>
  </conditionalFormatting>
  <conditionalFormatting sqref="AB162">
    <cfRule type="cellIs" operator="equal" dxfId="1245" priority="1245">
      <formula>"Garantia do vendedor"</formula>
    </cfRule>
  </conditionalFormatting>
  <conditionalFormatting sqref="AD162">
    <cfRule type="cellIs" operator="equal" dxfId="1246" priority="1246">
      <formula>"dias"</formula>
    </cfRule>
  </conditionalFormatting>
  <conditionalFormatting sqref="J163">
    <cfRule type="cellIs" operator="equal" dxfId="1247" priority="1247">
      <formula>"R$"</formula>
    </cfRule>
  </conditionalFormatting>
  <conditionalFormatting sqref="U163">
    <cfRule type="cellIs" operator="equal" dxfId="1248" priority="1248">
      <formula>"Novo"</formula>
    </cfRule>
  </conditionalFormatting>
  <conditionalFormatting sqref="W163">
    <cfRule type="cellIs" operator="equal" dxfId="1249" priority="1249">
      <formula>"Mercado Envios por conta do comprador"</formula>
    </cfRule>
  </conditionalFormatting>
  <conditionalFormatting sqref="X163">
    <cfRule type="cellIs" operator="equal" dxfId="1250" priority="1250">
      <formula>"Não aceito"</formula>
    </cfRule>
  </conditionalFormatting>
  <conditionalFormatting sqref="Y163">
    <cfRule type="cellIs" operator="equal" dxfId="1251" priority="1251">
      <formula>"Clássico"</formula>
    </cfRule>
  </conditionalFormatting>
  <conditionalFormatting sqref="AA163">
    <cfRule type="cellIs" operator="equal" dxfId="1252" priority="1252">
      <formula>"Ativo"</formula>
    </cfRule>
  </conditionalFormatting>
  <conditionalFormatting sqref="AB163">
    <cfRule type="cellIs" operator="equal" dxfId="1253" priority="1253">
      <formula>"Garantia do vendedor"</formula>
    </cfRule>
  </conditionalFormatting>
  <conditionalFormatting sqref="AD163">
    <cfRule type="cellIs" operator="equal" dxfId="1254" priority="1254">
      <formula>"dias"</formula>
    </cfRule>
  </conditionalFormatting>
  <conditionalFormatting sqref="J164">
    <cfRule type="cellIs" operator="equal" dxfId="1255" priority="1255">
      <formula>"R$"</formula>
    </cfRule>
  </conditionalFormatting>
  <conditionalFormatting sqref="W164">
    <cfRule type="cellIs" operator="equal" dxfId="1256" priority="1256">
      <formula>"Mercado Envios grátis"</formula>
    </cfRule>
  </conditionalFormatting>
  <conditionalFormatting sqref="X164">
    <cfRule type="cellIs" operator="equal" dxfId="1257" priority="1257">
      <formula>"Não aceito"</formula>
    </cfRule>
  </conditionalFormatting>
  <conditionalFormatting sqref="Y164">
    <cfRule type="cellIs" operator="equal" dxfId="1258" priority="1258">
      <formula>"Premium"</formula>
    </cfRule>
  </conditionalFormatting>
  <conditionalFormatting sqref="AA164">
    <cfRule type="cellIs" operator="equal" dxfId="1259" priority="1259">
      <formula>"Ativo"</formula>
    </cfRule>
  </conditionalFormatting>
  <conditionalFormatting sqref="AB164">
    <cfRule type="cellIs" operator="equal" dxfId="1260" priority="1260">
      <formula>"Garantia do vendedor"</formula>
    </cfRule>
  </conditionalFormatting>
  <conditionalFormatting sqref="AD164">
    <cfRule type="cellIs" operator="equal" dxfId="1261" priority="1261">
      <formula>"dias"</formula>
    </cfRule>
  </conditionalFormatting>
  <conditionalFormatting sqref="J165">
    <cfRule type="cellIs" operator="equal" dxfId="1262" priority="1262">
      <formula>"R$"</formula>
    </cfRule>
  </conditionalFormatting>
  <conditionalFormatting sqref="U165">
    <cfRule type="cellIs" operator="equal" dxfId="1263" priority="1263">
      <formula>"Novo"</formula>
    </cfRule>
  </conditionalFormatting>
  <conditionalFormatting sqref="W165">
    <cfRule type="cellIs" operator="equal" dxfId="1264" priority="1264">
      <formula>"Mercado Envios por conta do comprador"</formula>
    </cfRule>
  </conditionalFormatting>
  <conditionalFormatting sqref="X165">
    <cfRule type="cellIs" operator="equal" dxfId="1265" priority="1265">
      <formula>"Não aceito"</formula>
    </cfRule>
  </conditionalFormatting>
  <conditionalFormatting sqref="Y165">
    <cfRule type="cellIs" operator="equal" dxfId="1266" priority="1266">
      <formula>"Clássico"</formula>
    </cfRule>
  </conditionalFormatting>
  <conditionalFormatting sqref="AA165">
    <cfRule type="cellIs" operator="equal" dxfId="1267" priority="1267">
      <formula>"Ativo"</formula>
    </cfRule>
  </conditionalFormatting>
  <conditionalFormatting sqref="AB165">
    <cfRule type="cellIs" operator="equal" dxfId="1268" priority="1268">
      <formula>"Garantia do vendedor"</formula>
    </cfRule>
  </conditionalFormatting>
  <conditionalFormatting sqref="AD165">
    <cfRule type="cellIs" operator="equal" dxfId="1269" priority="1269">
      <formula>"dias"</formula>
    </cfRule>
  </conditionalFormatting>
  <conditionalFormatting sqref="J166">
    <cfRule type="cellIs" operator="equal" dxfId="1270" priority="1270">
      <formula>"R$"</formula>
    </cfRule>
  </conditionalFormatting>
  <conditionalFormatting sqref="U166">
    <cfRule type="cellIs" operator="equal" dxfId="1271" priority="1271">
      <formula>"Novo"</formula>
    </cfRule>
  </conditionalFormatting>
  <conditionalFormatting sqref="W166">
    <cfRule type="cellIs" operator="equal" dxfId="1272" priority="1272">
      <formula>"Mercado Envios por conta do comprador"</formula>
    </cfRule>
  </conditionalFormatting>
  <conditionalFormatting sqref="X166">
    <cfRule type="cellIs" operator="equal" dxfId="1273" priority="1273">
      <formula>"Não aceito"</formula>
    </cfRule>
  </conditionalFormatting>
  <conditionalFormatting sqref="Y166">
    <cfRule type="cellIs" operator="equal" dxfId="1274" priority="1274">
      <formula>"Clássico"</formula>
    </cfRule>
  </conditionalFormatting>
  <conditionalFormatting sqref="AA166">
    <cfRule type="cellIs" operator="equal" dxfId="1275" priority="1275">
      <formula>"Ativo"</formula>
    </cfRule>
  </conditionalFormatting>
  <conditionalFormatting sqref="AB166">
    <cfRule type="cellIs" operator="equal" dxfId="1276" priority="1276">
      <formula>"Garantia do vendedor"</formula>
    </cfRule>
  </conditionalFormatting>
  <conditionalFormatting sqref="AD166">
    <cfRule type="cellIs" operator="equal" dxfId="1277" priority="1277">
      <formula>"dias"</formula>
    </cfRule>
  </conditionalFormatting>
  <conditionalFormatting sqref="J167">
    <cfRule type="cellIs" operator="equal" dxfId="1278" priority="1278">
      <formula>"R$"</formula>
    </cfRule>
  </conditionalFormatting>
  <conditionalFormatting sqref="U167">
    <cfRule type="cellIs" operator="equal" dxfId="1279" priority="1279">
      <formula>"Novo"</formula>
    </cfRule>
  </conditionalFormatting>
  <conditionalFormatting sqref="W167">
    <cfRule type="cellIs" operator="equal" dxfId="1280" priority="1280">
      <formula>"Mercado Envios grátis"</formula>
    </cfRule>
  </conditionalFormatting>
  <conditionalFormatting sqref="X167">
    <cfRule type="cellIs" operator="equal" dxfId="1281" priority="1281">
      <formula>"Não aceito"</formula>
    </cfRule>
  </conditionalFormatting>
  <conditionalFormatting sqref="Y167">
    <cfRule type="cellIs" operator="equal" dxfId="1282" priority="1282">
      <formula>"Clássico"</formula>
    </cfRule>
  </conditionalFormatting>
  <conditionalFormatting sqref="AA167">
    <cfRule type="cellIs" operator="equal" dxfId="1283" priority="1283">
      <formula>"Ativo"</formula>
    </cfRule>
  </conditionalFormatting>
  <conditionalFormatting sqref="AB167">
    <cfRule type="cellIs" operator="equal" dxfId="1284" priority="1284">
      <formula>"Garantia do vendedor"</formula>
    </cfRule>
  </conditionalFormatting>
  <conditionalFormatting sqref="AD167">
    <cfRule type="cellIs" operator="equal" dxfId="1285" priority="1285">
      <formula>"dias"</formula>
    </cfRule>
  </conditionalFormatting>
  <conditionalFormatting sqref="J168">
    <cfRule type="cellIs" operator="equal" dxfId="1286" priority="1286">
      <formula>"R$"</formula>
    </cfRule>
  </conditionalFormatting>
  <conditionalFormatting sqref="U168">
    <cfRule type="cellIs" operator="equal" dxfId="1287" priority="1287">
      <formula>"Novo"</formula>
    </cfRule>
  </conditionalFormatting>
  <conditionalFormatting sqref="W168">
    <cfRule type="cellIs" operator="equal" dxfId="1288" priority="1288">
      <formula>"Mercado Envios grátis"</formula>
    </cfRule>
  </conditionalFormatting>
  <conditionalFormatting sqref="X168">
    <cfRule type="cellIs" operator="equal" dxfId="1289" priority="1289">
      <formula>"Não aceito"</formula>
    </cfRule>
  </conditionalFormatting>
  <conditionalFormatting sqref="Y168">
    <cfRule type="cellIs" operator="equal" dxfId="1290" priority="1290">
      <formula>"Premium"</formula>
    </cfRule>
  </conditionalFormatting>
  <conditionalFormatting sqref="AA168">
    <cfRule type="cellIs" operator="equal" dxfId="1291" priority="1291">
      <formula>"Ativo"</formula>
    </cfRule>
  </conditionalFormatting>
  <conditionalFormatting sqref="AB168">
    <cfRule type="cellIs" operator="equal" dxfId="1292" priority="1292">
      <formula>"Garantia do vendedor"</formula>
    </cfRule>
  </conditionalFormatting>
  <conditionalFormatting sqref="AD168">
    <cfRule type="cellIs" operator="equal" dxfId="1293" priority="1293">
      <formula>"dias"</formula>
    </cfRule>
  </conditionalFormatting>
  <conditionalFormatting sqref="J169">
    <cfRule type="cellIs" operator="equal" dxfId="1294" priority="1294">
      <formula>"R$"</formula>
    </cfRule>
  </conditionalFormatting>
  <conditionalFormatting sqref="U169">
    <cfRule type="cellIs" operator="equal" dxfId="1295" priority="1295">
      <formula>"Novo"</formula>
    </cfRule>
  </conditionalFormatting>
  <conditionalFormatting sqref="W169">
    <cfRule type="cellIs" operator="equal" dxfId="1296" priority="1296">
      <formula>"Mercado Envios grátis"</formula>
    </cfRule>
  </conditionalFormatting>
  <conditionalFormatting sqref="X169">
    <cfRule type="cellIs" operator="equal" dxfId="1297" priority="1297">
      <formula>"Não aceito"</formula>
    </cfRule>
  </conditionalFormatting>
  <conditionalFormatting sqref="Y169">
    <cfRule type="cellIs" operator="equal" dxfId="1298" priority="1298">
      <formula>"Premium"</formula>
    </cfRule>
  </conditionalFormatting>
  <conditionalFormatting sqref="AA169">
    <cfRule type="cellIs" operator="equal" dxfId="1299" priority="1299">
      <formula>"Ativo"</formula>
    </cfRule>
  </conditionalFormatting>
  <conditionalFormatting sqref="AB169">
    <cfRule type="cellIs" operator="equal" dxfId="1300" priority="1300">
      <formula>"Garantia do vendedor"</formula>
    </cfRule>
  </conditionalFormatting>
  <conditionalFormatting sqref="AD169">
    <cfRule type="cellIs" operator="equal" dxfId="1301" priority="1301">
      <formula>"dias"</formula>
    </cfRule>
  </conditionalFormatting>
  <conditionalFormatting sqref="J170">
    <cfRule type="cellIs" operator="equal" dxfId="1302" priority="1302">
      <formula>"R$"</formula>
    </cfRule>
  </conditionalFormatting>
  <conditionalFormatting sqref="U170">
    <cfRule type="cellIs" operator="equal" dxfId="1303" priority="1303">
      <formula>"Novo"</formula>
    </cfRule>
  </conditionalFormatting>
  <conditionalFormatting sqref="W170">
    <cfRule type="cellIs" operator="equal" dxfId="1304" priority="1304">
      <formula>"Mercado Envios grátis"</formula>
    </cfRule>
  </conditionalFormatting>
  <conditionalFormatting sqref="X170">
    <cfRule type="cellIs" operator="equal" dxfId="1305" priority="1305">
      <formula>"Não aceito"</formula>
    </cfRule>
  </conditionalFormatting>
  <conditionalFormatting sqref="Y170">
    <cfRule type="cellIs" operator="equal" dxfId="1306" priority="1306">
      <formula>"Premium"</formula>
    </cfRule>
  </conditionalFormatting>
  <conditionalFormatting sqref="AA170">
    <cfRule type="cellIs" operator="equal" dxfId="1307" priority="1307">
      <formula>"Ativo"</formula>
    </cfRule>
  </conditionalFormatting>
  <conditionalFormatting sqref="AB170">
    <cfRule type="cellIs" operator="equal" dxfId="1308" priority="1308">
      <formula>"Garantia do vendedor"</formula>
    </cfRule>
  </conditionalFormatting>
  <conditionalFormatting sqref="AD170">
    <cfRule type="cellIs" operator="equal" dxfId="1309" priority="1309">
      <formula>"dias"</formula>
    </cfRule>
  </conditionalFormatting>
  <conditionalFormatting sqref="J171">
    <cfRule type="cellIs" operator="equal" dxfId="1310" priority="1310">
      <formula>"R$"</formula>
    </cfRule>
  </conditionalFormatting>
  <conditionalFormatting sqref="U171">
    <cfRule type="cellIs" operator="equal" dxfId="1311" priority="1311">
      <formula>"Novo"</formula>
    </cfRule>
  </conditionalFormatting>
  <conditionalFormatting sqref="W171">
    <cfRule type="cellIs" operator="equal" dxfId="1312" priority="1312">
      <formula>"Mercado Envios por conta do comprador"</formula>
    </cfRule>
  </conditionalFormatting>
  <conditionalFormatting sqref="X171">
    <cfRule type="cellIs" operator="equal" dxfId="1313" priority="1313">
      <formula>"Não aceito"</formula>
    </cfRule>
  </conditionalFormatting>
  <conditionalFormatting sqref="Y171">
    <cfRule type="cellIs" operator="equal" dxfId="1314" priority="1314">
      <formula>"Clássico"</formula>
    </cfRule>
  </conditionalFormatting>
  <conditionalFormatting sqref="AA171">
    <cfRule type="cellIs" operator="equal" dxfId="1315" priority="1315">
      <formula>"Ativo"</formula>
    </cfRule>
  </conditionalFormatting>
  <conditionalFormatting sqref="AB171">
    <cfRule type="cellIs" operator="equal" dxfId="1316" priority="1316">
      <formula>"Garantia do vendedor"</formula>
    </cfRule>
  </conditionalFormatting>
  <conditionalFormatting sqref="AD171">
    <cfRule type="cellIs" operator="equal" dxfId="1317" priority="1317">
      <formula>"dias"</formula>
    </cfRule>
  </conditionalFormatting>
  <conditionalFormatting sqref="J172">
    <cfRule type="cellIs" operator="equal" dxfId="1318" priority="1318">
      <formula>"R$"</formula>
    </cfRule>
  </conditionalFormatting>
  <conditionalFormatting sqref="U172">
    <cfRule type="cellIs" operator="equal" dxfId="1319" priority="1319">
      <formula>"Novo"</formula>
    </cfRule>
  </conditionalFormatting>
  <conditionalFormatting sqref="W172">
    <cfRule type="cellIs" operator="equal" dxfId="1320" priority="1320">
      <formula>"Mercado Envios grátis"</formula>
    </cfRule>
  </conditionalFormatting>
  <conditionalFormatting sqref="X172">
    <cfRule type="cellIs" operator="equal" dxfId="1321" priority="1321">
      <formula>"Não aceito"</formula>
    </cfRule>
  </conditionalFormatting>
  <conditionalFormatting sqref="Y172">
    <cfRule type="cellIs" operator="equal" dxfId="1322" priority="1322">
      <formula>"Premium"</formula>
    </cfRule>
  </conditionalFormatting>
  <conditionalFormatting sqref="AA172">
    <cfRule type="cellIs" operator="equal" dxfId="1323" priority="1323">
      <formula>"Ativo"</formula>
    </cfRule>
  </conditionalFormatting>
  <conditionalFormatting sqref="AB172">
    <cfRule type="cellIs" operator="equal" dxfId="1324" priority="1324">
      <formula>"Garantia do vendedor"</formula>
    </cfRule>
  </conditionalFormatting>
  <conditionalFormatting sqref="AD172">
    <cfRule type="cellIs" operator="equal" dxfId="1325" priority="1325">
      <formula>"dias"</formula>
    </cfRule>
  </conditionalFormatting>
  <conditionalFormatting sqref="J173">
    <cfRule type="cellIs" operator="equal" dxfId="1326" priority="1326">
      <formula>"R$"</formula>
    </cfRule>
  </conditionalFormatting>
  <conditionalFormatting sqref="U173">
    <cfRule type="cellIs" operator="equal" dxfId="1327" priority="1327">
      <formula>"Novo"</formula>
    </cfRule>
  </conditionalFormatting>
  <conditionalFormatting sqref="W173">
    <cfRule type="cellIs" operator="equal" dxfId="1328" priority="1328">
      <formula>"Mercado Envios grátis"</formula>
    </cfRule>
  </conditionalFormatting>
  <conditionalFormatting sqref="X173">
    <cfRule type="cellIs" operator="equal" dxfId="1329" priority="1329">
      <formula>"Aceita"</formula>
    </cfRule>
  </conditionalFormatting>
  <conditionalFormatting sqref="Y173">
    <cfRule type="cellIs" operator="equal" dxfId="1330" priority="1330">
      <formula>"Premium"</formula>
    </cfRule>
  </conditionalFormatting>
  <conditionalFormatting sqref="AA173">
    <cfRule type="cellIs" operator="equal" dxfId="1331" priority="1331">
      <formula>"Ativo"</formula>
    </cfRule>
  </conditionalFormatting>
  <conditionalFormatting sqref="AB173">
    <cfRule type="cellIs" operator="equal" dxfId="1332" priority="1332">
      <formula>"Garantia do vendedor"</formula>
    </cfRule>
  </conditionalFormatting>
  <conditionalFormatting sqref="AD173">
    <cfRule type="cellIs" operator="equal" dxfId="1333" priority="1333">
      <formula>"dias"</formula>
    </cfRule>
  </conditionalFormatting>
  <conditionalFormatting sqref="J174">
    <cfRule type="cellIs" operator="equal" dxfId="1334" priority="1334">
      <formula>"R$"</formula>
    </cfRule>
  </conditionalFormatting>
  <conditionalFormatting sqref="U174">
    <cfRule type="cellIs" operator="equal" dxfId="1335" priority="1335">
      <formula>"Novo"</formula>
    </cfRule>
  </conditionalFormatting>
  <conditionalFormatting sqref="W174">
    <cfRule type="cellIs" operator="equal" dxfId="1336" priority="1336">
      <formula>"Mercado Envios grátis"</formula>
    </cfRule>
  </conditionalFormatting>
  <conditionalFormatting sqref="X174">
    <cfRule type="cellIs" operator="equal" dxfId="1337" priority="1337">
      <formula>"Aceita"</formula>
    </cfRule>
  </conditionalFormatting>
  <conditionalFormatting sqref="Y174">
    <cfRule type="cellIs" operator="equal" dxfId="1338" priority="1338">
      <formula>"Clássico"</formula>
    </cfRule>
  </conditionalFormatting>
  <conditionalFormatting sqref="AA174">
    <cfRule type="cellIs" operator="equal" dxfId="1339" priority="1339">
      <formula>"Ativo"</formula>
    </cfRule>
  </conditionalFormatting>
  <conditionalFormatting sqref="AB174">
    <cfRule type="cellIs" operator="equal" dxfId="1340" priority="1340">
      <formula>"Garantia do vendedor"</formula>
    </cfRule>
  </conditionalFormatting>
  <conditionalFormatting sqref="AD174">
    <cfRule type="cellIs" operator="equal" dxfId="1341" priority="1341">
      <formula>"dias"</formula>
    </cfRule>
  </conditionalFormatting>
  <conditionalFormatting sqref="J175">
    <cfRule type="cellIs" operator="equal" dxfId="1342" priority="1342">
      <formula>"R$"</formula>
    </cfRule>
  </conditionalFormatting>
  <conditionalFormatting sqref="U175">
    <cfRule type="cellIs" operator="equal" dxfId="1343" priority="1343">
      <formula>"Novo"</formula>
    </cfRule>
  </conditionalFormatting>
  <conditionalFormatting sqref="W175">
    <cfRule type="cellIs" operator="equal" dxfId="1344" priority="1344">
      <formula>"Mercado Envios grátis"</formula>
    </cfRule>
  </conditionalFormatting>
  <conditionalFormatting sqref="X175">
    <cfRule type="cellIs" operator="equal" dxfId="1345" priority="1345">
      <formula>"Aceita"</formula>
    </cfRule>
  </conditionalFormatting>
  <conditionalFormatting sqref="Y175">
    <cfRule type="cellIs" operator="equal" dxfId="1346" priority="1346">
      <formula>"Premium"</formula>
    </cfRule>
  </conditionalFormatting>
  <conditionalFormatting sqref="AA175">
    <cfRule type="cellIs" operator="equal" dxfId="1347" priority="1347">
      <formula>"Ativo"</formula>
    </cfRule>
  </conditionalFormatting>
  <conditionalFormatting sqref="AB175">
    <cfRule type="cellIs" operator="equal" dxfId="1348" priority="1348">
      <formula>"Garantia do vendedor"</formula>
    </cfRule>
  </conditionalFormatting>
  <conditionalFormatting sqref="AD175">
    <cfRule type="cellIs" operator="equal" dxfId="1349" priority="1349">
      <formula>"dias"</formula>
    </cfRule>
  </conditionalFormatting>
  <conditionalFormatting sqref="J176">
    <cfRule type="cellIs" operator="equal" dxfId="1350" priority="1350">
      <formula>"R$"</formula>
    </cfRule>
  </conditionalFormatting>
  <conditionalFormatting sqref="U176">
    <cfRule type="cellIs" operator="equal" dxfId="1351" priority="1351">
      <formula>"Novo"</formula>
    </cfRule>
  </conditionalFormatting>
  <conditionalFormatting sqref="W176">
    <cfRule type="cellIs" operator="equal" dxfId="1352" priority="1352">
      <formula>"Frete grátis por conta própria"</formula>
    </cfRule>
  </conditionalFormatting>
  <conditionalFormatting sqref="X176">
    <cfRule type="cellIs" operator="equal" dxfId="1353" priority="1353">
      <formula>"Aceita"</formula>
    </cfRule>
  </conditionalFormatting>
  <conditionalFormatting sqref="Y176">
    <cfRule type="cellIs" operator="equal" dxfId="1354" priority="1354">
      <formula>"Premium"</formula>
    </cfRule>
  </conditionalFormatting>
  <conditionalFormatting sqref="AA176">
    <cfRule type="cellIs" operator="equal" dxfId="1355" priority="1355">
      <formula>"Ativo"</formula>
    </cfRule>
  </conditionalFormatting>
  <conditionalFormatting sqref="AB176">
    <cfRule type="cellIs" operator="equal" dxfId="1356" priority="1356">
      <formula>"Garantia do vendedor"</formula>
    </cfRule>
  </conditionalFormatting>
  <conditionalFormatting sqref="AD176">
    <cfRule type="cellIs" operator="equal" dxfId="1357" priority="1357">
      <formula>"dias"</formula>
    </cfRule>
  </conditionalFormatting>
  <conditionalFormatting sqref="J177">
    <cfRule type="cellIs" operator="equal" dxfId="1358" priority="1358">
      <formula>"R$"</formula>
    </cfRule>
  </conditionalFormatting>
  <conditionalFormatting sqref="U177">
    <cfRule type="cellIs" operator="equal" dxfId="1359" priority="1359">
      <formula>"Novo"</formula>
    </cfRule>
  </conditionalFormatting>
  <conditionalFormatting sqref="W177">
    <cfRule type="cellIs" operator="equal" dxfId="1360" priority="1360">
      <formula>"Mercado Envios grátis"</formula>
    </cfRule>
  </conditionalFormatting>
  <conditionalFormatting sqref="X177">
    <cfRule type="cellIs" operator="equal" dxfId="1361" priority="1361">
      <formula>"Aceita"</formula>
    </cfRule>
  </conditionalFormatting>
  <conditionalFormatting sqref="Y177">
    <cfRule type="cellIs" operator="equal" dxfId="1362" priority="1362">
      <formula>"Clássico"</formula>
    </cfRule>
  </conditionalFormatting>
  <conditionalFormatting sqref="AA177">
    <cfRule type="cellIs" operator="equal" dxfId="1363" priority="1363">
      <formula>"Ativo"</formula>
    </cfRule>
  </conditionalFormatting>
  <conditionalFormatting sqref="AB177">
    <cfRule type="cellIs" operator="equal" dxfId="1364" priority="1364">
      <formula>"Garantia do vendedor"</formula>
    </cfRule>
  </conditionalFormatting>
  <conditionalFormatting sqref="AD177">
    <cfRule type="cellIs" operator="equal" dxfId="1365" priority="1365">
      <formula>"dias"</formula>
    </cfRule>
  </conditionalFormatting>
  <conditionalFormatting sqref="J178">
    <cfRule type="cellIs" operator="equal" dxfId="1366" priority="1366">
      <formula>"R$"</formula>
    </cfRule>
  </conditionalFormatting>
  <conditionalFormatting sqref="U178">
    <cfRule type="cellIs" operator="equal" dxfId="1367" priority="1367">
      <formula>"Novo"</formula>
    </cfRule>
  </conditionalFormatting>
  <conditionalFormatting sqref="W178">
    <cfRule type="cellIs" operator="equal" dxfId="1368" priority="1368">
      <formula>"Mercado Envios grátis"</formula>
    </cfRule>
  </conditionalFormatting>
  <conditionalFormatting sqref="X178">
    <cfRule type="cellIs" operator="equal" dxfId="1369" priority="1369">
      <formula>"Aceita"</formula>
    </cfRule>
  </conditionalFormatting>
  <conditionalFormatting sqref="Y178">
    <cfRule type="cellIs" operator="equal" dxfId="1370" priority="1370">
      <formula>"Premium"</formula>
    </cfRule>
  </conditionalFormatting>
  <conditionalFormatting sqref="AA178">
    <cfRule type="cellIs" operator="equal" dxfId="1371" priority="1371">
      <formula>"Ativo"</formula>
    </cfRule>
  </conditionalFormatting>
  <conditionalFormatting sqref="AB178">
    <cfRule type="cellIs" operator="equal" dxfId="1372" priority="1372">
      <formula>"Garantia do vendedor"</formula>
    </cfRule>
  </conditionalFormatting>
  <conditionalFormatting sqref="AD178">
    <cfRule type="cellIs" operator="equal" dxfId="1373" priority="1373">
      <formula>"dias"</formula>
    </cfRule>
  </conditionalFormatting>
  <conditionalFormatting sqref="J179">
    <cfRule type="cellIs" operator="equal" dxfId="1374" priority="1374">
      <formula>"R$"</formula>
    </cfRule>
  </conditionalFormatting>
  <conditionalFormatting sqref="U179">
    <cfRule type="cellIs" operator="equal" dxfId="1375" priority="1375">
      <formula>"Novo"</formula>
    </cfRule>
  </conditionalFormatting>
  <conditionalFormatting sqref="W179">
    <cfRule type="cellIs" operator="equal" dxfId="1376" priority="1376">
      <formula>"Mercado Envios grátis"</formula>
    </cfRule>
  </conditionalFormatting>
  <conditionalFormatting sqref="X179">
    <cfRule type="cellIs" operator="equal" dxfId="1377" priority="1377">
      <formula>"Não aceito"</formula>
    </cfRule>
  </conditionalFormatting>
  <conditionalFormatting sqref="Y179">
    <cfRule type="cellIs" operator="equal" dxfId="1378" priority="1378">
      <formula>"Clássico"</formula>
    </cfRule>
  </conditionalFormatting>
  <conditionalFormatting sqref="AA179">
    <cfRule type="cellIs" operator="equal" dxfId="1379" priority="1379">
      <formula>"Ativo"</formula>
    </cfRule>
  </conditionalFormatting>
  <conditionalFormatting sqref="AB179">
    <cfRule type="cellIs" operator="equal" dxfId="1380" priority="1380">
      <formula>"Garantia do vendedor"</formula>
    </cfRule>
  </conditionalFormatting>
  <conditionalFormatting sqref="AD179">
    <cfRule type="cellIs" operator="equal" dxfId="1381" priority="1381">
      <formula>"dias"</formula>
    </cfRule>
  </conditionalFormatting>
  <conditionalFormatting sqref="J180">
    <cfRule type="cellIs" operator="equal" dxfId="1382" priority="1382">
      <formula>"R$"</formula>
    </cfRule>
  </conditionalFormatting>
  <conditionalFormatting sqref="U180">
    <cfRule type="cellIs" operator="equal" dxfId="1383" priority="1383">
      <formula>"Novo"</formula>
    </cfRule>
  </conditionalFormatting>
  <conditionalFormatting sqref="W180">
    <cfRule type="cellIs" operator="equal" dxfId="1384" priority="1384">
      <formula>"Mercado Envios grátis"</formula>
    </cfRule>
  </conditionalFormatting>
  <conditionalFormatting sqref="X180">
    <cfRule type="cellIs" operator="equal" dxfId="1385" priority="1385">
      <formula>"Aceita"</formula>
    </cfRule>
  </conditionalFormatting>
  <conditionalFormatting sqref="Y180">
    <cfRule type="cellIs" operator="equal" dxfId="1386" priority="1386">
      <formula>"Clássico"</formula>
    </cfRule>
  </conditionalFormatting>
  <conditionalFormatting sqref="AA180">
    <cfRule type="cellIs" operator="equal" dxfId="1387" priority="1387">
      <formula>"Ativo"</formula>
    </cfRule>
  </conditionalFormatting>
  <conditionalFormatting sqref="AB180">
    <cfRule type="cellIs" operator="equal" dxfId="1388" priority="1388">
      <formula>"Garantia do vendedor"</formula>
    </cfRule>
  </conditionalFormatting>
  <conditionalFormatting sqref="AD180">
    <cfRule type="cellIs" operator="equal" dxfId="1389" priority="1389">
      <formula>"dias"</formula>
    </cfRule>
  </conditionalFormatting>
  <conditionalFormatting sqref="J181">
    <cfRule type="cellIs" operator="equal" dxfId="1390" priority="1390">
      <formula>"R$"</formula>
    </cfRule>
  </conditionalFormatting>
  <conditionalFormatting sqref="U181">
    <cfRule type="cellIs" operator="equal" dxfId="1391" priority="1391">
      <formula>"Novo"</formula>
    </cfRule>
  </conditionalFormatting>
  <conditionalFormatting sqref="W181">
    <cfRule type="cellIs" operator="equal" dxfId="1392" priority="1392">
      <formula>"Mercado Envios por conta do comprador"</formula>
    </cfRule>
  </conditionalFormatting>
  <conditionalFormatting sqref="X181">
    <cfRule type="cellIs" operator="equal" dxfId="1393" priority="1393">
      <formula>"Aceita"</formula>
    </cfRule>
  </conditionalFormatting>
  <conditionalFormatting sqref="Y181">
    <cfRule type="cellIs" operator="equal" dxfId="1394" priority="1394">
      <formula>"Clássico"</formula>
    </cfRule>
  </conditionalFormatting>
  <conditionalFormatting sqref="AA181">
    <cfRule type="cellIs" operator="equal" dxfId="1395" priority="1395">
      <formula>"Ativo"</formula>
    </cfRule>
  </conditionalFormatting>
  <conditionalFormatting sqref="AB181">
    <cfRule type="cellIs" operator="equal" dxfId="1396" priority="1396">
      <formula>"Garantia do vendedor"</formula>
    </cfRule>
  </conditionalFormatting>
  <conditionalFormatting sqref="AD181">
    <cfRule type="cellIs" operator="equal" dxfId="1397" priority="1397">
      <formula>"dias"</formula>
    </cfRule>
  </conditionalFormatting>
  <conditionalFormatting sqref="J182">
    <cfRule type="cellIs" operator="equal" dxfId="1398" priority="1398">
      <formula>"R$"</formula>
    </cfRule>
  </conditionalFormatting>
  <conditionalFormatting sqref="U182">
    <cfRule type="cellIs" operator="equal" dxfId="1399" priority="1399">
      <formula>"Novo"</formula>
    </cfRule>
  </conditionalFormatting>
  <conditionalFormatting sqref="W182">
    <cfRule type="cellIs" operator="equal" dxfId="1400" priority="1400">
      <formula>"Mercado Envios por conta do comprador"</formula>
    </cfRule>
  </conditionalFormatting>
  <conditionalFormatting sqref="X182">
    <cfRule type="cellIs" operator="equal" dxfId="1401" priority="1401">
      <formula>"Aceita"</formula>
    </cfRule>
  </conditionalFormatting>
  <conditionalFormatting sqref="Y182">
    <cfRule type="cellIs" operator="equal" dxfId="1402" priority="1402">
      <formula>"Clássico"</formula>
    </cfRule>
  </conditionalFormatting>
  <conditionalFormatting sqref="AA182">
    <cfRule type="cellIs" operator="equal" dxfId="1403" priority="1403">
      <formula>"Ativo"</formula>
    </cfRule>
  </conditionalFormatting>
  <conditionalFormatting sqref="AB182">
    <cfRule type="cellIs" operator="equal" dxfId="1404" priority="1404">
      <formula>"Garantia do vendedor"</formula>
    </cfRule>
  </conditionalFormatting>
  <conditionalFormatting sqref="AD182">
    <cfRule type="cellIs" operator="equal" dxfId="1405" priority="1405">
      <formula>"dias"</formula>
    </cfRule>
  </conditionalFormatting>
  <conditionalFormatting sqref="J183">
    <cfRule type="cellIs" operator="equal" dxfId="1406" priority="1406">
      <formula>"R$"</formula>
    </cfRule>
  </conditionalFormatting>
  <conditionalFormatting sqref="U183">
    <cfRule type="cellIs" operator="equal" dxfId="1407" priority="1407">
      <formula>"Novo"</formula>
    </cfRule>
  </conditionalFormatting>
  <conditionalFormatting sqref="W183">
    <cfRule type="cellIs" operator="equal" dxfId="1408" priority="1408">
      <formula>"Mercado Envios por conta do comprador"</formula>
    </cfRule>
  </conditionalFormatting>
  <conditionalFormatting sqref="X183">
    <cfRule type="cellIs" operator="equal" dxfId="1409" priority="1409">
      <formula>"Aceita"</formula>
    </cfRule>
  </conditionalFormatting>
  <conditionalFormatting sqref="Y183">
    <cfRule type="cellIs" operator="equal" dxfId="1410" priority="1410">
      <formula>"Clássico"</formula>
    </cfRule>
  </conditionalFormatting>
  <conditionalFormatting sqref="AA183">
    <cfRule type="cellIs" operator="equal" dxfId="1411" priority="1411">
      <formula>"Ativo"</formula>
    </cfRule>
  </conditionalFormatting>
  <conditionalFormatting sqref="AB183">
    <cfRule type="cellIs" operator="equal" dxfId="1412" priority="1412">
      <formula>"Garantia do vendedor"</formula>
    </cfRule>
  </conditionalFormatting>
  <conditionalFormatting sqref="AD183">
    <cfRule type="cellIs" operator="equal" dxfId="1413" priority="1413">
      <formula>"dias"</formula>
    </cfRule>
  </conditionalFormatting>
  <conditionalFormatting sqref="J184">
    <cfRule type="cellIs" operator="equal" dxfId="1414" priority="1414">
      <formula>"R$"</formula>
    </cfRule>
  </conditionalFormatting>
  <conditionalFormatting sqref="U184">
    <cfRule type="cellIs" operator="equal" dxfId="1415" priority="1415">
      <formula>"Novo"</formula>
    </cfRule>
  </conditionalFormatting>
  <conditionalFormatting sqref="W184">
    <cfRule type="cellIs" operator="equal" dxfId="1416" priority="1416">
      <formula>"Mercado Envios por conta do comprador"</formula>
    </cfRule>
  </conditionalFormatting>
  <conditionalFormatting sqref="X184">
    <cfRule type="cellIs" operator="equal" dxfId="1417" priority="1417">
      <formula>"Aceita"</formula>
    </cfRule>
  </conditionalFormatting>
  <conditionalFormatting sqref="Y184">
    <cfRule type="cellIs" operator="equal" dxfId="1418" priority="1418">
      <formula>"Clássico"</formula>
    </cfRule>
  </conditionalFormatting>
  <conditionalFormatting sqref="AA184">
    <cfRule type="cellIs" operator="equal" dxfId="1419" priority="1419">
      <formula>"Ativo"</formula>
    </cfRule>
  </conditionalFormatting>
  <conditionalFormatting sqref="AB184">
    <cfRule type="cellIs" operator="equal" dxfId="1420" priority="1420">
      <formula>"Garantia do vendedor"</formula>
    </cfRule>
  </conditionalFormatting>
  <conditionalFormatting sqref="AD184">
    <cfRule type="cellIs" operator="equal" dxfId="1421" priority="1421">
      <formula>"dias"</formula>
    </cfRule>
  </conditionalFormatting>
  <conditionalFormatting sqref="J185">
    <cfRule type="cellIs" operator="equal" dxfId="1422" priority="1422">
      <formula>"R$"</formula>
    </cfRule>
  </conditionalFormatting>
  <conditionalFormatting sqref="U185">
    <cfRule type="cellIs" operator="equal" dxfId="1423" priority="1423">
      <formula>"Novo"</formula>
    </cfRule>
  </conditionalFormatting>
  <conditionalFormatting sqref="W185">
    <cfRule type="cellIs" operator="equal" dxfId="1424" priority="1424">
      <formula>"Mercado Envios grátis"</formula>
    </cfRule>
  </conditionalFormatting>
  <conditionalFormatting sqref="X185">
    <cfRule type="cellIs" operator="equal" dxfId="1425" priority="1425">
      <formula>"Aceita"</formula>
    </cfRule>
  </conditionalFormatting>
  <conditionalFormatting sqref="Y185">
    <cfRule type="cellIs" operator="equal" dxfId="1426" priority="1426">
      <formula>"Premium"</formula>
    </cfRule>
  </conditionalFormatting>
  <conditionalFormatting sqref="AA185">
    <cfRule type="cellIs" operator="equal" dxfId="1427" priority="1427">
      <formula>"Ativo"</formula>
    </cfRule>
  </conditionalFormatting>
  <conditionalFormatting sqref="AB185">
    <cfRule type="cellIs" operator="equal" dxfId="1428" priority="1428">
      <formula>"Garantia do vendedor"</formula>
    </cfRule>
  </conditionalFormatting>
  <conditionalFormatting sqref="AD185">
    <cfRule type="cellIs" operator="equal" dxfId="1429" priority="1429">
      <formula>"dias"</formula>
    </cfRule>
  </conditionalFormatting>
  <conditionalFormatting sqref="J186">
    <cfRule type="cellIs" operator="equal" dxfId="1430" priority="1430">
      <formula>"R$"</formula>
    </cfRule>
  </conditionalFormatting>
  <conditionalFormatting sqref="U186">
    <cfRule type="cellIs" operator="equal" dxfId="1431" priority="1431">
      <formula>"Novo"</formula>
    </cfRule>
  </conditionalFormatting>
  <conditionalFormatting sqref="W186">
    <cfRule type="cellIs" operator="equal" dxfId="1432" priority="1432">
      <formula>"Mercado Envios grátis"</formula>
    </cfRule>
  </conditionalFormatting>
  <conditionalFormatting sqref="X186">
    <cfRule type="cellIs" operator="equal" dxfId="1433" priority="1433">
      <formula>"Aceita"</formula>
    </cfRule>
  </conditionalFormatting>
  <conditionalFormatting sqref="Y186">
    <cfRule type="cellIs" operator="equal" dxfId="1434" priority="1434">
      <formula>"Premium"</formula>
    </cfRule>
  </conditionalFormatting>
  <conditionalFormatting sqref="AA186">
    <cfRule type="cellIs" operator="equal" dxfId="1435" priority="1435">
      <formula>"Ativo"</formula>
    </cfRule>
  </conditionalFormatting>
  <conditionalFormatting sqref="AB186">
    <cfRule type="cellIs" operator="equal" dxfId="1436" priority="1436">
      <formula>"Garantia do vendedor"</formula>
    </cfRule>
  </conditionalFormatting>
  <conditionalFormatting sqref="AD186">
    <cfRule type="cellIs" operator="equal" dxfId="1437" priority="1437">
      <formula>"dias"</formula>
    </cfRule>
  </conditionalFormatting>
  <conditionalFormatting sqref="J187">
    <cfRule type="cellIs" operator="equal" dxfId="1438" priority="1438">
      <formula>"R$"</formula>
    </cfRule>
  </conditionalFormatting>
  <conditionalFormatting sqref="U187">
    <cfRule type="cellIs" operator="equal" dxfId="1439" priority="1439">
      <formula>"Novo"</formula>
    </cfRule>
  </conditionalFormatting>
  <conditionalFormatting sqref="W187">
    <cfRule type="cellIs" operator="equal" dxfId="1440" priority="1440">
      <formula>"Frete grátis por conta própria"</formula>
    </cfRule>
  </conditionalFormatting>
  <conditionalFormatting sqref="X187">
    <cfRule type="cellIs" operator="equal" dxfId="1441" priority="1441">
      <formula>"Aceita"</formula>
    </cfRule>
  </conditionalFormatting>
  <conditionalFormatting sqref="Y187">
    <cfRule type="cellIs" operator="equal" dxfId="1442" priority="1442">
      <formula>"Premium"</formula>
    </cfRule>
  </conditionalFormatting>
  <conditionalFormatting sqref="AA187">
    <cfRule type="cellIs" operator="equal" dxfId="1443" priority="1443">
      <formula>"Ativo"</formula>
    </cfRule>
  </conditionalFormatting>
  <conditionalFormatting sqref="AB187">
    <cfRule type="cellIs" operator="equal" dxfId="1444" priority="1444">
      <formula>"Garantia do vendedor"</formula>
    </cfRule>
  </conditionalFormatting>
  <conditionalFormatting sqref="AD187">
    <cfRule type="cellIs" operator="equal" dxfId="1445" priority="1445">
      <formula>"dias"</formula>
    </cfRule>
  </conditionalFormatting>
  <conditionalFormatting sqref="J188">
    <cfRule type="cellIs" operator="equal" dxfId="1446" priority="1446">
      <formula>"R$"</formula>
    </cfRule>
  </conditionalFormatting>
  <conditionalFormatting sqref="U188">
    <cfRule type="cellIs" operator="equal" dxfId="1447" priority="1447">
      <formula>"Novo"</formula>
    </cfRule>
  </conditionalFormatting>
  <conditionalFormatting sqref="W188">
    <cfRule type="cellIs" operator="equal" dxfId="1448" priority="1448">
      <formula>"Mercado Envios por conta do comprador"</formula>
    </cfRule>
  </conditionalFormatting>
  <conditionalFormatting sqref="X188">
    <cfRule type="cellIs" operator="equal" dxfId="1449" priority="1449">
      <formula>"Aceita"</formula>
    </cfRule>
  </conditionalFormatting>
  <conditionalFormatting sqref="Y188">
    <cfRule type="cellIs" operator="equal" dxfId="1450" priority="1450">
      <formula>"Clássico"</formula>
    </cfRule>
  </conditionalFormatting>
  <conditionalFormatting sqref="AA188">
    <cfRule type="cellIs" operator="equal" dxfId="1451" priority="1451">
      <formula>"Ativo"</formula>
    </cfRule>
  </conditionalFormatting>
  <conditionalFormatting sqref="AB188">
    <cfRule type="cellIs" operator="equal" dxfId="1452" priority="1452">
      <formula>"Garantia do vendedor"</formula>
    </cfRule>
  </conditionalFormatting>
  <conditionalFormatting sqref="AD188">
    <cfRule type="cellIs" operator="equal" dxfId="1453" priority="1453">
      <formula>"dias"</formula>
    </cfRule>
  </conditionalFormatting>
  <conditionalFormatting sqref="J189">
    <cfRule type="cellIs" operator="equal" dxfId="1454" priority="1454">
      <formula>"R$"</formula>
    </cfRule>
  </conditionalFormatting>
  <conditionalFormatting sqref="U189">
    <cfRule type="cellIs" operator="equal" dxfId="1455" priority="1455">
      <formula>"Novo"</formula>
    </cfRule>
  </conditionalFormatting>
  <conditionalFormatting sqref="W189">
    <cfRule type="cellIs" operator="equal" dxfId="1456" priority="1456">
      <formula>"Mercado Envios grátis"</formula>
    </cfRule>
  </conditionalFormatting>
  <conditionalFormatting sqref="X189">
    <cfRule type="cellIs" operator="equal" dxfId="1457" priority="1457">
      <formula>"Aceita"</formula>
    </cfRule>
  </conditionalFormatting>
  <conditionalFormatting sqref="Y189">
    <cfRule type="cellIs" operator="equal" dxfId="1458" priority="1458">
      <formula>"Premium"</formula>
    </cfRule>
  </conditionalFormatting>
  <conditionalFormatting sqref="AA189">
    <cfRule type="cellIs" operator="equal" dxfId="1459" priority="1459">
      <formula>"Ativo"</formula>
    </cfRule>
  </conditionalFormatting>
  <conditionalFormatting sqref="AB189">
    <cfRule type="cellIs" operator="equal" dxfId="1460" priority="1460">
      <formula>"Garantia do vendedor"</formula>
    </cfRule>
  </conditionalFormatting>
  <conditionalFormatting sqref="AD189">
    <cfRule type="cellIs" operator="equal" dxfId="1461" priority="1461">
      <formula>"dias"</formula>
    </cfRule>
  </conditionalFormatting>
  <conditionalFormatting sqref="J190">
    <cfRule type="cellIs" operator="equal" dxfId="1462" priority="1462">
      <formula>"R$"</formula>
    </cfRule>
  </conditionalFormatting>
  <conditionalFormatting sqref="U190">
    <cfRule type="cellIs" operator="equal" dxfId="1463" priority="1463">
      <formula>"Novo"</formula>
    </cfRule>
  </conditionalFormatting>
  <conditionalFormatting sqref="W190">
    <cfRule type="cellIs" operator="equal" dxfId="1464" priority="1464">
      <formula>"Mercado Envios grátis"</formula>
    </cfRule>
  </conditionalFormatting>
  <conditionalFormatting sqref="X190">
    <cfRule type="cellIs" operator="equal" dxfId="1465" priority="1465">
      <formula>"Aceita"</formula>
    </cfRule>
  </conditionalFormatting>
  <conditionalFormatting sqref="Y190">
    <cfRule type="cellIs" operator="equal" dxfId="1466" priority="1466">
      <formula>"Premium"</formula>
    </cfRule>
  </conditionalFormatting>
  <conditionalFormatting sqref="AA190">
    <cfRule type="cellIs" operator="equal" dxfId="1467" priority="1467">
      <formula>"Ativo"</formula>
    </cfRule>
  </conditionalFormatting>
  <conditionalFormatting sqref="AB190">
    <cfRule type="cellIs" operator="equal" dxfId="1468" priority="1468">
      <formula>"Garantia do vendedor"</formula>
    </cfRule>
  </conditionalFormatting>
  <conditionalFormatting sqref="AD190">
    <cfRule type="cellIs" operator="equal" dxfId="1469" priority="1469">
      <formula>"dias"</formula>
    </cfRule>
  </conditionalFormatting>
  <conditionalFormatting sqref="J191">
    <cfRule type="cellIs" operator="equal" dxfId="1470" priority="1470">
      <formula>"R$"</formula>
    </cfRule>
  </conditionalFormatting>
  <conditionalFormatting sqref="U191">
    <cfRule type="cellIs" operator="equal" dxfId="1471" priority="1471">
      <formula>"Novo"</formula>
    </cfRule>
  </conditionalFormatting>
  <conditionalFormatting sqref="W191">
    <cfRule type="cellIs" operator="equal" dxfId="1472" priority="1472">
      <formula>"Mercado Envios grátis"</formula>
    </cfRule>
  </conditionalFormatting>
  <conditionalFormatting sqref="X191">
    <cfRule type="cellIs" operator="equal" dxfId="1473" priority="1473">
      <formula>"Aceita"</formula>
    </cfRule>
  </conditionalFormatting>
  <conditionalFormatting sqref="Y191">
    <cfRule type="cellIs" operator="equal" dxfId="1474" priority="1474">
      <formula>"Clássico"</formula>
    </cfRule>
  </conditionalFormatting>
  <conditionalFormatting sqref="AA191">
    <cfRule type="cellIs" operator="equal" dxfId="1475" priority="1475">
      <formula>"Ativo"</formula>
    </cfRule>
  </conditionalFormatting>
  <conditionalFormatting sqref="AB191">
    <cfRule type="cellIs" operator="equal" dxfId="1476" priority="1476">
      <formula>"Garantia do vendedor"</formula>
    </cfRule>
  </conditionalFormatting>
  <conditionalFormatting sqref="AD191">
    <cfRule type="cellIs" operator="equal" dxfId="1477" priority="1477">
      <formula>"dias"</formula>
    </cfRule>
  </conditionalFormatting>
  <conditionalFormatting sqref="J192">
    <cfRule type="cellIs" operator="equal" dxfId="1478" priority="1478">
      <formula>"R$"</formula>
    </cfRule>
  </conditionalFormatting>
  <conditionalFormatting sqref="W192">
    <cfRule type="cellIs" operator="equal" dxfId="1479" priority="1479">
      <formula>"Mercado Envios grátis"</formula>
    </cfRule>
  </conditionalFormatting>
  <conditionalFormatting sqref="X192">
    <cfRule type="cellIs" operator="equal" dxfId="1480" priority="1480">
      <formula>"Aceita"</formula>
    </cfRule>
  </conditionalFormatting>
  <conditionalFormatting sqref="Y192">
    <cfRule type="cellIs" operator="equal" dxfId="1481" priority="1481">
      <formula>"Clássico"</formula>
    </cfRule>
  </conditionalFormatting>
  <conditionalFormatting sqref="AA192">
    <cfRule type="cellIs" operator="equal" dxfId="1482" priority="1482">
      <formula>"Ativo"</formula>
    </cfRule>
  </conditionalFormatting>
  <conditionalFormatting sqref="AB192">
    <cfRule type="cellIs" operator="equal" dxfId="1483" priority="1483">
      <formula>"Garantia do vendedor"</formula>
    </cfRule>
  </conditionalFormatting>
  <conditionalFormatting sqref="AD192">
    <cfRule type="cellIs" operator="equal" dxfId="1484" priority="1484">
      <formula>"dias"</formula>
    </cfRule>
  </conditionalFormatting>
  <conditionalFormatting sqref="J193">
    <cfRule type="cellIs" operator="equal" dxfId="1485" priority="1485">
      <formula>"R$"</formula>
    </cfRule>
  </conditionalFormatting>
  <conditionalFormatting sqref="U193">
    <cfRule type="cellIs" operator="equal" dxfId="1486" priority="1486">
      <formula>"Novo"</formula>
    </cfRule>
  </conditionalFormatting>
  <conditionalFormatting sqref="W193">
    <cfRule type="cellIs" operator="equal" dxfId="1487" priority="1487">
      <formula>"Mercado Envios grátis"</formula>
    </cfRule>
  </conditionalFormatting>
  <conditionalFormatting sqref="X193">
    <cfRule type="cellIs" operator="equal" dxfId="1488" priority="1488">
      <formula>"Aceita"</formula>
    </cfRule>
  </conditionalFormatting>
  <conditionalFormatting sqref="Y193">
    <cfRule type="cellIs" operator="equal" dxfId="1489" priority="1489">
      <formula>"Premium"</formula>
    </cfRule>
  </conditionalFormatting>
  <conditionalFormatting sqref="AA193">
    <cfRule type="cellIs" operator="equal" dxfId="1490" priority="1490">
      <formula>"Ativo"</formula>
    </cfRule>
  </conditionalFormatting>
  <conditionalFormatting sqref="AB193">
    <cfRule type="cellIs" operator="equal" dxfId="1491" priority="1491">
      <formula>"Garantia do vendedor"</formula>
    </cfRule>
  </conditionalFormatting>
  <conditionalFormatting sqref="AD193">
    <cfRule type="cellIs" operator="equal" dxfId="1492" priority="1492">
      <formula>"dias"</formula>
    </cfRule>
  </conditionalFormatting>
  <conditionalFormatting sqref="J194">
    <cfRule type="cellIs" operator="equal" dxfId="1493" priority="1493">
      <formula>"R$"</formula>
    </cfRule>
  </conditionalFormatting>
  <conditionalFormatting sqref="U194">
    <cfRule type="cellIs" operator="equal" dxfId="1494" priority="1494">
      <formula>"Novo"</formula>
    </cfRule>
  </conditionalFormatting>
  <conditionalFormatting sqref="W194">
    <cfRule type="cellIs" operator="equal" dxfId="1495" priority="1495">
      <formula>"Mercado Envios por conta do comprador"</formula>
    </cfRule>
  </conditionalFormatting>
  <conditionalFormatting sqref="X194">
    <cfRule type="cellIs" operator="equal" dxfId="1496" priority="1496">
      <formula>"Aceita"</formula>
    </cfRule>
  </conditionalFormatting>
  <conditionalFormatting sqref="Y194">
    <cfRule type="cellIs" operator="equal" dxfId="1497" priority="1497">
      <formula>"Premium"</formula>
    </cfRule>
  </conditionalFormatting>
  <conditionalFormatting sqref="AA194">
    <cfRule type="cellIs" operator="equal" dxfId="1498" priority="1498">
      <formula>"Ativo"</formula>
    </cfRule>
  </conditionalFormatting>
  <conditionalFormatting sqref="AB194">
    <cfRule type="cellIs" operator="equal" dxfId="1499" priority="1499">
      <formula>"Garantia do vendedor"</formula>
    </cfRule>
  </conditionalFormatting>
  <conditionalFormatting sqref="AD194">
    <cfRule type="cellIs" operator="equal" dxfId="1500" priority="1500">
      <formula>"dias"</formula>
    </cfRule>
  </conditionalFormatting>
  <conditionalFormatting sqref="J195">
    <cfRule type="cellIs" operator="equal" dxfId="1501" priority="1501">
      <formula>"R$"</formula>
    </cfRule>
  </conditionalFormatting>
  <conditionalFormatting sqref="U195">
    <cfRule type="cellIs" operator="equal" dxfId="1502" priority="1502">
      <formula>"Novo"</formula>
    </cfRule>
  </conditionalFormatting>
  <conditionalFormatting sqref="W195">
    <cfRule type="cellIs" operator="equal" dxfId="1503" priority="1503">
      <formula>"Mercado Envios grátis"</formula>
    </cfRule>
  </conditionalFormatting>
  <conditionalFormatting sqref="X195">
    <cfRule type="cellIs" operator="equal" dxfId="1504" priority="1504">
      <formula>"Aceita"</formula>
    </cfRule>
  </conditionalFormatting>
  <conditionalFormatting sqref="Y195">
    <cfRule type="cellIs" operator="equal" dxfId="1505" priority="1505">
      <formula>"Premium"</formula>
    </cfRule>
  </conditionalFormatting>
  <conditionalFormatting sqref="AA195">
    <cfRule type="cellIs" operator="equal" dxfId="1506" priority="1506">
      <formula>"Ativo"</formula>
    </cfRule>
  </conditionalFormatting>
  <conditionalFormatting sqref="AB195">
    <cfRule type="cellIs" operator="equal" dxfId="1507" priority="1507">
      <formula>"Garantia do vendedor"</formula>
    </cfRule>
  </conditionalFormatting>
  <conditionalFormatting sqref="AD195">
    <cfRule type="cellIs" operator="equal" dxfId="1508" priority="1508">
      <formula>"dias"</formula>
    </cfRule>
  </conditionalFormatting>
  <conditionalFormatting sqref="J196">
    <cfRule type="cellIs" operator="equal" dxfId="1509" priority="1509">
      <formula>"R$"</formula>
    </cfRule>
  </conditionalFormatting>
  <conditionalFormatting sqref="U196">
    <cfRule type="cellIs" operator="equal" dxfId="1510" priority="1510">
      <formula>"Novo"</formula>
    </cfRule>
  </conditionalFormatting>
  <conditionalFormatting sqref="W196">
    <cfRule type="cellIs" operator="equal" dxfId="1511" priority="1511">
      <formula>"Mercado Envios grátis"</formula>
    </cfRule>
  </conditionalFormatting>
  <conditionalFormatting sqref="X196">
    <cfRule type="cellIs" operator="equal" dxfId="1512" priority="1512">
      <formula>"Aceita"</formula>
    </cfRule>
  </conditionalFormatting>
  <conditionalFormatting sqref="Y196">
    <cfRule type="cellIs" operator="equal" dxfId="1513" priority="1513">
      <formula>"Premium"</formula>
    </cfRule>
  </conditionalFormatting>
  <conditionalFormatting sqref="AA196">
    <cfRule type="cellIs" operator="equal" dxfId="1514" priority="1514">
      <formula>"Ativo"</formula>
    </cfRule>
  </conditionalFormatting>
  <conditionalFormatting sqref="AB196">
    <cfRule type="cellIs" operator="equal" dxfId="1515" priority="1515">
      <formula>"Garantia do vendedor"</formula>
    </cfRule>
  </conditionalFormatting>
  <conditionalFormatting sqref="AD196">
    <cfRule type="cellIs" operator="equal" dxfId="1516" priority="1516">
      <formula>"dias"</formula>
    </cfRule>
  </conditionalFormatting>
  <conditionalFormatting sqref="J197">
    <cfRule type="cellIs" operator="equal" dxfId="1517" priority="1517">
      <formula>"R$"</formula>
    </cfRule>
  </conditionalFormatting>
  <conditionalFormatting sqref="U197">
    <cfRule type="cellIs" operator="equal" dxfId="1518" priority="1518">
      <formula>"Novo"</formula>
    </cfRule>
  </conditionalFormatting>
  <conditionalFormatting sqref="W197">
    <cfRule type="cellIs" operator="equal" dxfId="1519" priority="1519">
      <formula>"Mercado Envios grátis"</formula>
    </cfRule>
  </conditionalFormatting>
  <conditionalFormatting sqref="X197">
    <cfRule type="cellIs" operator="equal" dxfId="1520" priority="1520">
      <formula>"Aceita"</formula>
    </cfRule>
  </conditionalFormatting>
  <conditionalFormatting sqref="Y197">
    <cfRule type="cellIs" operator="equal" dxfId="1521" priority="1521">
      <formula>"Premium"</formula>
    </cfRule>
  </conditionalFormatting>
  <conditionalFormatting sqref="AA197">
    <cfRule type="cellIs" operator="equal" dxfId="1522" priority="1522">
      <formula>"Ativo"</formula>
    </cfRule>
  </conditionalFormatting>
  <conditionalFormatting sqref="AB197">
    <cfRule type="cellIs" operator="equal" dxfId="1523" priority="1523">
      <formula>"Garantia do vendedor"</formula>
    </cfRule>
  </conditionalFormatting>
  <conditionalFormatting sqref="AD197">
    <cfRule type="cellIs" operator="equal" dxfId="1524" priority="1524">
      <formula>"dias"</formula>
    </cfRule>
  </conditionalFormatting>
  <conditionalFormatting sqref="J198">
    <cfRule type="cellIs" operator="equal" dxfId="1525" priority="1525">
      <formula>"R$"</formula>
    </cfRule>
  </conditionalFormatting>
  <conditionalFormatting sqref="U198">
    <cfRule type="cellIs" operator="equal" dxfId="1526" priority="1526">
      <formula>"Novo"</formula>
    </cfRule>
  </conditionalFormatting>
  <conditionalFormatting sqref="W198">
    <cfRule type="cellIs" operator="equal" dxfId="1527" priority="1527">
      <formula>"Mercado Envios grátis"</formula>
    </cfRule>
  </conditionalFormatting>
  <conditionalFormatting sqref="X198">
    <cfRule type="cellIs" operator="equal" dxfId="1528" priority="1528">
      <formula>"Aceita"</formula>
    </cfRule>
  </conditionalFormatting>
  <conditionalFormatting sqref="Y198">
    <cfRule type="cellIs" operator="equal" dxfId="1529" priority="1529">
      <formula>"Premium"</formula>
    </cfRule>
  </conditionalFormatting>
  <conditionalFormatting sqref="AA198">
    <cfRule type="cellIs" operator="equal" dxfId="1530" priority="1530">
      <formula>"Ativo"</formula>
    </cfRule>
  </conditionalFormatting>
  <conditionalFormatting sqref="AB198">
    <cfRule type="cellIs" operator="equal" dxfId="1531" priority="1531">
      <formula>"Garantia do vendedor"</formula>
    </cfRule>
  </conditionalFormatting>
  <conditionalFormatting sqref="AD198">
    <cfRule type="cellIs" operator="equal" dxfId="1532" priority="1532">
      <formula>"dias"</formula>
    </cfRule>
  </conditionalFormatting>
  <conditionalFormatting sqref="J199">
    <cfRule type="cellIs" operator="equal" dxfId="1533" priority="1533">
      <formula>"R$"</formula>
    </cfRule>
  </conditionalFormatting>
  <conditionalFormatting sqref="U199">
    <cfRule type="cellIs" operator="equal" dxfId="1534" priority="1534">
      <formula>"Novo"</formula>
    </cfRule>
  </conditionalFormatting>
  <conditionalFormatting sqref="W199">
    <cfRule type="cellIs" operator="equal" dxfId="1535" priority="1535">
      <formula>"Mercado Envios grátis"</formula>
    </cfRule>
  </conditionalFormatting>
  <conditionalFormatting sqref="X199">
    <cfRule type="cellIs" operator="equal" dxfId="1536" priority="1536">
      <formula>"Aceita"</formula>
    </cfRule>
  </conditionalFormatting>
  <conditionalFormatting sqref="Y199">
    <cfRule type="cellIs" operator="equal" dxfId="1537" priority="1537">
      <formula>"Premium"</formula>
    </cfRule>
  </conditionalFormatting>
  <conditionalFormatting sqref="AA199">
    <cfRule type="cellIs" operator="equal" dxfId="1538" priority="1538">
      <formula>"Ativo"</formula>
    </cfRule>
  </conditionalFormatting>
  <conditionalFormatting sqref="AB199">
    <cfRule type="cellIs" operator="equal" dxfId="1539" priority="1539">
      <formula>"Garantia do vendedor"</formula>
    </cfRule>
  </conditionalFormatting>
  <conditionalFormatting sqref="AD199">
    <cfRule type="cellIs" operator="equal" dxfId="1540" priority="1540">
      <formula>"dias"</formula>
    </cfRule>
  </conditionalFormatting>
  <conditionalFormatting sqref="J200">
    <cfRule type="cellIs" operator="equal" dxfId="1541" priority="1541">
      <formula>"R$"</formula>
    </cfRule>
  </conditionalFormatting>
  <conditionalFormatting sqref="W200">
    <cfRule type="cellIs" operator="equal" dxfId="1542" priority="1542">
      <formula>"Mercado Envios grátis"</formula>
    </cfRule>
  </conditionalFormatting>
  <conditionalFormatting sqref="X200">
    <cfRule type="cellIs" operator="equal" dxfId="1543" priority="1543">
      <formula>"Aceita"</formula>
    </cfRule>
  </conditionalFormatting>
  <conditionalFormatting sqref="Y200">
    <cfRule type="cellIs" operator="equal" dxfId="1544" priority="1544">
      <formula>"Premium"</formula>
    </cfRule>
  </conditionalFormatting>
  <conditionalFormatting sqref="AA200">
    <cfRule type="cellIs" operator="equal" dxfId="1545" priority="1545">
      <formula>"Ativo"</formula>
    </cfRule>
  </conditionalFormatting>
  <conditionalFormatting sqref="AB200">
    <cfRule type="cellIs" operator="equal" dxfId="1546" priority="1546">
      <formula>"Garantia do vendedor"</formula>
    </cfRule>
  </conditionalFormatting>
  <conditionalFormatting sqref="AD200">
    <cfRule type="cellIs" operator="equal" dxfId="1547" priority="1547">
      <formula>"dias"</formula>
    </cfRule>
  </conditionalFormatting>
  <conditionalFormatting sqref="J201">
    <cfRule type="cellIs" operator="equal" dxfId="1548" priority="1548">
      <formula>"R$"</formula>
    </cfRule>
  </conditionalFormatting>
  <conditionalFormatting sqref="W201">
    <cfRule type="cellIs" operator="equal" dxfId="1549" priority="1549">
      <formula>"Mercado Envios por conta do comprador"</formula>
    </cfRule>
  </conditionalFormatting>
  <conditionalFormatting sqref="X201">
    <cfRule type="cellIs" operator="equal" dxfId="1550" priority="1550">
      <formula>"Não aceito"</formula>
    </cfRule>
  </conditionalFormatting>
  <conditionalFormatting sqref="Y201">
    <cfRule type="cellIs" operator="equal" dxfId="1551" priority="1551">
      <formula>"Premium"</formula>
    </cfRule>
  </conditionalFormatting>
  <conditionalFormatting sqref="AB201">
    <cfRule type="cellIs" operator="equal" dxfId="1552" priority="1552">
      <formula>"Garantia do vendedor"</formula>
    </cfRule>
  </conditionalFormatting>
  <conditionalFormatting sqref="AD201">
    <cfRule type="cellIs" operator="equal" dxfId="1553" priority="1553">
      <formula>"dias"</formula>
    </cfRule>
  </conditionalFormatting>
  <conditionalFormatting sqref="J202">
    <cfRule type="cellIs" operator="equal" dxfId="1554" priority="1554">
      <formula>"R$"</formula>
    </cfRule>
  </conditionalFormatting>
  <conditionalFormatting sqref="U202">
    <cfRule type="cellIs" operator="equal" dxfId="1555" priority="1555">
      <formula>"Novo"</formula>
    </cfRule>
  </conditionalFormatting>
  <conditionalFormatting sqref="W202">
    <cfRule type="cellIs" operator="equal" dxfId="1556" priority="1556">
      <formula>"Mercado Envios por conta do comprador"</formula>
    </cfRule>
  </conditionalFormatting>
  <conditionalFormatting sqref="X202">
    <cfRule type="cellIs" operator="equal" dxfId="1557" priority="1557">
      <formula>"Aceita"</formula>
    </cfRule>
  </conditionalFormatting>
  <conditionalFormatting sqref="Y202">
    <cfRule type="cellIs" operator="equal" dxfId="1558" priority="1558">
      <formula>"Clássico"</formula>
    </cfRule>
  </conditionalFormatting>
  <conditionalFormatting sqref="AB202">
    <cfRule type="cellIs" operator="equal" dxfId="1559" priority="1559">
      <formula>"Garantia de fábrica"</formula>
    </cfRule>
  </conditionalFormatting>
  <conditionalFormatting sqref="AD202">
    <cfRule type="cellIs" operator="equal" dxfId="1560" priority="1560">
      <formula>"dias"</formula>
    </cfRule>
  </conditionalFormatting>
  <conditionalFormatting sqref="J218">
    <cfRule type="cellIs" operator="equal" dxfId="1561" priority="1561">
      <formula>"R$"</formula>
    </cfRule>
  </conditionalFormatting>
  <conditionalFormatting sqref="U218">
    <cfRule type="cellIs" operator="equal" dxfId="1562" priority="1562">
      <formula>"Novo"</formula>
    </cfRule>
  </conditionalFormatting>
  <conditionalFormatting sqref="W218">
    <cfRule type="cellIs" operator="equal" dxfId="1563" priority="1563">
      <formula>"Mercado Envios grátis"</formula>
    </cfRule>
  </conditionalFormatting>
  <conditionalFormatting sqref="X218">
    <cfRule type="cellIs" operator="equal" dxfId="1564" priority="1564">
      <formula>"Não aceito"</formula>
    </cfRule>
  </conditionalFormatting>
  <conditionalFormatting sqref="Y218">
    <cfRule type="cellIs" operator="equal" dxfId="1565" priority="1565">
      <formula>"Premium"</formula>
    </cfRule>
  </conditionalFormatting>
  <conditionalFormatting sqref="AB218">
    <cfRule type="cellIs" operator="equal" dxfId="1566" priority="1566">
      <formula>"Garantia de fábrica"</formula>
    </cfRule>
  </conditionalFormatting>
  <conditionalFormatting sqref="AD218">
    <cfRule type="cellIs" operator="equal" dxfId="1567" priority="1567">
      <formula>"meses"</formula>
    </cfRule>
  </conditionalFormatting>
  <conditionalFormatting sqref="J221">
    <cfRule type="cellIs" operator="equal" dxfId="1568" priority="1568">
      <formula>"R$"</formula>
    </cfRule>
  </conditionalFormatting>
  <conditionalFormatting sqref="U221">
    <cfRule type="cellIs" operator="equal" dxfId="1569" priority="1569">
      <formula>"Usado"</formula>
    </cfRule>
  </conditionalFormatting>
  <conditionalFormatting sqref="W221">
    <cfRule type="cellIs" operator="equal" dxfId="1570" priority="1570">
      <formula>"Frete grátis por conta própria"</formula>
    </cfRule>
  </conditionalFormatting>
  <conditionalFormatting sqref="X221">
    <cfRule type="cellIs" operator="equal" dxfId="1571" priority="1571">
      <formula>"Aceita"</formula>
    </cfRule>
  </conditionalFormatting>
  <conditionalFormatting sqref="Y221">
    <cfRule type="cellIs" operator="equal" dxfId="1572" priority="1572">
      <formula>"Premium"</formula>
    </cfRule>
  </conditionalFormatting>
  <conditionalFormatting sqref="AB221">
    <cfRule type="cellIs" operator="equal" dxfId="1573" priority="1573">
      <formula>"Garantia do vendedor"</formula>
    </cfRule>
  </conditionalFormatting>
  <conditionalFormatting sqref="AD221">
    <cfRule type="cellIs" operator="equal" dxfId="1574" priority="1574">
      <formula>"dias"</formula>
    </cfRule>
  </conditionalFormatting>
  <conditionalFormatting sqref="J222">
    <cfRule type="cellIs" operator="equal" dxfId="1575" priority="1575">
      <formula>"R$"</formula>
    </cfRule>
  </conditionalFormatting>
  <conditionalFormatting sqref="U222">
    <cfRule type="cellIs" operator="equal" dxfId="1576" priority="1576">
      <formula>"Novo"</formula>
    </cfRule>
  </conditionalFormatting>
  <conditionalFormatting sqref="W222">
    <cfRule type="cellIs" operator="equal" dxfId="1577" priority="1577">
      <formula>"Mercado Envios por conta do comprador"</formula>
    </cfRule>
  </conditionalFormatting>
  <conditionalFormatting sqref="X222">
    <cfRule type="cellIs" operator="equal" dxfId="1578" priority="1578">
      <formula>"Não aceito"</formula>
    </cfRule>
  </conditionalFormatting>
  <conditionalFormatting sqref="Y222">
    <cfRule type="cellIs" operator="equal" dxfId="1579" priority="1579">
      <formula>"Clássico"</formula>
    </cfRule>
  </conditionalFormatting>
  <conditionalFormatting sqref="AB222">
    <cfRule type="cellIs" operator="equal" dxfId="1580" priority="1580">
      <formula>"Garantia de fábrica"</formula>
    </cfRule>
  </conditionalFormatting>
  <conditionalFormatting sqref="AD222">
    <cfRule type="cellIs" operator="equal" dxfId="1581" priority="1581">
      <formula>"dias"</formula>
    </cfRule>
  </conditionalFormatting>
  <conditionalFormatting sqref="J226">
    <cfRule type="cellIs" operator="equal" dxfId="1582" priority="1582">
      <formula>"R$"</formula>
    </cfRule>
  </conditionalFormatting>
  <conditionalFormatting sqref="U226">
    <cfRule type="cellIs" operator="equal" dxfId="1583" priority="1583">
      <formula>"Novo"</formula>
    </cfRule>
  </conditionalFormatting>
  <conditionalFormatting sqref="W226">
    <cfRule type="cellIs" operator="equal" dxfId="1584" priority="1584">
      <formula>"Mercado Envios por conta do comprador"</formula>
    </cfRule>
  </conditionalFormatting>
  <conditionalFormatting sqref="X226">
    <cfRule type="cellIs" operator="equal" dxfId="1585" priority="1585">
      <formula>"Não aceito"</formula>
    </cfRule>
  </conditionalFormatting>
  <conditionalFormatting sqref="Y226">
    <cfRule type="cellIs" operator="equal" dxfId="1586" priority="1586">
      <formula>"Clássico"</formula>
    </cfRule>
  </conditionalFormatting>
  <conditionalFormatting sqref="AB226">
    <cfRule type="cellIs" operator="equal" dxfId="1587" priority="1587">
      <formula>"Garantia de fábrica"</formula>
    </cfRule>
  </conditionalFormatting>
  <conditionalFormatting sqref="AD226">
    <cfRule type="cellIs" operator="equal" dxfId="1588" priority="1588">
      <formula>"dias"</formula>
    </cfRule>
  </conditionalFormatting>
  <conditionalFormatting sqref="J230">
    <cfRule type="cellIs" operator="equal" dxfId="1589" priority="1589">
      <formula>"R$"</formula>
    </cfRule>
  </conditionalFormatting>
  <conditionalFormatting sqref="U230">
    <cfRule type="cellIs" operator="equal" dxfId="1590" priority="1590">
      <formula>"Novo"</formula>
    </cfRule>
  </conditionalFormatting>
  <conditionalFormatting sqref="W230">
    <cfRule type="cellIs" operator="equal" dxfId="1591" priority="1591">
      <formula>"Mercado Envios por conta do comprador"</formula>
    </cfRule>
  </conditionalFormatting>
  <conditionalFormatting sqref="X230">
    <cfRule type="cellIs" operator="equal" dxfId="1592" priority="1592">
      <formula>"Não aceito"</formula>
    </cfRule>
  </conditionalFormatting>
  <conditionalFormatting sqref="Y230">
    <cfRule type="cellIs" operator="equal" dxfId="1593" priority="1593">
      <formula>"Clássico"</formula>
    </cfRule>
  </conditionalFormatting>
  <conditionalFormatting sqref="AB230">
    <cfRule type="cellIs" operator="equal" dxfId="1594" priority="1594">
      <formula>"Garantia de fábrica"</formula>
    </cfRule>
  </conditionalFormatting>
  <conditionalFormatting sqref="AD230">
    <cfRule type="cellIs" operator="equal" dxfId="1595" priority="1595">
      <formula>"dias"</formula>
    </cfRule>
  </conditionalFormatting>
  <conditionalFormatting sqref="J233">
    <cfRule type="cellIs" operator="equal" dxfId="1596" priority="1596">
      <formula>"R$"</formula>
    </cfRule>
  </conditionalFormatting>
  <conditionalFormatting sqref="U233">
    <cfRule type="cellIs" operator="equal" dxfId="1597" priority="1597">
      <formula>"Novo"</formula>
    </cfRule>
  </conditionalFormatting>
  <conditionalFormatting sqref="W233">
    <cfRule type="cellIs" operator="equal" dxfId="1598" priority="1598">
      <formula>"Mercado Envios por conta do comprador"</formula>
    </cfRule>
  </conditionalFormatting>
  <conditionalFormatting sqref="X233">
    <cfRule type="cellIs" operator="equal" dxfId="1599" priority="1599">
      <formula>"Não aceito"</formula>
    </cfRule>
  </conditionalFormatting>
  <conditionalFormatting sqref="Y233">
    <cfRule type="cellIs" operator="equal" dxfId="1600" priority="1600">
      <formula>"Clássico"</formula>
    </cfRule>
  </conditionalFormatting>
  <conditionalFormatting sqref="AB233">
    <cfRule type="cellIs" operator="equal" dxfId="1601" priority="1601">
      <formula>"Garantia de fábrica"</formula>
    </cfRule>
  </conditionalFormatting>
  <conditionalFormatting sqref="AD233">
    <cfRule type="cellIs" operator="equal" dxfId="1602" priority="1602">
      <formula>"dias"</formula>
    </cfRule>
  </conditionalFormatting>
  <conditionalFormatting sqref="J238">
    <cfRule type="cellIs" operator="equal" dxfId="1603" priority="1603">
      <formula>"R$"</formula>
    </cfRule>
  </conditionalFormatting>
  <conditionalFormatting sqref="U238">
    <cfRule type="cellIs" operator="equal" dxfId="1604" priority="1604">
      <formula>"Novo"</formula>
    </cfRule>
  </conditionalFormatting>
  <conditionalFormatting sqref="W238">
    <cfRule type="cellIs" operator="equal" dxfId="1605" priority="1605">
      <formula>"Mercado Envios por conta do comprador"</formula>
    </cfRule>
  </conditionalFormatting>
  <conditionalFormatting sqref="X238">
    <cfRule type="cellIs" operator="equal" dxfId="1606" priority="1606">
      <formula>"Não aceito"</formula>
    </cfRule>
  </conditionalFormatting>
  <conditionalFormatting sqref="Y238">
    <cfRule type="cellIs" operator="equal" dxfId="1607" priority="1607">
      <formula>"Clássico"</formula>
    </cfRule>
  </conditionalFormatting>
  <conditionalFormatting sqref="AB238">
    <cfRule type="cellIs" operator="equal" dxfId="1608" priority="1608">
      <formula>"Garantia de fábrica"</formula>
    </cfRule>
  </conditionalFormatting>
  <conditionalFormatting sqref="AD238">
    <cfRule type="cellIs" operator="equal" dxfId="1609" priority="1609">
      <formula>"dias"</formula>
    </cfRule>
  </conditionalFormatting>
  <conditionalFormatting sqref="J241">
    <cfRule type="cellIs" operator="equal" dxfId="1610" priority="1610">
      <formula>"R$"</formula>
    </cfRule>
  </conditionalFormatting>
  <conditionalFormatting sqref="U241">
    <cfRule type="cellIs" operator="equal" dxfId="1611" priority="1611">
      <formula>"Novo"</formula>
    </cfRule>
  </conditionalFormatting>
  <conditionalFormatting sqref="W241">
    <cfRule type="cellIs" operator="equal" dxfId="1612" priority="1612">
      <formula>"Mercado Envios por conta do comprador"</formula>
    </cfRule>
  </conditionalFormatting>
  <conditionalFormatting sqref="X241">
    <cfRule type="cellIs" operator="equal" dxfId="1613" priority="1613">
      <formula>"Não aceito"</formula>
    </cfRule>
  </conditionalFormatting>
  <conditionalFormatting sqref="Y241">
    <cfRule type="cellIs" operator="equal" dxfId="1614" priority="1614">
      <formula>"Clássico"</formula>
    </cfRule>
  </conditionalFormatting>
  <conditionalFormatting sqref="AA241">
    <cfRule type="cellIs" operator="equal" dxfId="1615" priority="1615">
      <formula>"Inativo"</formula>
    </cfRule>
  </conditionalFormatting>
  <conditionalFormatting sqref="AB241">
    <cfRule type="cellIs" operator="equal" dxfId="1616" priority="1616">
      <formula>"Garantia do vendedor"</formula>
    </cfRule>
  </conditionalFormatting>
  <conditionalFormatting sqref="AD241">
    <cfRule type="cellIs" operator="equal" dxfId="1617" priority="1617">
      <formula>"dias"</formula>
    </cfRule>
  </conditionalFormatting>
  <conditionalFormatting sqref="J242">
    <cfRule type="cellIs" operator="equal" dxfId="1618" priority="1618">
      <formula>"R$"</formula>
    </cfRule>
  </conditionalFormatting>
  <conditionalFormatting sqref="U242">
    <cfRule type="cellIs" operator="equal" dxfId="1619" priority="1619">
      <formula>"Novo"</formula>
    </cfRule>
  </conditionalFormatting>
  <conditionalFormatting sqref="W242">
    <cfRule type="cellIs" operator="equal" dxfId="1620" priority="1620">
      <formula>"Mercado Envios por conta do comprador"</formula>
    </cfRule>
  </conditionalFormatting>
  <conditionalFormatting sqref="X242">
    <cfRule type="cellIs" operator="equal" dxfId="1621" priority="1621">
      <formula>"Não aceito"</formula>
    </cfRule>
  </conditionalFormatting>
  <conditionalFormatting sqref="Y242">
    <cfRule type="cellIs" operator="equal" dxfId="1622" priority="1622">
      <formula>"Clássico"</formula>
    </cfRule>
  </conditionalFormatting>
  <conditionalFormatting sqref="AA242">
    <cfRule type="cellIs" operator="equal" dxfId="1623" priority="1623">
      <formula>"Inativo"</formula>
    </cfRule>
  </conditionalFormatting>
  <conditionalFormatting sqref="AB242">
    <cfRule type="cellIs" operator="equal" dxfId="1624" priority="1624">
      <formula>"Garantia do vendedor"</formula>
    </cfRule>
  </conditionalFormatting>
  <conditionalFormatting sqref="AD242">
    <cfRule type="cellIs" operator="equal" dxfId="1625" priority="1625">
      <formula>"dias"</formula>
    </cfRule>
  </conditionalFormatting>
  <conditionalFormatting sqref="J243">
    <cfRule type="cellIs" operator="equal" dxfId="1626" priority="1626">
      <formula>"R$"</formula>
    </cfRule>
  </conditionalFormatting>
  <conditionalFormatting sqref="U243">
    <cfRule type="cellIs" operator="equal" dxfId="1627" priority="1627">
      <formula>"Novo"</formula>
    </cfRule>
  </conditionalFormatting>
  <conditionalFormatting sqref="W243">
    <cfRule type="cellIs" operator="equal" dxfId="1628" priority="1628">
      <formula>"Mercado Envios por conta do comprador"</formula>
    </cfRule>
  </conditionalFormatting>
  <conditionalFormatting sqref="X243">
    <cfRule type="cellIs" operator="equal" dxfId="1629" priority="1629">
      <formula>"Não aceito"</formula>
    </cfRule>
  </conditionalFormatting>
  <conditionalFormatting sqref="Y243">
    <cfRule type="cellIs" operator="equal" dxfId="1630" priority="1630">
      <formula>"Premium"</formula>
    </cfRule>
  </conditionalFormatting>
  <conditionalFormatting sqref="AA243">
    <cfRule type="cellIs" operator="equal" dxfId="1631" priority="1631">
      <formula>"Inativo"</formula>
    </cfRule>
  </conditionalFormatting>
  <conditionalFormatting sqref="AB243">
    <cfRule type="cellIs" operator="equal" dxfId="1632" priority="1632">
      <formula>"Garantia do vendedor"</formula>
    </cfRule>
  </conditionalFormatting>
  <conditionalFormatting sqref="AD243">
    <cfRule type="cellIs" operator="equal" dxfId="1633" priority="1633">
      <formula>"dias"</formula>
    </cfRule>
  </conditionalFormatting>
  <conditionalFormatting sqref="J244">
    <cfRule type="cellIs" operator="equal" dxfId="1634" priority="1634">
      <formula>"R$"</formula>
    </cfRule>
  </conditionalFormatting>
  <conditionalFormatting sqref="U244">
    <cfRule type="cellIs" operator="equal" dxfId="1635" priority="1635">
      <formula>"Novo"</formula>
    </cfRule>
  </conditionalFormatting>
  <conditionalFormatting sqref="W244">
    <cfRule type="cellIs" operator="equal" dxfId="1636" priority="1636">
      <formula>"Mercado Envios grátis"</formula>
    </cfRule>
  </conditionalFormatting>
  <conditionalFormatting sqref="X244">
    <cfRule type="cellIs" operator="equal" dxfId="1637" priority="1637">
      <formula>"Não aceito"</formula>
    </cfRule>
  </conditionalFormatting>
  <conditionalFormatting sqref="Y244">
    <cfRule type="cellIs" operator="equal" dxfId="1638" priority="1638">
      <formula>"Clássico"</formula>
    </cfRule>
  </conditionalFormatting>
  <conditionalFormatting sqref="AA244">
    <cfRule type="cellIs" operator="equal" dxfId="1639" priority="1639">
      <formula>"Inativo"</formula>
    </cfRule>
  </conditionalFormatting>
  <conditionalFormatting sqref="AB244">
    <cfRule type="cellIs" operator="equal" dxfId="1640" priority="1640">
      <formula>"Garantia do vendedor"</formula>
    </cfRule>
  </conditionalFormatting>
  <conditionalFormatting sqref="AD244">
    <cfRule type="cellIs" operator="equal" dxfId="1641" priority="1641">
      <formula>"dias"</formula>
    </cfRule>
  </conditionalFormatting>
  <conditionalFormatting sqref="J245">
    <cfRule type="cellIs" operator="equal" dxfId="1642" priority="1642">
      <formula>"R$"</formula>
    </cfRule>
  </conditionalFormatting>
  <conditionalFormatting sqref="U245">
    <cfRule type="cellIs" operator="equal" dxfId="1643" priority="1643">
      <formula>"Novo"</formula>
    </cfRule>
  </conditionalFormatting>
  <conditionalFormatting sqref="W245">
    <cfRule type="cellIs" operator="equal" dxfId="1644" priority="1644">
      <formula>"Mercado Envios por conta do comprador"</formula>
    </cfRule>
  </conditionalFormatting>
  <conditionalFormatting sqref="X245">
    <cfRule type="cellIs" operator="equal" dxfId="1645" priority="1645">
      <formula>"Não aceito"</formula>
    </cfRule>
  </conditionalFormatting>
  <conditionalFormatting sqref="Y245">
    <cfRule type="cellIs" operator="equal" dxfId="1646" priority="1646">
      <formula>"Premium"</formula>
    </cfRule>
  </conditionalFormatting>
  <conditionalFormatting sqref="AA245">
    <cfRule type="cellIs" operator="equal" dxfId="1647" priority="1647">
      <formula>"Inativo"</formula>
    </cfRule>
  </conditionalFormatting>
  <conditionalFormatting sqref="AB245">
    <cfRule type="cellIs" operator="equal" dxfId="1648" priority="1648">
      <formula>"Garantia do vendedor"</formula>
    </cfRule>
  </conditionalFormatting>
  <conditionalFormatting sqref="AD245">
    <cfRule type="cellIs" operator="equal" dxfId="1649" priority="1649">
      <formula>"dias"</formula>
    </cfRule>
  </conditionalFormatting>
  <conditionalFormatting sqref="J246">
    <cfRule type="cellIs" operator="equal" dxfId="1650" priority="1650">
      <formula>"R$"</formula>
    </cfRule>
  </conditionalFormatting>
  <conditionalFormatting sqref="U246">
    <cfRule type="cellIs" operator="equal" dxfId="1651" priority="1651">
      <formula>"Novo"</formula>
    </cfRule>
  </conditionalFormatting>
  <conditionalFormatting sqref="W246">
    <cfRule type="cellIs" operator="equal" dxfId="1652" priority="1652">
      <formula>"Mercado Envios por conta do comprador"</formula>
    </cfRule>
  </conditionalFormatting>
  <conditionalFormatting sqref="X246">
    <cfRule type="cellIs" operator="equal" dxfId="1653" priority="1653">
      <formula>"Aceita"</formula>
    </cfRule>
  </conditionalFormatting>
  <conditionalFormatting sqref="Y246">
    <cfRule type="cellIs" operator="equal" dxfId="1654" priority="1654">
      <formula>"Clássico"</formula>
    </cfRule>
  </conditionalFormatting>
  <conditionalFormatting sqref="AA246">
    <cfRule type="cellIs" operator="equal" dxfId="1655" priority="1655">
      <formula>"Inativo"</formula>
    </cfRule>
  </conditionalFormatting>
  <conditionalFormatting sqref="AB246">
    <cfRule type="cellIs" operator="equal" dxfId="1656" priority="1656">
      <formula>"Garantia de fábrica"</formula>
    </cfRule>
  </conditionalFormatting>
  <conditionalFormatting sqref="AD246">
    <cfRule type="cellIs" operator="equal" dxfId="1657" priority="1657">
      <formula>"meses"</formula>
    </cfRule>
  </conditionalFormatting>
  <conditionalFormatting sqref="J247">
    <cfRule type="cellIs" operator="equal" dxfId="1658" priority="1658">
      <formula>"R$"</formula>
    </cfRule>
  </conditionalFormatting>
  <conditionalFormatting sqref="U247">
    <cfRule type="cellIs" operator="equal" dxfId="1659" priority="1659">
      <formula>"Novo"</formula>
    </cfRule>
  </conditionalFormatting>
  <conditionalFormatting sqref="W247">
    <cfRule type="cellIs" operator="equal" dxfId="1660" priority="1660">
      <formula>"Mercado Envios por conta do comprador"</formula>
    </cfRule>
  </conditionalFormatting>
  <conditionalFormatting sqref="X247">
    <cfRule type="cellIs" operator="equal" dxfId="1661" priority="1661">
      <formula>"Aceita"</formula>
    </cfRule>
  </conditionalFormatting>
  <conditionalFormatting sqref="Y247">
    <cfRule type="cellIs" operator="equal" dxfId="1662" priority="1662">
      <formula>"Premium"</formula>
    </cfRule>
  </conditionalFormatting>
  <conditionalFormatting sqref="AA247">
    <cfRule type="cellIs" operator="equal" dxfId="1663" priority="1663">
      <formula>"Inativo"</formula>
    </cfRule>
  </conditionalFormatting>
  <conditionalFormatting sqref="AB247">
    <cfRule type="cellIs" operator="equal" dxfId="1664" priority="1664">
      <formula>"Garantia do vendedor"</formula>
    </cfRule>
  </conditionalFormatting>
  <conditionalFormatting sqref="AD247">
    <cfRule type="cellIs" operator="equal" dxfId="1665" priority="1665">
      <formula>"meses"</formula>
    </cfRule>
  </conditionalFormatting>
  <conditionalFormatting sqref="J248">
    <cfRule type="cellIs" operator="equal" dxfId="1666" priority="1666">
      <formula>"R$"</formula>
    </cfRule>
  </conditionalFormatting>
  <conditionalFormatting sqref="W248">
    <cfRule type="cellIs" operator="equal" dxfId="1667" priority="1667">
      <formula>"Mercado Envios por conta do comprador"</formula>
    </cfRule>
  </conditionalFormatting>
  <conditionalFormatting sqref="X248">
    <cfRule type="cellIs" operator="equal" dxfId="1668" priority="1668">
      <formula>"Aceita"</formula>
    </cfRule>
  </conditionalFormatting>
  <conditionalFormatting sqref="Y248">
    <cfRule type="cellIs" operator="equal" dxfId="1669" priority="1669">
      <formula>"Clássico"</formula>
    </cfRule>
  </conditionalFormatting>
  <conditionalFormatting sqref="AA248">
    <cfRule type="cellIs" operator="equal" dxfId="1670" priority="1670">
      <formula>"Inativo"</formula>
    </cfRule>
  </conditionalFormatting>
  <conditionalFormatting sqref="AB248">
    <cfRule type="cellIs" operator="equal" dxfId="1671" priority="1671">
      <formula>"Garantia do vendedor"</formula>
    </cfRule>
  </conditionalFormatting>
  <conditionalFormatting sqref="AD248">
    <cfRule type="cellIs" operator="equal" dxfId="1672" priority="1672">
      <formula>"meses"</formula>
    </cfRule>
  </conditionalFormatting>
  <conditionalFormatting sqref="J249">
    <cfRule type="cellIs" operator="equal" dxfId="1673" priority="1673">
      <formula>"R$"</formula>
    </cfRule>
  </conditionalFormatting>
  <conditionalFormatting sqref="U249">
    <cfRule type="cellIs" operator="equal" dxfId="1674" priority="1674">
      <formula>"Novo"</formula>
    </cfRule>
  </conditionalFormatting>
  <conditionalFormatting sqref="W249">
    <cfRule type="cellIs" operator="equal" dxfId="1675" priority="1675">
      <formula>"Mercado Envios por conta do comprador"</formula>
    </cfRule>
  </conditionalFormatting>
  <conditionalFormatting sqref="X249">
    <cfRule type="cellIs" operator="equal" dxfId="1676" priority="1676">
      <formula>"Não aceito"</formula>
    </cfRule>
  </conditionalFormatting>
  <conditionalFormatting sqref="Y249">
    <cfRule type="cellIs" operator="equal" dxfId="1677" priority="1677">
      <formula>"Clássico"</formula>
    </cfRule>
  </conditionalFormatting>
  <conditionalFormatting sqref="AA249">
    <cfRule type="cellIs" operator="equal" dxfId="1678" priority="1678">
      <formula>"Inativo"</formula>
    </cfRule>
  </conditionalFormatting>
  <conditionalFormatting sqref="AB249">
    <cfRule type="cellIs" operator="equal" dxfId="1679" priority="1679">
      <formula>"Garantia do vendedor"</formula>
    </cfRule>
  </conditionalFormatting>
  <conditionalFormatting sqref="AD249">
    <cfRule type="cellIs" operator="equal" dxfId="1680" priority="1680">
      <formula>"meses"</formula>
    </cfRule>
  </conditionalFormatting>
  <conditionalFormatting sqref="J250">
    <cfRule type="cellIs" operator="equal" dxfId="1681" priority="1681">
      <formula>"R$"</formula>
    </cfRule>
  </conditionalFormatting>
  <conditionalFormatting sqref="U250">
    <cfRule type="cellIs" operator="equal" dxfId="1682" priority="1682">
      <formula>"Novo"</formula>
    </cfRule>
  </conditionalFormatting>
  <conditionalFormatting sqref="W250">
    <cfRule type="cellIs" operator="equal" dxfId="1683" priority="1683">
      <formula>"Mercado Envios grátis"</formula>
    </cfRule>
  </conditionalFormatting>
  <conditionalFormatting sqref="X250">
    <cfRule type="cellIs" operator="equal" dxfId="1684" priority="1684">
      <formula>"Não aceito"</formula>
    </cfRule>
  </conditionalFormatting>
  <conditionalFormatting sqref="Y250">
    <cfRule type="cellIs" operator="equal" dxfId="1685" priority="1685">
      <formula>"Premium"</formula>
    </cfRule>
  </conditionalFormatting>
  <conditionalFormatting sqref="AA250">
    <cfRule type="cellIs" operator="equal" dxfId="1686" priority="1686">
      <formula>"Inativo"</formula>
    </cfRule>
  </conditionalFormatting>
  <conditionalFormatting sqref="AB250">
    <cfRule type="cellIs" operator="equal" dxfId="1687" priority="1687">
      <formula>"Garantia de fábrica"</formula>
    </cfRule>
  </conditionalFormatting>
  <conditionalFormatting sqref="AD250">
    <cfRule type="cellIs" operator="equal" dxfId="1688" priority="1688">
      <formula>"meses"</formula>
    </cfRule>
  </conditionalFormatting>
  <conditionalFormatting sqref="J251">
    <cfRule type="cellIs" operator="equal" dxfId="1689" priority="1689">
      <formula>"R$"</formula>
    </cfRule>
  </conditionalFormatting>
  <conditionalFormatting sqref="U251">
    <cfRule type="cellIs" operator="equal" dxfId="1690" priority="1690">
      <formula>"Novo"</formula>
    </cfRule>
  </conditionalFormatting>
  <conditionalFormatting sqref="W251">
    <cfRule type="cellIs" operator="equal" dxfId="1691" priority="1691">
      <formula>"Mercado Envios por conta do comprador"</formula>
    </cfRule>
  </conditionalFormatting>
  <conditionalFormatting sqref="X251">
    <cfRule type="cellIs" operator="equal" dxfId="1692" priority="1692">
      <formula>"Não aceito"</formula>
    </cfRule>
  </conditionalFormatting>
  <conditionalFormatting sqref="Y251">
    <cfRule type="cellIs" operator="equal" dxfId="1693" priority="1693">
      <formula>"Premium"</formula>
    </cfRule>
  </conditionalFormatting>
  <conditionalFormatting sqref="AA251">
    <cfRule type="cellIs" operator="equal" dxfId="1694" priority="1694">
      <formula>"Inativo"</formula>
    </cfRule>
  </conditionalFormatting>
  <conditionalFormatting sqref="AB251">
    <cfRule type="cellIs" operator="equal" dxfId="1695" priority="1695">
      <formula>"Garantia do vendedor"</formula>
    </cfRule>
  </conditionalFormatting>
  <conditionalFormatting sqref="AD251">
    <cfRule type="cellIs" operator="equal" dxfId="1696" priority="1696">
      <formula>"dias"</formula>
    </cfRule>
  </conditionalFormatting>
  <conditionalFormatting sqref="J252">
    <cfRule type="cellIs" operator="equal" dxfId="1697" priority="1697">
      <formula>"R$"</formula>
    </cfRule>
  </conditionalFormatting>
  <conditionalFormatting sqref="U252">
    <cfRule type="cellIs" operator="equal" dxfId="1698" priority="1698">
      <formula>"Novo"</formula>
    </cfRule>
  </conditionalFormatting>
  <conditionalFormatting sqref="W252">
    <cfRule type="cellIs" operator="equal" dxfId="1699" priority="1699">
      <formula>"Mercado Envios por conta do comprador"</formula>
    </cfRule>
  </conditionalFormatting>
  <conditionalFormatting sqref="X252">
    <cfRule type="cellIs" operator="equal" dxfId="1700" priority="1700">
      <formula>"Aceita"</formula>
    </cfRule>
  </conditionalFormatting>
  <conditionalFormatting sqref="Y252">
    <cfRule type="cellIs" operator="equal" dxfId="1701" priority="1701">
      <formula>"Clássico"</formula>
    </cfRule>
  </conditionalFormatting>
  <conditionalFormatting sqref="AA252">
    <cfRule type="cellIs" operator="equal" dxfId="1702" priority="1702">
      <formula>"Inativo"</formula>
    </cfRule>
  </conditionalFormatting>
  <conditionalFormatting sqref="AB252">
    <cfRule type="cellIs" operator="equal" dxfId="1703" priority="1703">
      <formula>"Garantia do vendedor"</formula>
    </cfRule>
  </conditionalFormatting>
  <conditionalFormatting sqref="AD252">
    <cfRule type="cellIs" operator="equal" dxfId="1704" priority="1704">
      <formula>"dias"</formula>
    </cfRule>
  </conditionalFormatting>
  <conditionalFormatting sqref="J253">
    <cfRule type="cellIs" operator="equal" dxfId="1705" priority="1705">
      <formula>"R$"</formula>
    </cfRule>
  </conditionalFormatting>
  <conditionalFormatting sqref="U253">
    <cfRule type="cellIs" operator="equal" dxfId="1706" priority="1706">
      <formula>"Novo"</formula>
    </cfRule>
  </conditionalFormatting>
  <conditionalFormatting sqref="W253">
    <cfRule type="cellIs" operator="equal" dxfId="1707" priority="1707">
      <formula>"Mercado Envios por conta do comprador"</formula>
    </cfRule>
  </conditionalFormatting>
  <conditionalFormatting sqref="X253">
    <cfRule type="cellIs" operator="equal" dxfId="1708" priority="1708">
      <formula>"Não aceito"</formula>
    </cfRule>
  </conditionalFormatting>
  <conditionalFormatting sqref="Y253">
    <cfRule type="cellIs" operator="equal" dxfId="1709" priority="1709">
      <formula>"Premium"</formula>
    </cfRule>
  </conditionalFormatting>
  <conditionalFormatting sqref="AA253">
    <cfRule type="cellIs" operator="equal" dxfId="1710" priority="1710">
      <formula>"Inativo"</formula>
    </cfRule>
  </conditionalFormatting>
  <conditionalFormatting sqref="AB253">
    <cfRule type="cellIs" operator="equal" dxfId="1711" priority="1711">
      <formula>"Garantia do vendedor"</formula>
    </cfRule>
  </conditionalFormatting>
  <conditionalFormatting sqref="AD253">
    <cfRule type="cellIs" operator="equal" dxfId="1712" priority="1712">
      <formula>"dias"</formula>
    </cfRule>
  </conditionalFormatting>
  <conditionalFormatting sqref="J254">
    <cfRule type="cellIs" operator="equal" dxfId="1713" priority="1713">
      <formula>"R$"</formula>
    </cfRule>
  </conditionalFormatting>
  <conditionalFormatting sqref="U254">
    <cfRule type="cellIs" operator="equal" dxfId="1714" priority="1714">
      <formula>"Novo"</formula>
    </cfRule>
  </conditionalFormatting>
  <conditionalFormatting sqref="W254">
    <cfRule type="cellIs" operator="equal" dxfId="1715" priority="1715">
      <formula>"Mercado Envios por conta do comprador"</formula>
    </cfRule>
  </conditionalFormatting>
  <conditionalFormatting sqref="X254">
    <cfRule type="cellIs" operator="equal" dxfId="1716" priority="1716">
      <formula>"Não aceito"</formula>
    </cfRule>
  </conditionalFormatting>
  <conditionalFormatting sqref="Y254">
    <cfRule type="cellIs" operator="equal" dxfId="1717" priority="1717">
      <formula>"Clássico"</formula>
    </cfRule>
  </conditionalFormatting>
  <conditionalFormatting sqref="AA254">
    <cfRule type="cellIs" operator="equal" dxfId="1718" priority="1718">
      <formula>"Inativo"</formula>
    </cfRule>
  </conditionalFormatting>
  <conditionalFormatting sqref="AB254">
    <cfRule type="cellIs" operator="equal" dxfId="1719" priority="1719">
      <formula>"Garantia do vendedor"</formula>
    </cfRule>
  </conditionalFormatting>
  <conditionalFormatting sqref="AD254">
    <cfRule type="cellIs" operator="equal" dxfId="1720" priority="1720">
      <formula>"dias"</formula>
    </cfRule>
  </conditionalFormatting>
  <conditionalFormatting sqref="J255">
    <cfRule type="cellIs" operator="equal" dxfId="1721" priority="1721">
      <formula>"R$"</formula>
    </cfRule>
  </conditionalFormatting>
  <conditionalFormatting sqref="U255">
    <cfRule type="cellIs" operator="equal" dxfId="1722" priority="1722">
      <formula>"Novo"</formula>
    </cfRule>
  </conditionalFormatting>
  <conditionalFormatting sqref="W255">
    <cfRule type="cellIs" operator="equal" dxfId="1723" priority="1723">
      <formula>"Mercado Envios grátis"</formula>
    </cfRule>
  </conditionalFormatting>
  <conditionalFormatting sqref="X255">
    <cfRule type="cellIs" operator="equal" dxfId="1724" priority="1724">
      <formula>"Aceita"</formula>
    </cfRule>
  </conditionalFormatting>
  <conditionalFormatting sqref="Y255">
    <cfRule type="cellIs" operator="equal" dxfId="1725" priority="1725">
      <formula>"Clássico"</formula>
    </cfRule>
  </conditionalFormatting>
  <conditionalFormatting sqref="AA255">
    <cfRule type="cellIs" operator="equal" dxfId="1726" priority="1726">
      <formula>"Inativo"</formula>
    </cfRule>
  </conditionalFormatting>
  <conditionalFormatting sqref="AB255">
    <cfRule type="cellIs" operator="equal" dxfId="1727" priority="1727">
      <formula>"Garantia do vendedor"</formula>
    </cfRule>
  </conditionalFormatting>
  <conditionalFormatting sqref="AD255">
    <cfRule type="cellIs" operator="equal" dxfId="1728" priority="1728">
      <formula>"dias"</formula>
    </cfRule>
  </conditionalFormatting>
  <conditionalFormatting sqref="J256">
    <cfRule type="cellIs" operator="equal" dxfId="1729" priority="1729">
      <formula>"R$"</formula>
    </cfRule>
  </conditionalFormatting>
  <conditionalFormatting sqref="U256">
    <cfRule type="cellIs" operator="equal" dxfId="1730" priority="1730">
      <formula>"Novo"</formula>
    </cfRule>
  </conditionalFormatting>
  <conditionalFormatting sqref="W256">
    <cfRule type="cellIs" operator="equal" dxfId="1731" priority="1731">
      <formula>"Mercado Envios por conta do comprador"</formula>
    </cfRule>
  </conditionalFormatting>
  <conditionalFormatting sqref="X256">
    <cfRule type="cellIs" operator="equal" dxfId="1732" priority="1732">
      <formula>"Aceita"</formula>
    </cfRule>
  </conditionalFormatting>
  <conditionalFormatting sqref="Y256">
    <cfRule type="cellIs" operator="equal" dxfId="1733" priority="1733">
      <formula>"Premium"</formula>
    </cfRule>
  </conditionalFormatting>
  <conditionalFormatting sqref="AA256">
    <cfRule type="cellIs" operator="equal" dxfId="1734" priority="1734">
      <formula>"Inativo"</formula>
    </cfRule>
  </conditionalFormatting>
  <conditionalFormatting sqref="AB256">
    <cfRule type="cellIs" operator="equal" dxfId="1735" priority="1735">
      <formula>"Garantia do vendedor"</formula>
    </cfRule>
  </conditionalFormatting>
  <conditionalFormatting sqref="AD256">
    <cfRule type="cellIs" operator="equal" dxfId="1736" priority="1736">
      <formula>"meses"</formula>
    </cfRule>
  </conditionalFormatting>
  <conditionalFormatting sqref="J257">
    <cfRule type="cellIs" operator="equal" dxfId="1737" priority="1737">
      <formula>"R$"</formula>
    </cfRule>
  </conditionalFormatting>
  <conditionalFormatting sqref="U257">
    <cfRule type="cellIs" operator="equal" dxfId="1738" priority="1738">
      <formula>"Novo"</formula>
    </cfRule>
  </conditionalFormatting>
  <conditionalFormatting sqref="W257">
    <cfRule type="cellIs" operator="equal" dxfId="1739" priority="1739">
      <formula>"Mercado Envios por conta do comprador"</formula>
    </cfRule>
  </conditionalFormatting>
  <conditionalFormatting sqref="X257">
    <cfRule type="cellIs" operator="equal" dxfId="1740" priority="1740">
      <formula>"Aceita"</formula>
    </cfRule>
  </conditionalFormatting>
  <conditionalFormatting sqref="Y257">
    <cfRule type="cellIs" operator="equal" dxfId="1741" priority="1741">
      <formula>"Premium"</formula>
    </cfRule>
  </conditionalFormatting>
  <conditionalFormatting sqref="AA257">
    <cfRule type="cellIs" operator="equal" dxfId="1742" priority="1742">
      <formula>"Inativo"</formula>
    </cfRule>
  </conditionalFormatting>
  <conditionalFormatting sqref="AB257">
    <cfRule type="cellIs" operator="equal" dxfId="1743" priority="1743">
      <formula>"Garantia do vendedor"</formula>
    </cfRule>
  </conditionalFormatting>
  <conditionalFormatting sqref="AD257">
    <cfRule type="cellIs" operator="equal" dxfId="1744" priority="1744">
      <formula>"dias"</formula>
    </cfRule>
  </conditionalFormatting>
  <conditionalFormatting sqref="J258">
    <cfRule type="cellIs" operator="equal" dxfId="1745" priority="1745">
      <formula>"R$"</formula>
    </cfRule>
  </conditionalFormatting>
  <conditionalFormatting sqref="U258">
    <cfRule type="cellIs" operator="equal" dxfId="1746" priority="1746">
      <formula>"Novo"</formula>
    </cfRule>
  </conditionalFormatting>
  <conditionalFormatting sqref="W258">
    <cfRule type="cellIs" operator="equal" dxfId="1747" priority="1747">
      <formula>"Mercado Envios grátis"</formula>
    </cfRule>
  </conditionalFormatting>
  <conditionalFormatting sqref="X258">
    <cfRule type="cellIs" operator="equal" dxfId="1748" priority="1748">
      <formula>"Aceita"</formula>
    </cfRule>
  </conditionalFormatting>
  <conditionalFormatting sqref="Y258">
    <cfRule type="cellIs" operator="equal" dxfId="1749" priority="1749">
      <formula>"Premium"</formula>
    </cfRule>
  </conditionalFormatting>
  <conditionalFormatting sqref="AA258">
    <cfRule type="cellIs" operator="equal" dxfId="1750" priority="1750">
      <formula>"Inativo"</formula>
    </cfRule>
  </conditionalFormatting>
  <conditionalFormatting sqref="AB258">
    <cfRule type="cellIs" operator="equal" dxfId="1751" priority="1751">
      <formula>"Garantia do vendedor"</formula>
    </cfRule>
  </conditionalFormatting>
  <conditionalFormatting sqref="AD258">
    <cfRule type="cellIs" operator="equal" dxfId="1752" priority="1752">
      <formula>"dias"</formula>
    </cfRule>
  </conditionalFormatting>
  <conditionalFormatting sqref="J259">
    <cfRule type="cellIs" operator="equal" dxfId="1753" priority="1753">
      <formula>"R$"</formula>
    </cfRule>
  </conditionalFormatting>
  <conditionalFormatting sqref="U259">
    <cfRule type="cellIs" operator="equal" dxfId="1754" priority="1754">
      <formula>"Novo"</formula>
    </cfRule>
  </conditionalFormatting>
  <conditionalFormatting sqref="W259">
    <cfRule type="cellIs" operator="equal" dxfId="1755" priority="1755">
      <formula>"Mercado Envios por conta do comprador"</formula>
    </cfRule>
  </conditionalFormatting>
  <conditionalFormatting sqref="X259">
    <cfRule type="cellIs" operator="equal" dxfId="1756" priority="1756">
      <formula>"Aceita"</formula>
    </cfRule>
  </conditionalFormatting>
  <conditionalFormatting sqref="Y259">
    <cfRule type="cellIs" operator="equal" dxfId="1757" priority="1757">
      <formula>"Premium"</formula>
    </cfRule>
  </conditionalFormatting>
  <conditionalFormatting sqref="AA259">
    <cfRule type="cellIs" operator="equal" dxfId="1758" priority="1758">
      <formula>"Inativo"</formula>
    </cfRule>
  </conditionalFormatting>
  <conditionalFormatting sqref="AB259">
    <cfRule type="cellIs" operator="equal" dxfId="1759" priority="1759">
      <formula>"Garantia do vendedor"</formula>
    </cfRule>
  </conditionalFormatting>
  <conditionalFormatting sqref="AD259">
    <cfRule type="cellIs" operator="equal" dxfId="1760" priority="1760">
      <formula>"dias"</formula>
    </cfRule>
  </conditionalFormatting>
  <conditionalFormatting sqref="J260">
    <cfRule type="cellIs" operator="equal" dxfId="1761" priority="1761">
      <formula>"R$"</formula>
    </cfRule>
  </conditionalFormatting>
  <conditionalFormatting sqref="U260">
    <cfRule type="cellIs" operator="equal" dxfId="1762" priority="1762">
      <formula>"Novo"</formula>
    </cfRule>
  </conditionalFormatting>
  <conditionalFormatting sqref="W260">
    <cfRule type="cellIs" operator="equal" dxfId="1763" priority="1763">
      <formula>"Mercado Envios grátis"</formula>
    </cfRule>
  </conditionalFormatting>
  <conditionalFormatting sqref="X260">
    <cfRule type="cellIs" operator="equal" dxfId="1764" priority="1764">
      <formula>"Aceita"</formula>
    </cfRule>
  </conditionalFormatting>
  <conditionalFormatting sqref="Y260">
    <cfRule type="cellIs" operator="equal" dxfId="1765" priority="1765">
      <formula>"Premium"</formula>
    </cfRule>
  </conditionalFormatting>
  <conditionalFormatting sqref="AA260">
    <cfRule type="cellIs" operator="equal" dxfId="1766" priority="1766">
      <formula>"Inativo"</formula>
    </cfRule>
  </conditionalFormatting>
  <conditionalFormatting sqref="AB260">
    <cfRule type="cellIs" operator="equal" dxfId="1767" priority="1767">
      <formula>"Garantia do vendedor"</formula>
    </cfRule>
  </conditionalFormatting>
  <conditionalFormatting sqref="AD260">
    <cfRule type="cellIs" operator="equal" dxfId="1768" priority="1768">
      <formula>"meses"</formula>
    </cfRule>
  </conditionalFormatting>
  <conditionalFormatting sqref="J261">
    <cfRule type="cellIs" operator="equal" dxfId="1769" priority="1769">
      <formula>"R$"</formula>
    </cfRule>
  </conditionalFormatting>
  <conditionalFormatting sqref="U261">
    <cfRule type="cellIs" operator="equal" dxfId="1770" priority="1770">
      <formula>"Novo"</formula>
    </cfRule>
  </conditionalFormatting>
  <conditionalFormatting sqref="W261">
    <cfRule type="cellIs" operator="equal" dxfId="1771" priority="1771">
      <formula>"Mercado Envios por conta do comprador"</formula>
    </cfRule>
  </conditionalFormatting>
  <conditionalFormatting sqref="X261">
    <cfRule type="cellIs" operator="equal" dxfId="1772" priority="1772">
      <formula>"Aceita"</formula>
    </cfRule>
  </conditionalFormatting>
  <conditionalFormatting sqref="Y261">
    <cfRule type="cellIs" operator="equal" dxfId="1773" priority="1773">
      <formula>"Clássico"</formula>
    </cfRule>
  </conditionalFormatting>
  <conditionalFormatting sqref="AA261">
    <cfRule type="cellIs" operator="equal" dxfId="1774" priority="1774">
      <formula>"Inativo"</formula>
    </cfRule>
  </conditionalFormatting>
  <conditionalFormatting sqref="AB261">
    <cfRule type="cellIs" operator="equal" dxfId="1775" priority="1775">
      <formula>"Garantia do vendedor"</formula>
    </cfRule>
  </conditionalFormatting>
  <conditionalFormatting sqref="AD261">
    <cfRule type="cellIs" operator="equal" dxfId="1776" priority="1776">
      <formula>"dias"</formula>
    </cfRule>
  </conditionalFormatting>
  <conditionalFormatting sqref="J262">
    <cfRule type="cellIs" operator="equal" dxfId="1777" priority="1777">
      <formula>"R$"</formula>
    </cfRule>
  </conditionalFormatting>
  <conditionalFormatting sqref="U262">
    <cfRule type="cellIs" operator="equal" dxfId="1778" priority="1778">
      <formula>"Novo"</formula>
    </cfRule>
  </conditionalFormatting>
  <conditionalFormatting sqref="W262">
    <cfRule type="cellIs" operator="equal" dxfId="1779" priority="1779">
      <formula>"Mercado Envios por conta do comprador"</formula>
    </cfRule>
  </conditionalFormatting>
  <conditionalFormatting sqref="X262">
    <cfRule type="cellIs" operator="equal" dxfId="1780" priority="1780">
      <formula>"Aceita"</formula>
    </cfRule>
  </conditionalFormatting>
  <conditionalFormatting sqref="Y262">
    <cfRule type="cellIs" operator="equal" dxfId="1781" priority="1781">
      <formula>"Clássico"</formula>
    </cfRule>
  </conditionalFormatting>
  <conditionalFormatting sqref="AA262">
    <cfRule type="cellIs" operator="equal" dxfId="1782" priority="1782">
      <formula>"Inativo"</formula>
    </cfRule>
  </conditionalFormatting>
  <conditionalFormatting sqref="AB262">
    <cfRule type="cellIs" operator="equal" dxfId="1783" priority="1783">
      <formula>"Garantia do vendedor"</formula>
    </cfRule>
  </conditionalFormatting>
  <conditionalFormatting sqref="AD262">
    <cfRule type="cellIs" operator="equal" dxfId="1784" priority="1784">
      <formula>"dias"</formula>
    </cfRule>
  </conditionalFormatting>
  <conditionalFormatting sqref="J263">
    <cfRule type="cellIs" operator="equal" dxfId="1785" priority="1785">
      <formula>"R$"</formula>
    </cfRule>
  </conditionalFormatting>
  <conditionalFormatting sqref="U263">
    <cfRule type="cellIs" operator="equal" dxfId="1786" priority="1786">
      <formula>"Novo"</formula>
    </cfRule>
  </conditionalFormatting>
  <conditionalFormatting sqref="W263">
    <cfRule type="cellIs" operator="equal" dxfId="1787" priority="1787">
      <formula>"Mercado Envios grátis"</formula>
    </cfRule>
  </conditionalFormatting>
  <conditionalFormatting sqref="X263">
    <cfRule type="cellIs" operator="equal" dxfId="1788" priority="1788">
      <formula>"Aceita"</formula>
    </cfRule>
  </conditionalFormatting>
  <conditionalFormatting sqref="Y263">
    <cfRule type="cellIs" operator="equal" dxfId="1789" priority="1789">
      <formula>"Clássico"</formula>
    </cfRule>
  </conditionalFormatting>
  <conditionalFormatting sqref="AA263">
    <cfRule type="cellIs" operator="equal" dxfId="1790" priority="1790">
      <formula>"Inativo"</formula>
    </cfRule>
  </conditionalFormatting>
  <conditionalFormatting sqref="AB263">
    <cfRule type="cellIs" operator="equal" dxfId="1791" priority="1791">
      <formula>"Garantia do vendedor"</formula>
    </cfRule>
  </conditionalFormatting>
  <conditionalFormatting sqref="AD263">
    <cfRule type="cellIs" operator="equal" dxfId="1792" priority="1792">
      <formula>"dias"</formula>
    </cfRule>
  </conditionalFormatting>
  <conditionalFormatting sqref="J264">
    <cfRule type="cellIs" operator="equal" dxfId="1793" priority="1793">
      <formula>"R$"</formula>
    </cfRule>
  </conditionalFormatting>
  <conditionalFormatting sqref="U264">
    <cfRule type="cellIs" operator="equal" dxfId="1794" priority="1794">
      <formula>"Novo"</formula>
    </cfRule>
  </conditionalFormatting>
  <conditionalFormatting sqref="W264">
    <cfRule type="cellIs" operator="equal" dxfId="1795" priority="1795">
      <formula>"Mercado Envios grátis"</formula>
    </cfRule>
  </conditionalFormatting>
  <conditionalFormatting sqref="X264">
    <cfRule type="cellIs" operator="equal" dxfId="1796" priority="1796">
      <formula>"Não aceito"</formula>
    </cfRule>
  </conditionalFormatting>
  <conditionalFormatting sqref="Y264">
    <cfRule type="cellIs" operator="equal" dxfId="1797" priority="1797">
      <formula>"Premium"</formula>
    </cfRule>
  </conditionalFormatting>
  <conditionalFormatting sqref="AA264">
    <cfRule type="cellIs" operator="equal" dxfId="1798" priority="1798">
      <formula>"Inativo"</formula>
    </cfRule>
  </conditionalFormatting>
  <conditionalFormatting sqref="AB264">
    <cfRule type="cellIs" operator="equal" dxfId="1799" priority="1799">
      <formula>"Garantia do vendedor"</formula>
    </cfRule>
  </conditionalFormatting>
  <conditionalFormatting sqref="AD264">
    <cfRule type="cellIs" operator="equal" dxfId="1800" priority="1800">
      <formula>"dias"</formula>
    </cfRule>
  </conditionalFormatting>
  <conditionalFormatting sqref="J265">
    <cfRule type="cellIs" operator="equal" dxfId="1801" priority="1801">
      <formula>"R$"</formula>
    </cfRule>
  </conditionalFormatting>
  <conditionalFormatting sqref="U265">
    <cfRule type="cellIs" operator="equal" dxfId="1802" priority="1802">
      <formula>"Novo"</formula>
    </cfRule>
  </conditionalFormatting>
  <conditionalFormatting sqref="W265">
    <cfRule type="cellIs" operator="equal" dxfId="1803" priority="1803">
      <formula>"Mercado Envios por conta do comprador"</formula>
    </cfRule>
  </conditionalFormatting>
  <conditionalFormatting sqref="X265">
    <cfRule type="cellIs" operator="equal" dxfId="1804" priority="1804">
      <formula>"Aceita"</formula>
    </cfRule>
  </conditionalFormatting>
  <conditionalFormatting sqref="Y265">
    <cfRule type="cellIs" operator="equal" dxfId="1805" priority="1805">
      <formula>"Premium"</formula>
    </cfRule>
  </conditionalFormatting>
  <conditionalFormatting sqref="AA265">
    <cfRule type="cellIs" operator="equal" dxfId="1806" priority="1806">
      <formula>"Inativo"</formula>
    </cfRule>
  </conditionalFormatting>
  <conditionalFormatting sqref="AB265">
    <cfRule type="cellIs" operator="equal" dxfId="1807" priority="1807">
      <formula>"Garantia do vendedor"</formula>
    </cfRule>
  </conditionalFormatting>
  <conditionalFormatting sqref="AD265">
    <cfRule type="cellIs" operator="equal" dxfId="1808" priority="1808">
      <formula>"meses"</formula>
    </cfRule>
  </conditionalFormatting>
  <conditionalFormatting sqref="J266">
    <cfRule type="cellIs" operator="equal" dxfId="1809" priority="1809">
      <formula>"R$"</formula>
    </cfRule>
  </conditionalFormatting>
  <conditionalFormatting sqref="U266">
    <cfRule type="cellIs" operator="equal" dxfId="1810" priority="1810">
      <formula>"Novo"</formula>
    </cfRule>
  </conditionalFormatting>
  <conditionalFormatting sqref="W266">
    <cfRule type="cellIs" operator="equal" dxfId="1811" priority="1811">
      <formula>"Mercado Envios por conta do comprador"</formula>
    </cfRule>
  </conditionalFormatting>
  <conditionalFormatting sqref="X266">
    <cfRule type="cellIs" operator="equal" dxfId="1812" priority="1812">
      <formula>"Não aceito"</formula>
    </cfRule>
  </conditionalFormatting>
  <conditionalFormatting sqref="Y266">
    <cfRule type="cellIs" operator="equal" dxfId="1813" priority="1813">
      <formula>"Clássico"</formula>
    </cfRule>
  </conditionalFormatting>
  <conditionalFormatting sqref="AA266">
    <cfRule type="cellIs" operator="equal" dxfId="1814" priority="1814">
      <formula>"Inativo"</formula>
    </cfRule>
  </conditionalFormatting>
  <conditionalFormatting sqref="AB266">
    <cfRule type="cellIs" operator="equal" dxfId="1815" priority="1815">
      <formula>"Garantia do vendedor"</formula>
    </cfRule>
  </conditionalFormatting>
  <conditionalFormatting sqref="AD266">
    <cfRule type="cellIs" operator="equal" dxfId="1816" priority="1816">
      <formula>"dias"</formula>
    </cfRule>
  </conditionalFormatting>
  <conditionalFormatting sqref="J267">
    <cfRule type="cellIs" operator="equal" dxfId="1817" priority="1817">
      <formula>"R$"</formula>
    </cfRule>
  </conditionalFormatting>
  <conditionalFormatting sqref="U267">
    <cfRule type="cellIs" operator="equal" dxfId="1818" priority="1818">
      <formula>"Novo"</formula>
    </cfRule>
  </conditionalFormatting>
  <conditionalFormatting sqref="W267">
    <cfRule type="cellIs" operator="equal" dxfId="1819" priority="1819">
      <formula>"Mercado Envios grátis"</formula>
    </cfRule>
  </conditionalFormatting>
  <conditionalFormatting sqref="X267">
    <cfRule type="cellIs" operator="equal" dxfId="1820" priority="1820">
      <formula>"Aceita"</formula>
    </cfRule>
  </conditionalFormatting>
  <conditionalFormatting sqref="Y267">
    <cfRule type="cellIs" operator="equal" dxfId="1821" priority="1821">
      <formula>"Premium"</formula>
    </cfRule>
  </conditionalFormatting>
  <conditionalFormatting sqref="AA267">
    <cfRule type="cellIs" operator="equal" dxfId="1822" priority="1822">
      <formula>"Inativo"</formula>
    </cfRule>
  </conditionalFormatting>
  <conditionalFormatting sqref="AB267">
    <cfRule type="cellIs" operator="equal" dxfId="1823" priority="1823">
      <formula>"Garantia do vendedor"</formula>
    </cfRule>
  </conditionalFormatting>
  <conditionalFormatting sqref="AD267">
    <cfRule type="cellIs" operator="equal" dxfId="1824" priority="1824">
      <formula>"dias"</formula>
    </cfRule>
  </conditionalFormatting>
  <conditionalFormatting sqref="J268">
    <cfRule type="cellIs" operator="equal" dxfId="1825" priority="1825">
      <formula>"R$"</formula>
    </cfRule>
  </conditionalFormatting>
  <conditionalFormatting sqref="U268">
    <cfRule type="cellIs" operator="equal" dxfId="1826" priority="1826">
      <formula>"Novo"</formula>
    </cfRule>
  </conditionalFormatting>
  <conditionalFormatting sqref="W268">
    <cfRule type="cellIs" operator="equal" dxfId="1827" priority="1827">
      <formula>"Mercado Envios por conta do comprador"</formula>
    </cfRule>
  </conditionalFormatting>
  <conditionalFormatting sqref="X268">
    <cfRule type="cellIs" operator="equal" dxfId="1828" priority="1828">
      <formula>"Não aceito"</formula>
    </cfRule>
  </conditionalFormatting>
  <conditionalFormatting sqref="Y268">
    <cfRule type="cellIs" operator="equal" dxfId="1829" priority="1829">
      <formula>"Premium"</formula>
    </cfRule>
  </conditionalFormatting>
  <conditionalFormatting sqref="AA268">
    <cfRule type="cellIs" operator="equal" dxfId="1830" priority="1830">
      <formula>"Inativo"</formula>
    </cfRule>
  </conditionalFormatting>
  <conditionalFormatting sqref="AB268">
    <cfRule type="cellIs" operator="equal" dxfId="1831" priority="1831">
      <formula>"Garantia do vendedor"</formula>
    </cfRule>
  </conditionalFormatting>
  <conditionalFormatting sqref="AD268">
    <cfRule type="cellIs" operator="equal" dxfId="1832" priority="1832">
      <formula>"dias"</formula>
    </cfRule>
  </conditionalFormatting>
  <conditionalFormatting sqref="J269">
    <cfRule type="cellIs" operator="equal" dxfId="1833" priority="1833">
      <formula>"R$"</formula>
    </cfRule>
  </conditionalFormatting>
  <conditionalFormatting sqref="W269">
    <cfRule type="cellIs" operator="equal" dxfId="1834" priority="1834">
      <formula>"Mercado Envios grátis"</formula>
    </cfRule>
  </conditionalFormatting>
  <conditionalFormatting sqref="X269">
    <cfRule type="cellIs" operator="equal" dxfId="1835" priority="1835">
      <formula>"Não aceito"</formula>
    </cfRule>
  </conditionalFormatting>
  <conditionalFormatting sqref="Y269">
    <cfRule type="cellIs" operator="equal" dxfId="1836" priority="1836">
      <formula>"Premium"</formula>
    </cfRule>
  </conditionalFormatting>
  <conditionalFormatting sqref="AA269">
    <cfRule type="cellIs" operator="equal" dxfId="1837" priority="1837">
      <formula>"Inativo"</formula>
    </cfRule>
  </conditionalFormatting>
  <conditionalFormatting sqref="AB269">
    <cfRule type="cellIs" operator="equal" dxfId="1838" priority="1838">
      <formula>"Garantia do vendedor"</formula>
    </cfRule>
  </conditionalFormatting>
  <conditionalFormatting sqref="AD269">
    <cfRule type="cellIs" operator="equal" dxfId="1839" priority="1839">
      <formula>"meses"</formula>
    </cfRule>
  </conditionalFormatting>
  <conditionalFormatting sqref="J270">
    <cfRule type="cellIs" operator="equal" dxfId="1840" priority="1840">
      <formula>"R$"</formula>
    </cfRule>
  </conditionalFormatting>
  <conditionalFormatting sqref="U270">
    <cfRule type="cellIs" operator="equal" dxfId="1841" priority="1841">
      <formula>"Novo"</formula>
    </cfRule>
  </conditionalFormatting>
  <conditionalFormatting sqref="W270">
    <cfRule type="cellIs" operator="equal" dxfId="1842" priority="1842">
      <formula>"Mercado Envios por conta do comprador"</formula>
    </cfRule>
  </conditionalFormatting>
  <conditionalFormatting sqref="X270">
    <cfRule type="cellIs" operator="equal" dxfId="1843" priority="1843">
      <formula>"Não aceito"</formula>
    </cfRule>
  </conditionalFormatting>
  <conditionalFormatting sqref="Y270">
    <cfRule type="cellIs" operator="equal" dxfId="1844" priority="1844">
      <formula>"Premium"</formula>
    </cfRule>
  </conditionalFormatting>
  <conditionalFormatting sqref="AA270">
    <cfRule type="cellIs" operator="equal" dxfId="1845" priority="1845">
      <formula>"Inativo"</formula>
    </cfRule>
  </conditionalFormatting>
  <conditionalFormatting sqref="AB270">
    <cfRule type="cellIs" operator="equal" dxfId="1846" priority="1846">
      <formula>"Garantia do vendedor"</formula>
    </cfRule>
  </conditionalFormatting>
  <conditionalFormatting sqref="AD270">
    <cfRule type="cellIs" operator="equal" dxfId="1847" priority="1847">
      <formula>"meses"</formula>
    </cfRule>
  </conditionalFormatting>
  <conditionalFormatting sqref="J271">
    <cfRule type="cellIs" operator="equal" dxfId="1848" priority="1848">
      <formula>"R$"</formula>
    </cfRule>
  </conditionalFormatting>
  <conditionalFormatting sqref="U271">
    <cfRule type="cellIs" operator="equal" dxfId="1849" priority="1849">
      <formula>"Novo"</formula>
    </cfRule>
  </conditionalFormatting>
  <conditionalFormatting sqref="W271">
    <cfRule type="cellIs" operator="equal" dxfId="1850" priority="1850">
      <formula>"Mercado Envios por conta do comprador"</formula>
    </cfRule>
  </conditionalFormatting>
  <conditionalFormatting sqref="X271">
    <cfRule type="cellIs" operator="equal" dxfId="1851" priority="1851">
      <formula>"Aceita"</formula>
    </cfRule>
  </conditionalFormatting>
  <conditionalFormatting sqref="Y271">
    <cfRule type="cellIs" operator="equal" dxfId="1852" priority="1852">
      <formula>"Clássico"</formula>
    </cfRule>
  </conditionalFormatting>
  <conditionalFormatting sqref="AA271">
    <cfRule type="cellIs" operator="equal" dxfId="1853" priority="1853">
      <formula>"Inativo"</formula>
    </cfRule>
  </conditionalFormatting>
  <conditionalFormatting sqref="AB271">
    <cfRule type="cellIs" operator="equal" dxfId="1854" priority="1854">
      <formula>"Garantia do vendedor"</formula>
    </cfRule>
  </conditionalFormatting>
  <conditionalFormatting sqref="AD271">
    <cfRule type="cellIs" operator="equal" dxfId="1855" priority="1855">
      <formula>"dias"</formula>
    </cfRule>
  </conditionalFormatting>
  <conditionalFormatting sqref="J272">
    <cfRule type="cellIs" operator="equal" dxfId="1856" priority="1856">
      <formula>"R$"</formula>
    </cfRule>
  </conditionalFormatting>
  <conditionalFormatting sqref="U272">
    <cfRule type="cellIs" operator="equal" dxfId="1857" priority="1857">
      <formula>"Novo"</formula>
    </cfRule>
  </conditionalFormatting>
  <conditionalFormatting sqref="W272">
    <cfRule type="cellIs" operator="equal" dxfId="1858" priority="1858">
      <formula>"Mercado Envios grátis"</formula>
    </cfRule>
  </conditionalFormatting>
  <conditionalFormatting sqref="X272">
    <cfRule type="cellIs" operator="equal" dxfId="1859" priority="1859">
      <formula>"Aceita"</formula>
    </cfRule>
  </conditionalFormatting>
  <conditionalFormatting sqref="Y272">
    <cfRule type="cellIs" operator="equal" dxfId="1860" priority="1860">
      <formula>"Clássico"</formula>
    </cfRule>
  </conditionalFormatting>
  <conditionalFormatting sqref="AA272">
    <cfRule type="cellIs" operator="equal" dxfId="1861" priority="1861">
      <formula>"Inativo"</formula>
    </cfRule>
  </conditionalFormatting>
  <conditionalFormatting sqref="AB272">
    <cfRule type="cellIs" operator="equal" dxfId="1862" priority="1862">
      <formula>"Garantia de fábrica"</formula>
    </cfRule>
  </conditionalFormatting>
  <conditionalFormatting sqref="AD272">
    <cfRule type="cellIs" operator="equal" dxfId="1863" priority="1863">
      <formula>"meses"</formula>
    </cfRule>
  </conditionalFormatting>
  <conditionalFormatting sqref="J273">
    <cfRule type="cellIs" operator="equal" dxfId="1864" priority="1864">
      <formula>"R$"</formula>
    </cfRule>
  </conditionalFormatting>
  <conditionalFormatting sqref="U273">
    <cfRule type="cellIs" operator="equal" dxfId="1865" priority="1865">
      <formula>"Novo"</formula>
    </cfRule>
  </conditionalFormatting>
  <conditionalFormatting sqref="W273">
    <cfRule type="cellIs" operator="equal" dxfId="1866" priority="1866">
      <formula>"Mercado Envios por conta do comprador"</formula>
    </cfRule>
  </conditionalFormatting>
  <conditionalFormatting sqref="X273">
    <cfRule type="cellIs" operator="equal" dxfId="1867" priority="1867">
      <formula>"Aceita"</formula>
    </cfRule>
  </conditionalFormatting>
  <conditionalFormatting sqref="Y273">
    <cfRule type="cellIs" operator="equal" dxfId="1868" priority="1868">
      <formula>"Clássico"</formula>
    </cfRule>
  </conditionalFormatting>
  <conditionalFormatting sqref="AA273">
    <cfRule type="cellIs" operator="equal" dxfId="1869" priority="1869">
      <formula>"Inativo"</formula>
    </cfRule>
  </conditionalFormatting>
  <conditionalFormatting sqref="AB273">
    <cfRule type="cellIs" operator="equal" dxfId="1870" priority="1870">
      <formula>"Garantia do vendedor"</formula>
    </cfRule>
  </conditionalFormatting>
  <conditionalFormatting sqref="AD273">
    <cfRule type="cellIs" operator="equal" dxfId="1871" priority="1871">
      <formula>"meses"</formula>
    </cfRule>
  </conditionalFormatting>
  <conditionalFormatting sqref="J274">
    <cfRule type="cellIs" operator="equal" dxfId="1872" priority="1872">
      <formula>"R$"</formula>
    </cfRule>
  </conditionalFormatting>
  <conditionalFormatting sqref="U274">
    <cfRule type="cellIs" operator="equal" dxfId="1873" priority="1873">
      <formula>"Novo"</formula>
    </cfRule>
  </conditionalFormatting>
  <conditionalFormatting sqref="W274">
    <cfRule type="cellIs" operator="equal" dxfId="1874" priority="1874">
      <formula>"Mercado Envios grátis"</formula>
    </cfRule>
  </conditionalFormatting>
  <conditionalFormatting sqref="X274">
    <cfRule type="cellIs" operator="equal" dxfId="1875" priority="1875">
      <formula>"Aceita"</formula>
    </cfRule>
  </conditionalFormatting>
  <conditionalFormatting sqref="Y274">
    <cfRule type="cellIs" operator="equal" dxfId="1876" priority="1876">
      <formula>"Clássico"</formula>
    </cfRule>
  </conditionalFormatting>
  <conditionalFormatting sqref="AA274">
    <cfRule type="cellIs" operator="equal" dxfId="1877" priority="1877">
      <formula>"Inativo"</formula>
    </cfRule>
  </conditionalFormatting>
  <conditionalFormatting sqref="AB274">
    <cfRule type="cellIs" operator="equal" dxfId="1878" priority="1878">
      <formula>"Garantia do vendedor"</formula>
    </cfRule>
  </conditionalFormatting>
  <conditionalFormatting sqref="AD274">
    <cfRule type="cellIs" operator="equal" dxfId="1879" priority="1879">
      <formula>"meses"</formula>
    </cfRule>
  </conditionalFormatting>
  <conditionalFormatting sqref="J275">
    <cfRule type="cellIs" operator="equal" dxfId="1880" priority="1880">
      <formula>"R$"</formula>
    </cfRule>
  </conditionalFormatting>
  <conditionalFormatting sqref="U275">
    <cfRule type="cellIs" operator="equal" dxfId="1881" priority="1881">
      <formula>"Novo"</formula>
    </cfRule>
  </conditionalFormatting>
  <conditionalFormatting sqref="W275">
    <cfRule type="cellIs" operator="equal" dxfId="1882" priority="1882">
      <formula>"Mercado Envios por conta do comprador"</formula>
    </cfRule>
  </conditionalFormatting>
  <conditionalFormatting sqref="X275">
    <cfRule type="cellIs" operator="equal" dxfId="1883" priority="1883">
      <formula>"Aceita"</formula>
    </cfRule>
  </conditionalFormatting>
  <conditionalFormatting sqref="Y275">
    <cfRule type="cellIs" operator="equal" dxfId="1884" priority="1884">
      <formula>"Clássico"</formula>
    </cfRule>
  </conditionalFormatting>
  <conditionalFormatting sqref="AA275">
    <cfRule type="cellIs" operator="equal" dxfId="1885" priority="1885">
      <formula>"Inativo"</formula>
    </cfRule>
  </conditionalFormatting>
  <conditionalFormatting sqref="AB275">
    <cfRule type="cellIs" operator="equal" dxfId="1886" priority="1886">
      <formula>"Garantia do vendedor"</formula>
    </cfRule>
  </conditionalFormatting>
  <conditionalFormatting sqref="AD275">
    <cfRule type="cellIs" operator="equal" dxfId="1887" priority="1887">
      <formula>"meses"</formula>
    </cfRule>
  </conditionalFormatting>
  <conditionalFormatting sqref="J276">
    <cfRule type="cellIs" operator="equal" dxfId="1888" priority="1888">
      <formula>"R$"</formula>
    </cfRule>
  </conditionalFormatting>
  <conditionalFormatting sqref="U276">
    <cfRule type="cellIs" operator="equal" dxfId="1889" priority="1889">
      <formula>"Novo"</formula>
    </cfRule>
  </conditionalFormatting>
  <conditionalFormatting sqref="W276">
    <cfRule type="cellIs" operator="equal" dxfId="1890" priority="1890">
      <formula>"Mercado Envios grátis"</formula>
    </cfRule>
  </conditionalFormatting>
  <conditionalFormatting sqref="X276">
    <cfRule type="cellIs" operator="equal" dxfId="1891" priority="1891">
      <formula>"Não aceito"</formula>
    </cfRule>
  </conditionalFormatting>
  <conditionalFormatting sqref="Y276">
    <cfRule type="cellIs" operator="equal" dxfId="1892" priority="1892">
      <formula>"Premium"</formula>
    </cfRule>
  </conditionalFormatting>
  <conditionalFormatting sqref="AA276">
    <cfRule type="cellIs" operator="equal" dxfId="1893" priority="1893">
      <formula>"Inativo"</formula>
    </cfRule>
  </conditionalFormatting>
  <conditionalFormatting sqref="AB276">
    <cfRule type="cellIs" operator="equal" dxfId="1894" priority="1894">
      <formula>"Garantia de fábrica"</formula>
    </cfRule>
  </conditionalFormatting>
  <conditionalFormatting sqref="AD276">
    <cfRule type="cellIs" operator="equal" dxfId="1895" priority="1895">
      <formula>"dias"</formula>
    </cfRule>
  </conditionalFormatting>
  <conditionalFormatting sqref="J277">
    <cfRule type="cellIs" operator="equal" dxfId="1896" priority="1896">
      <formula>"R$"</formula>
    </cfRule>
  </conditionalFormatting>
  <conditionalFormatting sqref="U277">
    <cfRule type="cellIs" operator="equal" dxfId="1897" priority="1897">
      <formula>"Novo"</formula>
    </cfRule>
  </conditionalFormatting>
  <conditionalFormatting sqref="W277">
    <cfRule type="cellIs" operator="equal" dxfId="1898" priority="1898">
      <formula>"Mercado Envios grátis"</formula>
    </cfRule>
  </conditionalFormatting>
  <conditionalFormatting sqref="X277">
    <cfRule type="cellIs" operator="equal" dxfId="1899" priority="1899">
      <formula>"Aceita"</formula>
    </cfRule>
  </conditionalFormatting>
  <conditionalFormatting sqref="Y277">
    <cfRule type="cellIs" operator="equal" dxfId="1900" priority="1900">
      <formula>"Premium"</formula>
    </cfRule>
  </conditionalFormatting>
  <conditionalFormatting sqref="AA277">
    <cfRule type="cellIs" operator="equal" dxfId="1901" priority="1901">
      <formula>"Inativo"</formula>
    </cfRule>
  </conditionalFormatting>
  <conditionalFormatting sqref="AB277">
    <cfRule type="cellIs" operator="equal" dxfId="1902" priority="1902">
      <formula>"Garantia do vendedor"</formula>
    </cfRule>
  </conditionalFormatting>
  <conditionalFormatting sqref="AD277">
    <cfRule type="cellIs" operator="equal" dxfId="1903" priority="1903">
      <formula>"dias"</formula>
    </cfRule>
  </conditionalFormatting>
  <conditionalFormatting sqref="J278">
    <cfRule type="cellIs" operator="equal" dxfId="1904" priority="1904">
      <formula>"R$"</formula>
    </cfRule>
  </conditionalFormatting>
  <conditionalFormatting sqref="U278">
    <cfRule type="cellIs" operator="equal" dxfId="1905" priority="1905">
      <formula>"Novo"</formula>
    </cfRule>
  </conditionalFormatting>
  <conditionalFormatting sqref="W278">
    <cfRule type="cellIs" operator="equal" dxfId="1906" priority="1906">
      <formula>"Mercado Envios por conta do comprador"</formula>
    </cfRule>
  </conditionalFormatting>
  <conditionalFormatting sqref="X278">
    <cfRule type="cellIs" operator="equal" dxfId="1907" priority="1907">
      <formula>"Aceita"</formula>
    </cfRule>
  </conditionalFormatting>
  <conditionalFormatting sqref="Y278">
    <cfRule type="cellIs" operator="equal" dxfId="1908" priority="1908">
      <formula>"Clássico"</formula>
    </cfRule>
  </conditionalFormatting>
  <conditionalFormatting sqref="AA278">
    <cfRule type="cellIs" operator="equal" dxfId="1909" priority="1909">
      <formula>"Inativo"</formula>
    </cfRule>
  </conditionalFormatting>
  <conditionalFormatting sqref="AB278">
    <cfRule type="cellIs" operator="equal" dxfId="1910" priority="1910">
      <formula>"Garantia do vendedor"</formula>
    </cfRule>
  </conditionalFormatting>
  <conditionalFormatting sqref="AD278">
    <cfRule type="cellIs" operator="equal" dxfId="1911" priority="1911">
      <formula>"meses"</formula>
    </cfRule>
  </conditionalFormatting>
  <conditionalFormatting sqref="J279">
    <cfRule type="cellIs" operator="equal" dxfId="1912" priority="1912">
      <formula>"R$"</formula>
    </cfRule>
  </conditionalFormatting>
  <conditionalFormatting sqref="U279">
    <cfRule type="cellIs" operator="equal" dxfId="1913" priority="1913">
      <formula>"Novo"</formula>
    </cfRule>
  </conditionalFormatting>
  <conditionalFormatting sqref="W279">
    <cfRule type="cellIs" operator="equal" dxfId="1914" priority="1914">
      <formula>"Mercado Envios grátis"</formula>
    </cfRule>
  </conditionalFormatting>
  <conditionalFormatting sqref="X279">
    <cfRule type="cellIs" operator="equal" dxfId="1915" priority="1915">
      <formula>"Não aceito"</formula>
    </cfRule>
  </conditionalFormatting>
  <conditionalFormatting sqref="Y279">
    <cfRule type="cellIs" operator="equal" dxfId="1916" priority="1916">
      <formula>"Premium"</formula>
    </cfRule>
  </conditionalFormatting>
  <conditionalFormatting sqref="AA279">
    <cfRule type="cellIs" operator="equal" dxfId="1917" priority="1917">
      <formula>"Inativo"</formula>
    </cfRule>
  </conditionalFormatting>
  <conditionalFormatting sqref="AB279">
    <cfRule type="cellIs" operator="equal" dxfId="1918" priority="1918">
      <formula>"Sem garantia"</formula>
    </cfRule>
  </conditionalFormatting>
  <conditionalFormatting sqref="AD279">
    <cfRule type="cellIs" operator="equal" dxfId="1919" priority="1919">
      <formula>""</formula>
    </cfRule>
  </conditionalFormatting>
  <conditionalFormatting sqref="J280">
    <cfRule type="cellIs" operator="equal" dxfId="1920" priority="1920">
      <formula>"R$"</formula>
    </cfRule>
  </conditionalFormatting>
  <conditionalFormatting sqref="U280">
    <cfRule type="cellIs" operator="equal" dxfId="1921" priority="1921">
      <formula>"Novo"</formula>
    </cfRule>
  </conditionalFormatting>
  <conditionalFormatting sqref="W280">
    <cfRule type="cellIs" operator="equal" dxfId="1922" priority="1922">
      <formula>"Mercado Envios por conta do comprador"</formula>
    </cfRule>
  </conditionalFormatting>
  <conditionalFormatting sqref="X280">
    <cfRule type="cellIs" operator="equal" dxfId="1923" priority="1923">
      <formula>"Não aceito"</formula>
    </cfRule>
  </conditionalFormatting>
  <conditionalFormatting sqref="Y280">
    <cfRule type="cellIs" operator="equal" dxfId="1924" priority="1924">
      <formula>"Clássico"</formula>
    </cfRule>
  </conditionalFormatting>
  <conditionalFormatting sqref="AA280">
    <cfRule type="cellIs" operator="equal" dxfId="1925" priority="1925">
      <formula>"Inativo"</formula>
    </cfRule>
  </conditionalFormatting>
  <conditionalFormatting sqref="AB280">
    <cfRule type="cellIs" operator="equal" dxfId="1926" priority="1926">
      <formula>"Garantia do vendedor"</formula>
    </cfRule>
  </conditionalFormatting>
  <conditionalFormatting sqref="AD280">
    <cfRule type="cellIs" operator="equal" dxfId="1927" priority="1927">
      <formula>"dias"</formula>
    </cfRule>
  </conditionalFormatting>
  <conditionalFormatting sqref="J281">
    <cfRule type="cellIs" operator="equal" dxfId="1928" priority="1928">
      <formula>"R$"</formula>
    </cfRule>
  </conditionalFormatting>
  <conditionalFormatting sqref="U281">
    <cfRule type="cellIs" operator="equal" dxfId="1929" priority="1929">
      <formula>"Novo"</formula>
    </cfRule>
  </conditionalFormatting>
  <conditionalFormatting sqref="W281">
    <cfRule type="cellIs" operator="equal" dxfId="1930" priority="1930">
      <formula>"Mercado Envios grátis"</formula>
    </cfRule>
  </conditionalFormatting>
  <conditionalFormatting sqref="X281">
    <cfRule type="cellIs" operator="equal" dxfId="1931" priority="1931">
      <formula>"Aceita"</formula>
    </cfRule>
  </conditionalFormatting>
  <conditionalFormatting sqref="Y281">
    <cfRule type="cellIs" operator="equal" dxfId="1932" priority="1932">
      <formula>"Clássico"</formula>
    </cfRule>
  </conditionalFormatting>
  <conditionalFormatting sqref="AA281">
    <cfRule type="cellIs" operator="equal" dxfId="1933" priority="1933">
      <formula>"Inativo"</formula>
    </cfRule>
  </conditionalFormatting>
  <conditionalFormatting sqref="AB281">
    <cfRule type="cellIs" operator="equal" dxfId="1934" priority="1934">
      <formula>"Garantia do vendedor"</formula>
    </cfRule>
  </conditionalFormatting>
  <conditionalFormatting sqref="AD281">
    <cfRule type="cellIs" operator="equal" dxfId="1935" priority="1935">
      <formula>"dias"</formula>
    </cfRule>
  </conditionalFormatting>
  <conditionalFormatting sqref="J282">
    <cfRule type="cellIs" operator="equal" dxfId="1936" priority="1936">
      <formula>"R$"</formula>
    </cfRule>
  </conditionalFormatting>
  <conditionalFormatting sqref="U282">
    <cfRule type="cellIs" operator="equal" dxfId="1937" priority="1937">
      <formula>"Novo"</formula>
    </cfRule>
  </conditionalFormatting>
  <conditionalFormatting sqref="W282">
    <cfRule type="cellIs" operator="equal" dxfId="1938" priority="1938">
      <formula>"Mercado Envios por conta do comprador"</formula>
    </cfRule>
  </conditionalFormatting>
  <conditionalFormatting sqref="X282">
    <cfRule type="cellIs" operator="equal" dxfId="1939" priority="1939">
      <formula>"Aceita"</formula>
    </cfRule>
  </conditionalFormatting>
  <conditionalFormatting sqref="Y282">
    <cfRule type="cellIs" operator="equal" dxfId="1940" priority="1940">
      <formula>"Clássico"</formula>
    </cfRule>
  </conditionalFormatting>
  <conditionalFormatting sqref="AA282">
    <cfRule type="cellIs" operator="equal" dxfId="1941" priority="1941">
      <formula>"Inativo"</formula>
    </cfRule>
  </conditionalFormatting>
  <conditionalFormatting sqref="AB282">
    <cfRule type="cellIs" operator="equal" dxfId="1942" priority="1942">
      <formula>"Garantia de fábrica"</formula>
    </cfRule>
  </conditionalFormatting>
  <conditionalFormatting sqref="AD282">
    <cfRule type="cellIs" operator="equal" dxfId="1943" priority="1943">
      <formula>"meses"</formula>
    </cfRule>
  </conditionalFormatting>
  <conditionalFormatting sqref="J283">
    <cfRule type="cellIs" operator="equal" dxfId="1944" priority="1944">
      <formula>"R$"</formula>
    </cfRule>
  </conditionalFormatting>
  <conditionalFormatting sqref="U283">
    <cfRule type="cellIs" operator="equal" dxfId="1945" priority="1945">
      <formula>"Novo"</formula>
    </cfRule>
  </conditionalFormatting>
  <conditionalFormatting sqref="W283">
    <cfRule type="cellIs" operator="equal" dxfId="1946" priority="1946">
      <formula>"Mercado Envios por conta do comprador"</formula>
    </cfRule>
  </conditionalFormatting>
  <conditionalFormatting sqref="X283">
    <cfRule type="cellIs" operator="equal" dxfId="1947" priority="1947">
      <formula>"Aceita"</formula>
    </cfRule>
  </conditionalFormatting>
  <conditionalFormatting sqref="Y283">
    <cfRule type="cellIs" operator="equal" dxfId="1948" priority="1948">
      <formula>"Clássico"</formula>
    </cfRule>
  </conditionalFormatting>
  <conditionalFormatting sqref="AA283">
    <cfRule type="cellIs" operator="equal" dxfId="1949" priority="1949">
      <formula>"Inativo"</formula>
    </cfRule>
  </conditionalFormatting>
  <conditionalFormatting sqref="AB283">
    <cfRule type="cellIs" operator="equal" dxfId="1950" priority="1950">
      <formula>"Garantia do vendedor"</formula>
    </cfRule>
  </conditionalFormatting>
  <conditionalFormatting sqref="AD283">
    <cfRule type="cellIs" operator="equal" dxfId="1951" priority="1951">
      <formula>"meses"</formula>
    </cfRule>
  </conditionalFormatting>
  <conditionalFormatting sqref="J284">
    <cfRule type="cellIs" operator="equal" dxfId="1952" priority="1952">
      <formula>"R$"</formula>
    </cfRule>
  </conditionalFormatting>
  <conditionalFormatting sqref="U284">
    <cfRule type="cellIs" operator="equal" dxfId="1953" priority="1953">
      <formula>"Novo"</formula>
    </cfRule>
  </conditionalFormatting>
  <conditionalFormatting sqref="W284">
    <cfRule type="cellIs" operator="equal" dxfId="1954" priority="1954">
      <formula>"Mercado Envios por conta do comprador"</formula>
    </cfRule>
  </conditionalFormatting>
  <conditionalFormatting sqref="X284">
    <cfRule type="cellIs" operator="equal" dxfId="1955" priority="1955">
      <formula>"Aceita"</formula>
    </cfRule>
  </conditionalFormatting>
  <conditionalFormatting sqref="Y284">
    <cfRule type="cellIs" operator="equal" dxfId="1956" priority="1956">
      <formula>"Premium"</formula>
    </cfRule>
  </conditionalFormatting>
  <conditionalFormatting sqref="AA284">
    <cfRule type="cellIs" operator="equal" dxfId="1957" priority="1957">
      <formula>"Inativo"</formula>
    </cfRule>
  </conditionalFormatting>
  <conditionalFormatting sqref="AB284">
    <cfRule type="cellIs" operator="equal" dxfId="1958" priority="1958">
      <formula>"Garantia do vendedor"</formula>
    </cfRule>
  </conditionalFormatting>
  <conditionalFormatting sqref="AD284">
    <cfRule type="cellIs" operator="equal" dxfId="1959" priority="1959">
      <formula>"meses"</formula>
    </cfRule>
  </conditionalFormatting>
  <conditionalFormatting sqref="J285">
    <cfRule type="cellIs" operator="equal" dxfId="1960" priority="1960">
      <formula>"R$"</formula>
    </cfRule>
  </conditionalFormatting>
  <conditionalFormatting sqref="U285">
    <cfRule type="cellIs" operator="equal" dxfId="1961" priority="1961">
      <formula>"Novo"</formula>
    </cfRule>
  </conditionalFormatting>
  <conditionalFormatting sqref="W285">
    <cfRule type="cellIs" operator="equal" dxfId="1962" priority="1962">
      <formula>"Mercado Envios por conta do comprador"</formula>
    </cfRule>
  </conditionalFormatting>
  <conditionalFormatting sqref="X285">
    <cfRule type="cellIs" operator="equal" dxfId="1963" priority="1963">
      <formula>"Aceita"</formula>
    </cfRule>
  </conditionalFormatting>
  <conditionalFormatting sqref="Y285">
    <cfRule type="cellIs" operator="equal" dxfId="1964" priority="1964">
      <formula>"Premium"</formula>
    </cfRule>
  </conditionalFormatting>
  <conditionalFormatting sqref="AA285">
    <cfRule type="cellIs" operator="equal" dxfId="1965" priority="1965">
      <formula>"Inativo"</formula>
    </cfRule>
  </conditionalFormatting>
  <conditionalFormatting sqref="AB285">
    <cfRule type="cellIs" operator="equal" dxfId="1966" priority="1966">
      <formula>"Garantia do vendedor"</formula>
    </cfRule>
  </conditionalFormatting>
  <conditionalFormatting sqref="AD285">
    <cfRule type="cellIs" operator="equal" dxfId="1967" priority="1967">
      <formula>"meses"</formula>
    </cfRule>
  </conditionalFormatting>
  <conditionalFormatting sqref="J286">
    <cfRule type="cellIs" operator="equal" dxfId="1968" priority="1968">
      <formula>"R$"</formula>
    </cfRule>
  </conditionalFormatting>
  <conditionalFormatting sqref="U286">
    <cfRule type="cellIs" operator="equal" dxfId="1969" priority="1969">
      <formula>"Novo"</formula>
    </cfRule>
  </conditionalFormatting>
  <conditionalFormatting sqref="W286">
    <cfRule type="cellIs" operator="equal" dxfId="1970" priority="1970">
      <formula>"Mercado Envios por conta do comprador"</formula>
    </cfRule>
  </conditionalFormatting>
  <conditionalFormatting sqref="X286">
    <cfRule type="cellIs" operator="equal" dxfId="1971" priority="1971">
      <formula>"Aceita"</formula>
    </cfRule>
  </conditionalFormatting>
  <conditionalFormatting sqref="Y286">
    <cfRule type="cellIs" operator="equal" dxfId="1972" priority="1972">
      <formula>"Premium"</formula>
    </cfRule>
  </conditionalFormatting>
  <conditionalFormatting sqref="AA286">
    <cfRule type="cellIs" operator="equal" dxfId="1973" priority="1973">
      <formula>"Inativo"</formula>
    </cfRule>
  </conditionalFormatting>
  <conditionalFormatting sqref="AB286">
    <cfRule type="cellIs" operator="equal" dxfId="1974" priority="1974">
      <formula>"Garantia do vendedor"</formula>
    </cfRule>
  </conditionalFormatting>
  <conditionalFormatting sqref="AD286">
    <cfRule type="cellIs" operator="equal" dxfId="1975" priority="1975">
      <formula>"meses"</formula>
    </cfRule>
  </conditionalFormatting>
  <conditionalFormatting sqref="J287">
    <cfRule type="cellIs" operator="equal" dxfId="1976" priority="1976">
      <formula>"R$"</formula>
    </cfRule>
  </conditionalFormatting>
  <conditionalFormatting sqref="U287">
    <cfRule type="cellIs" operator="equal" dxfId="1977" priority="1977">
      <formula>"Novo"</formula>
    </cfRule>
  </conditionalFormatting>
  <conditionalFormatting sqref="W287">
    <cfRule type="cellIs" operator="equal" dxfId="1978" priority="1978">
      <formula>"Mercado Envios grátis"</formula>
    </cfRule>
  </conditionalFormatting>
  <conditionalFormatting sqref="X287">
    <cfRule type="cellIs" operator="equal" dxfId="1979" priority="1979">
      <formula>"Não aceito"</formula>
    </cfRule>
  </conditionalFormatting>
  <conditionalFormatting sqref="Y287">
    <cfRule type="cellIs" operator="equal" dxfId="1980" priority="1980">
      <formula>"Clássico"</formula>
    </cfRule>
  </conditionalFormatting>
  <conditionalFormatting sqref="AA287">
    <cfRule type="cellIs" operator="equal" dxfId="1981" priority="1981">
      <formula>"Inativo"</formula>
    </cfRule>
  </conditionalFormatting>
  <conditionalFormatting sqref="AB287">
    <cfRule type="cellIs" operator="equal" dxfId="1982" priority="1982">
      <formula>"Garantia do vendedor"</formula>
    </cfRule>
  </conditionalFormatting>
  <conditionalFormatting sqref="AD287">
    <cfRule type="cellIs" operator="equal" dxfId="1983" priority="1983">
      <formula>"dias"</formula>
    </cfRule>
  </conditionalFormatting>
  <conditionalFormatting sqref="J288">
    <cfRule type="cellIs" operator="equal" dxfId="1984" priority="1984">
      <formula>"R$"</formula>
    </cfRule>
  </conditionalFormatting>
  <conditionalFormatting sqref="U288">
    <cfRule type="cellIs" operator="equal" dxfId="1985" priority="1985">
      <formula>"Novo"</formula>
    </cfRule>
  </conditionalFormatting>
  <conditionalFormatting sqref="W288">
    <cfRule type="cellIs" operator="equal" dxfId="1986" priority="1986">
      <formula>"Mercado Envios por conta do comprador"</formula>
    </cfRule>
  </conditionalFormatting>
  <conditionalFormatting sqref="X288">
    <cfRule type="cellIs" operator="equal" dxfId="1987" priority="1987">
      <formula>"Não aceito"</formula>
    </cfRule>
  </conditionalFormatting>
  <conditionalFormatting sqref="Y288">
    <cfRule type="cellIs" operator="equal" dxfId="1988" priority="1988">
      <formula>"Clássico"</formula>
    </cfRule>
  </conditionalFormatting>
  <conditionalFormatting sqref="AA288">
    <cfRule type="cellIs" operator="equal" dxfId="1989" priority="1989">
      <formula>"Inativo"</formula>
    </cfRule>
  </conditionalFormatting>
  <conditionalFormatting sqref="AB288">
    <cfRule type="cellIs" operator="equal" dxfId="1990" priority="1990">
      <formula>"Garantia de fábrica"</formula>
    </cfRule>
  </conditionalFormatting>
  <conditionalFormatting sqref="AD288">
    <cfRule type="cellIs" operator="equal" dxfId="1991" priority="1991">
      <formula>"meses"</formula>
    </cfRule>
  </conditionalFormatting>
  <conditionalFormatting sqref="J289">
    <cfRule type="cellIs" operator="equal" dxfId="1992" priority="1992">
      <formula>"R$"</formula>
    </cfRule>
  </conditionalFormatting>
  <conditionalFormatting sqref="U289">
    <cfRule type="cellIs" operator="equal" dxfId="1993" priority="1993">
      <formula>"Novo"</formula>
    </cfRule>
  </conditionalFormatting>
  <conditionalFormatting sqref="W289">
    <cfRule type="cellIs" operator="equal" dxfId="1994" priority="1994">
      <formula>"Mercado Envios grátis"</formula>
    </cfRule>
  </conditionalFormatting>
  <conditionalFormatting sqref="X289">
    <cfRule type="cellIs" operator="equal" dxfId="1995" priority="1995">
      <formula>"Não aceito"</formula>
    </cfRule>
  </conditionalFormatting>
  <conditionalFormatting sqref="Y289">
    <cfRule type="cellIs" operator="equal" dxfId="1996" priority="1996">
      <formula>"Premium"</formula>
    </cfRule>
  </conditionalFormatting>
  <conditionalFormatting sqref="AA289">
    <cfRule type="cellIs" operator="equal" dxfId="1997" priority="1997">
      <formula>"Inativo"</formula>
    </cfRule>
  </conditionalFormatting>
  <conditionalFormatting sqref="AB289">
    <cfRule type="cellIs" operator="equal" dxfId="1998" priority="1998">
      <formula>"Garantia do vendedor"</formula>
    </cfRule>
  </conditionalFormatting>
  <conditionalFormatting sqref="AD289">
    <cfRule type="cellIs" operator="equal" dxfId="1999" priority="1999">
      <formula>"dias"</formula>
    </cfRule>
  </conditionalFormatting>
  <conditionalFormatting sqref="J290">
    <cfRule type="cellIs" operator="equal" dxfId="2000" priority="2000">
      <formula>"R$"</formula>
    </cfRule>
  </conditionalFormatting>
  <conditionalFormatting sqref="U290">
    <cfRule type="cellIs" operator="equal" dxfId="2001" priority="2001">
      <formula>"Novo"</formula>
    </cfRule>
  </conditionalFormatting>
  <conditionalFormatting sqref="W290">
    <cfRule type="cellIs" operator="equal" dxfId="2002" priority="2002">
      <formula>"Mercado Envios grátis"</formula>
    </cfRule>
  </conditionalFormatting>
  <conditionalFormatting sqref="X290">
    <cfRule type="cellIs" operator="equal" dxfId="2003" priority="2003">
      <formula>"Não aceito"</formula>
    </cfRule>
  </conditionalFormatting>
  <conditionalFormatting sqref="Y290">
    <cfRule type="cellIs" operator="equal" dxfId="2004" priority="2004">
      <formula>"Premium"</formula>
    </cfRule>
  </conditionalFormatting>
  <conditionalFormatting sqref="AA290">
    <cfRule type="cellIs" operator="equal" dxfId="2005" priority="2005">
      <formula>"Inativo"</formula>
    </cfRule>
  </conditionalFormatting>
  <conditionalFormatting sqref="AB290">
    <cfRule type="cellIs" operator="equal" dxfId="2006" priority="2006">
      <formula>"Garantia do vendedor"</formula>
    </cfRule>
  </conditionalFormatting>
  <conditionalFormatting sqref="AD290">
    <cfRule type="cellIs" operator="equal" dxfId="2007" priority="2007">
      <formula>"meses"</formula>
    </cfRule>
  </conditionalFormatting>
  <conditionalFormatting sqref="J291">
    <cfRule type="cellIs" operator="equal" dxfId="2008" priority="2008">
      <formula>"R$"</formula>
    </cfRule>
  </conditionalFormatting>
  <conditionalFormatting sqref="U291">
    <cfRule type="cellIs" operator="equal" dxfId="2009" priority="2009">
      <formula>"Novo"</formula>
    </cfRule>
  </conditionalFormatting>
  <conditionalFormatting sqref="W291">
    <cfRule type="cellIs" operator="equal" dxfId="2010" priority="2010">
      <formula>"Mercado Envios grátis"</formula>
    </cfRule>
  </conditionalFormatting>
  <conditionalFormatting sqref="X291">
    <cfRule type="cellIs" operator="equal" dxfId="2011" priority="2011">
      <formula>"Não aceito"</formula>
    </cfRule>
  </conditionalFormatting>
  <conditionalFormatting sqref="Y291">
    <cfRule type="cellIs" operator="equal" dxfId="2012" priority="2012">
      <formula>"Premium"</formula>
    </cfRule>
  </conditionalFormatting>
  <conditionalFormatting sqref="AA291">
    <cfRule type="cellIs" operator="equal" dxfId="2013" priority="2013">
      <formula>"Inativo"</formula>
    </cfRule>
  </conditionalFormatting>
  <conditionalFormatting sqref="AB291">
    <cfRule type="cellIs" operator="equal" dxfId="2014" priority="2014">
      <formula>"Garantia do vendedor"</formula>
    </cfRule>
  </conditionalFormatting>
  <conditionalFormatting sqref="AD291">
    <cfRule type="cellIs" operator="equal" dxfId="2015" priority="2015">
      <formula>"dias"</formula>
    </cfRule>
  </conditionalFormatting>
  <conditionalFormatting sqref="J292">
    <cfRule type="cellIs" operator="equal" dxfId="2016" priority="2016">
      <formula>"R$"</formula>
    </cfRule>
  </conditionalFormatting>
  <conditionalFormatting sqref="U292">
    <cfRule type="cellIs" operator="equal" dxfId="2017" priority="2017">
      <formula>"Novo"</formula>
    </cfRule>
  </conditionalFormatting>
  <conditionalFormatting sqref="W292">
    <cfRule type="cellIs" operator="equal" dxfId="2018" priority="2018">
      <formula>"Mercado Envios grátis"</formula>
    </cfRule>
  </conditionalFormatting>
  <conditionalFormatting sqref="X292">
    <cfRule type="cellIs" operator="equal" dxfId="2019" priority="2019">
      <formula>"Não aceito"</formula>
    </cfRule>
  </conditionalFormatting>
  <conditionalFormatting sqref="Y292">
    <cfRule type="cellIs" operator="equal" dxfId="2020" priority="2020">
      <formula>"Premium"</formula>
    </cfRule>
  </conditionalFormatting>
  <conditionalFormatting sqref="AA292">
    <cfRule type="cellIs" operator="equal" dxfId="2021" priority="2021">
      <formula>"Inativo"</formula>
    </cfRule>
  </conditionalFormatting>
  <conditionalFormatting sqref="AB292">
    <cfRule type="cellIs" operator="equal" dxfId="2022" priority="2022">
      <formula>"Garantia do vendedor"</formula>
    </cfRule>
  </conditionalFormatting>
  <conditionalFormatting sqref="AD292">
    <cfRule type="cellIs" operator="equal" dxfId="2023" priority="2023">
      <formula>"dias"</formula>
    </cfRule>
  </conditionalFormatting>
  <conditionalFormatting sqref="J293">
    <cfRule type="cellIs" operator="equal" dxfId="2024" priority="2024">
      <formula>"R$"</formula>
    </cfRule>
  </conditionalFormatting>
  <conditionalFormatting sqref="U293">
    <cfRule type="cellIs" operator="equal" dxfId="2025" priority="2025">
      <formula>"Novo"</formula>
    </cfRule>
  </conditionalFormatting>
  <conditionalFormatting sqref="W293">
    <cfRule type="cellIs" operator="equal" dxfId="2026" priority="2026">
      <formula>"Mercado Envios grátis"</formula>
    </cfRule>
  </conditionalFormatting>
  <conditionalFormatting sqref="X293">
    <cfRule type="cellIs" operator="equal" dxfId="2027" priority="2027">
      <formula>"Não aceito"</formula>
    </cfRule>
  </conditionalFormatting>
  <conditionalFormatting sqref="Y293">
    <cfRule type="cellIs" operator="equal" dxfId="2028" priority="2028">
      <formula>"Premium"</formula>
    </cfRule>
  </conditionalFormatting>
  <conditionalFormatting sqref="AA293">
    <cfRule type="cellIs" operator="equal" dxfId="2029" priority="2029">
      <formula>"Inativo"</formula>
    </cfRule>
  </conditionalFormatting>
  <conditionalFormatting sqref="AB293">
    <cfRule type="cellIs" operator="equal" dxfId="2030" priority="2030">
      <formula>"Garantia do vendedor"</formula>
    </cfRule>
  </conditionalFormatting>
  <conditionalFormatting sqref="AD293">
    <cfRule type="cellIs" operator="equal" dxfId="2031" priority="2031">
      <formula>"dias"</formula>
    </cfRule>
  </conditionalFormatting>
  <conditionalFormatting sqref="J294">
    <cfRule type="cellIs" operator="equal" dxfId="2032" priority="2032">
      <formula>"R$"</formula>
    </cfRule>
  </conditionalFormatting>
  <conditionalFormatting sqref="W294">
    <cfRule type="cellIs" operator="equal" dxfId="2033" priority="2033">
      <formula>"Mercado Envios por conta do comprador"</formula>
    </cfRule>
  </conditionalFormatting>
  <conditionalFormatting sqref="X294">
    <cfRule type="cellIs" operator="equal" dxfId="2034" priority="2034">
      <formula>"Não aceito"</formula>
    </cfRule>
  </conditionalFormatting>
  <conditionalFormatting sqref="Y294">
    <cfRule type="cellIs" operator="equal" dxfId="2035" priority="2035">
      <formula>"Premium"</formula>
    </cfRule>
  </conditionalFormatting>
  <conditionalFormatting sqref="AA294">
    <cfRule type="cellIs" operator="equal" dxfId="2036" priority="2036">
      <formula>"Inativo"</formula>
    </cfRule>
  </conditionalFormatting>
  <conditionalFormatting sqref="AB294">
    <cfRule type="cellIs" operator="equal" dxfId="2037" priority="2037">
      <formula>"Garantia do vendedor"</formula>
    </cfRule>
  </conditionalFormatting>
  <conditionalFormatting sqref="AD294">
    <cfRule type="cellIs" operator="equal" dxfId="2038" priority="2038">
      <formula>"dias"</formula>
    </cfRule>
  </conditionalFormatting>
  <conditionalFormatting sqref="J295">
    <cfRule type="cellIs" operator="equal" dxfId="2039" priority="2039">
      <formula>"R$"</formula>
    </cfRule>
  </conditionalFormatting>
  <conditionalFormatting sqref="W295">
    <cfRule type="cellIs" operator="equal" dxfId="2040" priority="2040">
      <formula>"Mercado Envios grátis"</formula>
    </cfRule>
  </conditionalFormatting>
  <conditionalFormatting sqref="X295">
    <cfRule type="cellIs" operator="equal" dxfId="2041" priority="2041">
      <formula>"Não aceito"</formula>
    </cfRule>
  </conditionalFormatting>
  <conditionalFormatting sqref="Y295">
    <cfRule type="cellIs" operator="equal" dxfId="2042" priority="2042">
      <formula>"Premium"</formula>
    </cfRule>
  </conditionalFormatting>
  <conditionalFormatting sqref="AA295">
    <cfRule type="cellIs" operator="equal" dxfId="2043" priority="2043">
      <formula>"Inativo"</formula>
    </cfRule>
  </conditionalFormatting>
  <conditionalFormatting sqref="AB295">
    <cfRule type="cellIs" operator="equal" dxfId="2044" priority="2044">
      <formula>"Garantia do vendedor"</formula>
    </cfRule>
  </conditionalFormatting>
  <conditionalFormatting sqref="AD295">
    <cfRule type="cellIs" operator="equal" dxfId="2045" priority="2045">
      <formula>"dias"</formula>
    </cfRule>
  </conditionalFormatting>
  <conditionalFormatting sqref="J296">
    <cfRule type="cellIs" operator="equal" dxfId="2046" priority="2046">
      <formula>"R$"</formula>
    </cfRule>
  </conditionalFormatting>
  <conditionalFormatting sqref="U296">
    <cfRule type="cellIs" operator="equal" dxfId="2047" priority="2047">
      <formula>"Novo"</formula>
    </cfRule>
  </conditionalFormatting>
  <conditionalFormatting sqref="W296">
    <cfRule type="cellIs" operator="equal" dxfId="2048" priority="2048">
      <formula>"Mercado Envios grátis"</formula>
    </cfRule>
  </conditionalFormatting>
  <conditionalFormatting sqref="X296">
    <cfRule type="cellIs" operator="equal" dxfId="2049" priority="2049">
      <formula>"Aceita"</formula>
    </cfRule>
  </conditionalFormatting>
  <conditionalFormatting sqref="Y296">
    <cfRule type="cellIs" operator="equal" dxfId="2050" priority="2050">
      <formula>"Premium"</formula>
    </cfRule>
  </conditionalFormatting>
  <conditionalFormatting sqref="AA296">
    <cfRule type="cellIs" operator="equal" dxfId="2051" priority="2051">
      <formula>"Inativo"</formula>
    </cfRule>
  </conditionalFormatting>
  <conditionalFormatting sqref="AB296">
    <cfRule type="cellIs" operator="equal" dxfId="2052" priority="2052">
      <formula>"Garantia do vendedor"</formula>
    </cfRule>
  </conditionalFormatting>
  <conditionalFormatting sqref="AD296">
    <cfRule type="cellIs" operator="equal" dxfId="2053" priority="2053">
      <formula>"dias"</formula>
    </cfRule>
  </conditionalFormatting>
  <conditionalFormatting sqref="J297">
    <cfRule type="cellIs" operator="equal" dxfId="2054" priority="2054">
      <formula>"R$"</formula>
    </cfRule>
  </conditionalFormatting>
  <conditionalFormatting sqref="U297">
    <cfRule type="cellIs" operator="equal" dxfId="2055" priority="2055">
      <formula>"Novo"</formula>
    </cfRule>
  </conditionalFormatting>
  <conditionalFormatting sqref="W297">
    <cfRule type="cellIs" operator="equal" dxfId="2056" priority="2056">
      <formula>"Mercado Envios por conta do comprador"</formula>
    </cfRule>
  </conditionalFormatting>
  <conditionalFormatting sqref="X297">
    <cfRule type="cellIs" operator="equal" dxfId="2057" priority="2057">
      <formula>"Aceita"</formula>
    </cfRule>
  </conditionalFormatting>
  <conditionalFormatting sqref="Y297">
    <cfRule type="cellIs" operator="equal" dxfId="2058" priority="2058">
      <formula>"Clássico"</formula>
    </cfRule>
  </conditionalFormatting>
  <conditionalFormatting sqref="AA297">
    <cfRule type="cellIs" operator="equal" dxfId="2059" priority="2059">
      <formula>"Inativo"</formula>
    </cfRule>
  </conditionalFormatting>
  <conditionalFormatting sqref="AB297">
    <cfRule type="cellIs" operator="equal" dxfId="2060" priority="2060">
      <formula>"Garantia do vendedor"</formula>
    </cfRule>
  </conditionalFormatting>
  <conditionalFormatting sqref="AD297">
    <cfRule type="cellIs" operator="equal" dxfId="2061" priority="2061">
      <formula>"dias"</formula>
    </cfRule>
  </conditionalFormatting>
  <conditionalFormatting sqref="J298">
    <cfRule type="cellIs" operator="equal" dxfId="2062" priority="2062">
      <formula>"R$"</formula>
    </cfRule>
  </conditionalFormatting>
  <conditionalFormatting sqref="W298">
    <cfRule type="cellIs" operator="equal" dxfId="2063" priority="2063">
      <formula>"Mercado Envios grátis"</formula>
    </cfRule>
  </conditionalFormatting>
  <conditionalFormatting sqref="X298">
    <cfRule type="cellIs" operator="equal" dxfId="2064" priority="2064">
      <formula>"Aceita"</formula>
    </cfRule>
  </conditionalFormatting>
  <conditionalFormatting sqref="Y298">
    <cfRule type="cellIs" operator="equal" dxfId="2065" priority="2065">
      <formula>"Clássico"</formula>
    </cfRule>
  </conditionalFormatting>
  <conditionalFormatting sqref="AA298">
    <cfRule type="cellIs" operator="equal" dxfId="2066" priority="2066">
      <formula>"Inativo"</formula>
    </cfRule>
  </conditionalFormatting>
  <conditionalFormatting sqref="AB298">
    <cfRule type="cellIs" operator="equal" dxfId="2067" priority="2067">
      <formula>"Garantia do vendedor"</formula>
    </cfRule>
  </conditionalFormatting>
  <conditionalFormatting sqref="AD298">
    <cfRule type="cellIs" operator="equal" dxfId="2068" priority="2068">
      <formula>"dias"</formula>
    </cfRule>
  </conditionalFormatting>
  <conditionalFormatting sqref="J299">
    <cfRule type="cellIs" operator="equal" dxfId="2069" priority="2069">
      <formula>"R$"</formula>
    </cfRule>
  </conditionalFormatting>
  <conditionalFormatting sqref="U299">
    <cfRule type="cellIs" operator="equal" dxfId="2070" priority="2070">
      <formula>"Novo"</formula>
    </cfRule>
  </conditionalFormatting>
  <conditionalFormatting sqref="W299">
    <cfRule type="cellIs" operator="equal" dxfId="2071" priority="2071">
      <formula>"Mercado Envios grátis"</formula>
    </cfRule>
  </conditionalFormatting>
  <conditionalFormatting sqref="X299">
    <cfRule type="cellIs" operator="equal" dxfId="2072" priority="2072">
      <formula>"Aceita"</formula>
    </cfRule>
  </conditionalFormatting>
  <conditionalFormatting sqref="Y299">
    <cfRule type="cellIs" operator="equal" dxfId="2073" priority="2073">
      <formula>"Clássico"</formula>
    </cfRule>
  </conditionalFormatting>
  <conditionalFormatting sqref="AA299">
    <cfRule type="cellIs" operator="equal" dxfId="2074" priority="2074">
      <formula>"Inativo"</formula>
    </cfRule>
  </conditionalFormatting>
  <conditionalFormatting sqref="AB299">
    <cfRule type="cellIs" operator="equal" dxfId="2075" priority="2075">
      <formula>"Garantia do vendedor"</formula>
    </cfRule>
  </conditionalFormatting>
  <conditionalFormatting sqref="AD299">
    <cfRule type="cellIs" operator="equal" dxfId="2076" priority="2076">
      <formula>"dias"</formula>
    </cfRule>
  </conditionalFormatting>
  <conditionalFormatting sqref="J300">
    <cfRule type="cellIs" operator="equal" dxfId="2077" priority="2077">
      <formula>"R$"</formula>
    </cfRule>
  </conditionalFormatting>
  <conditionalFormatting sqref="U300">
    <cfRule type="cellIs" operator="equal" dxfId="2078" priority="2078">
      <formula>"Novo"</formula>
    </cfRule>
  </conditionalFormatting>
  <conditionalFormatting sqref="W300">
    <cfRule type="cellIs" operator="equal" dxfId="2079" priority="2079">
      <formula>"Mercado Envios por conta do comprador"</formula>
    </cfRule>
  </conditionalFormatting>
  <conditionalFormatting sqref="X300">
    <cfRule type="cellIs" operator="equal" dxfId="2080" priority="2080">
      <formula>"Não aceito"</formula>
    </cfRule>
  </conditionalFormatting>
  <conditionalFormatting sqref="Y300">
    <cfRule type="cellIs" operator="equal" dxfId="2081" priority="2081">
      <formula>"Premium"</formula>
    </cfRule>
  </conditionalFormatting>
  <conditionalFormatting sqref="AA300">
    <cfRule type="cellIs" operator="equal" dxfId="2082" priority="2082">
      <formula>"Inativo"</formula>
    </cfRule>
  </conditionalFormatting>
  <conditionalFormatting sqref="AB300">
    <cfRule type="cellIs" operator="equal" dxfId="2083" priority="2083">
      <formula>"Garantia do vendedor"</formula>
    </cfRule>
  </conditionalFormatting>
  <conditionalFormatting sqref="AD300">
    <cfRule type="cellIs" operator="equal" dxfId="2084" priority="2084">
      <formula>"dias"</formula>
    </cfRule>
  </conditionalFormatting>
  <conditionalFormatting sqref="J301">
    <cfRule type="cellIs" operator="equal" dxfId="2085" priority="2085">
      <formula>"R$"</formula>
    </cfRule>
  </conditionalFormatting>
  <conditionalFormatting sqref="U301">
    <cfRule type="cellIs" operator="equal" dxfId="2086" priority="2086">
      <formula>"Novo"</formula>
    </cfRule>
  </conditionalFormatting>
  <conditionalFormatting sqref="W301">
    <cfRule type="cellIs" operator="equal" dxfId="2087" priority="2087">
      <formula>"Mercado Envios por conta do comprador"</formula>
    </cfRule>
  </conditionalFormatting>
  <conditionalFormatting sqref="X301">
    <cfRule type="cellIs" operator="equal" dxfId="2088" priority="2088">
      <formula>"Aceita"</formula>
    </cfRule>
  </conditionalFormatting>
  <conditionalFormatting sqref="Y301">
    <cfRule type="cellIs" operator="equal" dxfId="2089" priority="2089">
      <formula>"Clássico"</formula>
    </cfRule>
  </conditionalFormatting>
  <conditionalFormatting sqref="AA301">
    <cfRule type="cellIs" operator="equal" dxfId="2090" priority="2090">
      <formula>"Inativo"</formula>
    </cfRule>
  </conditionalFormatting>
  <conditionalFormatting sqref="AB301">
    <cfRule type="cellIs" operator="equal" dxfId="2091" priority="2091">
      <formula>"Garantia do vendedor"</formula>
    </cfRule>
  </conditionalFormatting>
  <conditionalFormatting sqref="AD301">
    <cfRule type="cellIs" operator="equal" dxfId="2092" priority="2092">
      <formula>"meses"</formula>
    </cfRule>
  </conditionalFormatting>
  <conditionalFormatting sqref="J302">
    <cfRule type="cellIs" operator="equal" dxfId="2093" priority="2093">
      <formula>"R$"</formula>
    </cfRule>
  </conditionalFormatting>
  <conditionalFormatting sqref="U302">
    <cfRule type="cellIs" operator="equal" dxfId="2094" priority="2094">
      <formula>"Novo"</formula>
    </cfRule>
  </conditionalFormatting>
  <conditionalFormatting sqref="W302">
    <cfRule type="cellIs" operator="equal" dxfId="2095" priority="2095">
      <formula>"Mercado Envios por conta do comprador"</formula>
    </cfRule>
  </conditionalFormatting>
  <conditionalFormatting sqref="X302">
    <cfRule type="cellIs" operator="equal" dxfId="2096" priority="2096">
      <formula>"Aceita"</formula>
    </cfRule>
  </conditionalFormatting>
  <conditionalFormatting sqref="Y302">
    <cfRule type="cellIs" operator="equal" dxfId="2097" priority="2097">
      <formula>"Clássico"</formula>
    </cfRule>
  </conditionalFormatting>
  <conditionalFormatting sqref="AA302">
    <cfRule type="cellIs" operator="equal" dxfId="2098" priority="2098">
      <formula>"Inativo"</formula>
    </cfRule>
  </conditionalFormatting>
  <conditionalFormatting sqref="AB302">
    <cfRule type="cellIs" operator="equal" dxfId="2099" priority="2099">
      <formula>"Garantia de fábrica"</formula>
    </cfRule>
  </conditionalFormatting>
  <conditionalFormatting sqref="AD302">
    <cfRule type="cellIs" operator="equal" dxfId="2100" priority="2100">
      <formula>"meses"</formula>
    </cfRule>
  </conditionalFormatting>
  <conditionalFormatting sqref="J303">
    <cfRule type="cellIs" operator="equal" dxfId="2101" priority="2101">
      <formula>"R$"</formula>
    </cfRule>
  </conditionalFormatting>
  <conditionalFormatting sqref="U303">
    <cfRule type="cellIs" operator="equal" dxfId="2102" priority="2102">
      <formula>"Novo"</formula>
    </cfRule>
  </conditionalFormatting>
  <conditionalFormatting sqref="W303">
    <cfRule type="cellIs" operator="equal" dxfId="2103" priority="2103">
      <formula>"Mercado Envios por conta do comprador"</formula>
    </cfRule>
  </conditionalFormatting>
  <conditionalFormatting sqref="X303">
    <cfRule type="cellIs" operator="equal" dxfId="2104" priority="2104">
      <formula>"Aceita"</formula>
    </cfRule>
  </conditionalFormatting>
  <conditionalFormatting sqref="Y303">
    <cfRule type="cellIs" operator="equal" dxfId="2105" priority="2105">
      <formula>"Premium"</formula>
    </cfRule>
  </conditionalFormatting>
  <conditionalFormatting sqref="AA303">
    <cfRule type="cellIs" operator="equal" dxfId="2106" priority="2106">
      <formula>"Inativo"</formula>
    </cfRule>
  </conditionalFormatting>
  <conditionalFormatting sqref="AB303">
    <cfRule type="cellIs" operator="equal" dxfId="2107" priority="2107">
      <formula>"Garantia do vendedor"</formula>
    </cfRule>
  </conditionalFormatting>
  <conditionalFormatting sqref="AD303">
    <cfRule type="cellIs" operator="equal" dxfId="2108" priority="2108">
      <formula>"dias"</formula>
    </cfRule>
  </conditionalFormatting>
  <conditionalFormatting sqref="J304">
    <cfRule type="cellIs" operator="equal" dxfId="2109" priority="2109">
      <formula>"R$"</formula>
    </cfRule>
  </conditionalFormatting>
  <conditionalFormatting sqref="W304">
    <cfRule type="cellIs" operator="equal" dxfId="2110" priority="2110">
      <formula>"Mercado Envios grátis"</formula>
    </cfRule>
  </conditionalFormatting>
  <conditionalFormatting sqref="X304">
    <cfRule type="cellIs" operator="equal" dxfId="2111" priority="2111">
      <formula>"Aceita"</formula>
    </cfRule>
  </conditionalFormatting>
  <conditionalFormatting sqref="Y304">
    <cfRule type="cellIs" operator="equal" dxfId="2112" priority="2112">
      <formula>"Clássico"</formula>
    </cfRule>
  </conditionalFormatting>
  <conditionalFormatting sqref="AA304">
    <cfRule type="cellIs" operator="equal" dxfId="2113" priority="2113">
      <formula>"Inativo"</formula>
    </cfRule>
  </conditionalFormatting>
  <conditionalFormatting sqref="AB304">
    <cfRule type="cellIs" operator="equal" dxfId="2114" priority="2114">
      <formula>"Garantia do vendedor"</formula>
    </cfRule>
  </conditionalFormatting>
  <conditionalFormatting sqref="AD304">
    <cfRule type="cellIs" operator="equal" dxfId="2115" priority="2115">
      <formula>"dias"</formula>
    </cfRule>
  </conditionalFormatting>
  <conditionalFormatting sqref="J305">
    <cfRule type="cellIs" operator="equal" dxfId="2116" priority="2116">
      <formula>"R$"</formula>
    </cfRule>
  </conditionalFormatting>
  <conditionalFormatting sqref="U305">
    <cfRule type="cellIs" operator="equal" dxfId="2117" priority="2117">
      <formula>"Novo"</formula>
    </cfRule>
  </conditionalFormatting>
  <conditionalFormatting sqref="W305">
    <cfRule type="cellIs" operator="equal" dxfId="2118" priority="2118">
      <formula>"Mercado Envios grátis"</formula>
    </cfRule>
  </conditionalFormatting>
  <conditionalFormatting sqref="X305">
    <cfRule type="cellIs" operator="equal" dxfId="2119" priority="2119">
      <formula>"Não aceito"</formula>
    </cfRule>
  </conditionalFormatting>
  <conditionalFormatting sqref="Y305">
    <cfRule type="cellIs" operator="equal" dxfId="2120" priority="2120">
      <formula>"Clássico"</formula>
    </cfRule>
  </conditionalFormatting>
  <conditionalFormatting sqref="AA305">
    <cfRule type="cellIs" operator="equal" dxfId="2121" priority="2121">
      <formula>"Inativo"</formula>
    </cfRule>
  </conditionalFormatting>
  <conditionalFormatting sqref="AB305">
    <cfRule type="cellIs" operator="equal" dxfId="2122" priority="2122">
      <formula>"Sem garantia"</formula>
    </cfRule>
  </conditionalFormatting>
  <conditionalFormatting sqref="AD305">
    <cfRule type="cellIs" operator="equal" dxfId="2123" priority="2123">
      <formula>""</formula>
    </cfRule>
  </conditionalFormatting>
  <conditionalFormatting sqref="J306">
    <cfRule type="cellIs" operator="equal" dxfId="2124" priority="2124">
      <formula>"R$"</formula>
    </cfRule>
  </conditionalFormatting>
  <conditionalFormatting sqref="U306">
    <cfRule type="cellIs" operator="equal" dxfId="2125" priority="2125">
      <formula>"Novo"</formula>
    </cfRule>
  </conditionalFormatting>
  <conditionalFormatting sqref="W306">
    <cfRule type="cellIs" operator="equal" dxfId="2126" priority="2126">
      <formula>"Mercado Envios por conta do comprador"</formula>
    </cfRule>
  </conditionalFormatting>
  <conditionalFormatting sqref="X306">
    <cfRule type="cellIs" operator="equal" dxfId="2127" priority="2127">
      <formula>"Aceita"</formula>
    </cfRule>
  </conditionalFormatting>
  <conditionalFormatting sqref="Y306">
    <cfRule type="cellIs" operator="equal" dxfId="2128" priority="2128">
      <formula>"Premium"</formula>
    </cfRule>
  </conditionalFormatting>
  <conditionalFormatting sqref="AA306">
    <cfRule type="cellIs" operator="equal" dxfId="2129" priority="2129">
      <formula>"Inativo"</formula>
    </cfRule>
  </conditionalFormatting>
  <conditionalFormatting sqref="AB306">
    <cfRule type="cellIs" operator="equal" dxfId="2130" priority="2130">
      <formula>"Garantia do vendedor"</formula>
    </cfRule>
  </conditionalFormatting>
  <conditionalFormatting sqref="AD306">
    <cfRule type="cellIs" operator="equal" dxfId="2131" priority="2131">
      <formula>"meses"</formula>
    </cfRule>
  </conditionalFormatting>
  <conditionalFormatting sqref="J307">
    <cfRule type="cellIs" operator="equal" dxfId="2132" priority="2132">
      <formula>"R$"</formula>
    </cfRule>
  </conditionalFormatting>
  <conditionalFormatting sqref="U307">
    <cfRule type="cellIs" operator="equal" dxfId="2133" priority="2133">
      <formula>"Novo"</formula>
    </cfRule>
  </conditionalFormatting>
  <conditionalFormatting sqref="W307">
    <cfRule type="cellIs" operator="equal" dxfId="2134" priority="2134">
      <formula>"Mercado Envios grátis"</formula>
    </cfRule>
  </conditionalFormatting>
  <conditionalFormatting sqref="X307">
    <cfRule type="cellIs" operator="equal" dxfId="2135" priority="2135">
      <formula>"Não aceito"</formula>
    </cfRule>
  </conditionalFormatting>
  <conditionalFormatting sqref="Y307">
    <cfRule type="cellIs" operator="equal" dxfId="2136" priority="2136">
      <formula>"Clássico"</formula>
    </cfRule>
  </conditionalFormatting>
  <conditionalFormatting sqref="AA307">
    <cfRule type="cellIs" operator="equal" dxfId="2137" priority="2137">
      <formula>"Inativo"</formula>
    </cfRule>
  </conditionalFormatting>
  <conditionalFormatting sqref="AB307">
    <cfRule type="cellIs" operator="equal" dxfId="2138" priority="2138">
      <formula>"Garantia do vendedor"</formula>
    </cfRule>
  </conditionalFormatting>
  <conditionalFormatting sqref="AD307">
    <cfRule type="cellIs" operator="equal" dxfId="2139" priority="2139">
      <formula>"dias"</formula>
    </cfRule>
  </conditionalFormatting>
  <conditionalFormatting sqref="J308">
    <cfRule type="cellIs" operator="equal" dxfId="2140" priority="2140">
      <formula>"R$"</formula>
    </cfRule>
  </conditionalFormatting>
  <conditionalFormatting sqref="U308">
    <cfRule type="cellIs" operator="equal" dxfId="2141" priority="2141">
      <formula>"Novo"</formula>
    </cfRule>
  </conditionalFormatting>
  <conditionalFormatting sqref="W308">
    <cfRule type="cellIs" operator="equal" dxfId="2142" priority="2142">
      <formula>"Mercado Envios grátis"</formula>
    </cfRule>
  </conditionalFormatting>
  <conditionalFormatting sqref="X308">
    <cfRule type="cellIs" operator="equal" dxfId="2143" priority="2143">
      <formula>"Não aceito"</formula>
    </cfRule>
  </conditionalFormatting>
  <conditionalFormatting sqref="Y308">
    <cfRule type="cellIs" operator="equal" dxfId="2144" priority="2144">
      <formula>"Premium"</formula>
    </cfRule>
  </conditionalFormatting>
  <conditionalFormatting sqref="AA308">
    <cfRule type="cellIs" operator="equal" dxfId="2145" priority="2145">
      <formula>"Inativo"</formula>
    </cfRule>
  </conditionalFormatting>
  <conditionalFormatting sqref="AB308">
    <cfRule type="cellIs" operator="equal" dxfId="2146" priority="2146">
      <formula>"Garantia do vendedor"</formula>
    </cfRule>
  </conditionalFormatting>
  <conditionalFormatting sqref="AD308">
    <cfRule type="cellIs" operator="equal" dxfId="2147" priority="2147">
      <formula>"dias"</formula>
    </cfRule>
  </conditionalFormatting>
  <conditionalFormatting sqref="J309">
    <cfRule type="cellIs" operator="equal" dxfId="2148" priority="2148">
      <formula>"R$"</formula>
    </cfRule>
  </conditionalFormatting>
  <conditionalFormatting sqref="U309">
    <cfRule type="cellIs" operator="equal" dxfId="2149" priority="2149">
      <formula>"Novo"</formula>
    </cfRule>
  </conditionalFormatting>
  <conditionalFormatting sqref="W309">
    <cfRule type="cellIs" operator="equal" dxfId="2150" priority="2150">
      <formula>"Mercado Envios grátis"</formula>
    </cfRule>
  </conditionalFormatting>
  <conditionalFormatting sqref="X309">
    <cfRule type="cellIs" operator="equal" dxfId="2151" priority="2151">
      <formula>"Não aceito"</formula>
    </cfRule>
  </conditionalFormatting>
  <conditionalFormatting sqref="Y309">
    <cfRule type="cellIs" operator="equal" dxfId="2152" priority="2152">
      <formula>"Premium"</formula>
    </cfRule>
  </conditionalFormatting>
  <conditionalFormatting sqref="AA309">
    <cfRule type="cellIs" operator="equal" dxfId="2153" priority="2153">
      <formula>"Inativo"</formula>
    </cfRule>
  </conditionalFormatting>
  <conditionalFormatting sqref="AB309">
    <cfRule type="cellIs" operator="equal" dxfId="2154" priority="2154">
      <formula>"Garantia do vendedor"</formula>
    </cfRule>
  </conditionalFormatting>
  <conditionalFormatting sqref="AD309">
    <cfRule type="cellIs" operator="equal" dxfId="2155" priority="2155">
      <formula>"dias"</formula>
    </cfRule>
  </conditionalFormatting>
  <conditionalFormatting sqref="J310">
    <cfRule type="cellIs" operator="equal" dxfId="2156" priority="2156">
      <formula>"R$"</formula>
    </cfRule>
  </conditionalFormatting>
  <conditionalFormatting sqref="U310">
    <cfRule type="cellIs" operator="equal" dxfId="2157" priority="2157">
      <formula>"Novo"</formula>
    </cfRule>
  </conditionalFormatting>
  <conditionalFormatting sqref="W310">
    <cfRule type="cellIs" operator="equal" dxfId="2158" priority="2158">
      <formula>"Mercado Envios por conta do comprador"</formula>
    </cfRule>
  </conditionalFormatting>
  <conditionalFormatting sqref="X310">
    <cfRule type="cellIs" operator="equal" dxfId="2159" priority="2159">
      <formula>"Aceita"</formula>
    </cfRule>
  </conditionalFormatting>
  <conditionalFormatting sqref="Y310">
    <cfRule type="cellIs" operator="equal" dxfId="2160" priority="2160">
      <formula>"Premium"</formula>
    </cfRule>
  </conditionalFormatting>
  <conditionalFormatting sqref="AA310">
    <cfRule type="cellIs" operator="equal" dxfId="2161" priority="2161">
      <formula>"Inativo"</formula>
    </cfRule>
  </conditionalFormatting>
  <conditionalFormatting sqref="AB310">
    <cfRule type="cellIs" operator="equal" dxfId="2162" priority="2162">
      <formula>"Garantia do vendedor"</formula>
    </cfRule>
  </conditionalFormatting>
  <conditionalFormatting sqref="AD310">
    <cfRule type="cellIs" operator="equal" dxfId="2163" priority="2163">
      <formula>"meses"</formula>
    </cfRule>
  </conditionalFormatting>
  <conditionalFormatting sqref="J311">
    <cfRule type="cellIs" operator="equal" dxfId="2164" priority="2164">
      <formula>"R$"</formula>
    </cfRule>
  </conditionalFormatting>
  <conditionalFormatting sqref="U311">
    <cfRule type="cellIs" operator="equal" dxfId="2165" priority="2165">
      <formula>"Novo"</formula>
    </cfRule>
  </conditionalFormatting>
  <conditionalFormatting sqref="W311">
    <cfRule type="cellIs" operator="equal" dxfId="2166" priority="2166">
      <formula>"Mercado Envios grátis"</formula>
    </cfRule>
  </conditionalFormatting>
  <conditionalFormatting sqref="X311">
    <cfRule type="cellIs" operator="equal" dxfId="2167" priority="2167">
      <formula>"Aceita"</formula>
    </cfRule>
  </conditionalFormatting>
  <conditionalFormatting sqref="Y311">
    <cfRule type="cellIs" operator="equal" dxfId="2168" priority="2168">
      <formula>"Clássico"</formula>
    </cfRule>
  </conditionalFormatting>
  <conditionalFormatting sqref="AA311">
    <cfRule type="cellIs" operator="equal" dxfId="2169" priority="2169">
      <formula>"Inativo"</formula>
    </cfRule>
  </conditionalFormatting>
  <conditionalFormatting sqref="AB311">
    <cfRule type="cellIs" operator="equal" dxfId="2170" priority="2170">
      <formula>"Garantia do vendedor"</formula>
    </cfRule>
  </conditionalFormatting>
  <conditionalFormatting sqref="AD311">
    <cfRule type="cellIs" operator="equal" dxfId="2171" priority="2171">
      <formula>"dias"</formula>
    </cfRule>
  </conditionalFormatting>
  <conditionalFormatting sqref="J312">
    <cfRule type="cellIs" operator="equal" dxfId="2172" priority="2172">
      <formula>"R$"</formula>
    </cfRule>
  </conditionalFormatting>
  <conditionalFormatting sqref="W312">
    <cfRule type="cellIs" operator="equal" dxfId="2173" priority="2173">
      <formula>"Mercado Envios grátis"</formula>
    </cfRule>
  </conditionalFormatting>
  <conditionalFormatting sqref="X312">
    <cfRule type="cellIs" operator="equal" dxfId="2174" priority="2174">
      <formula>"Aceita"</formula>
    </cfRule>
  </conditionalFormatting>
  <conditionalFormatting sqref="Y312">
    <cfRule type="cellIs" operator="equal" dxfId="2175" priority="2175">
      <formula>"Premium"</formula>
    </cfRule>
  </conditionalFormatting>
  <conditionalFormatting sqref="AA312">
    <cfRule type="cellIs" operator="equal" dxfId="2176" priority="2176">
      <formula>"Inativo"</formula>
    </cfRule>
  </conditionalFormatting>
  <conditionalFormatting sqref="AB312">
    <cfRule type="cellIs" operator="equal" dxfId="2177" priority="2177">
      <formula>"Garantia do vendedor"</formula>
    </cfRule>
  </conditionalFormatting>
  <conditionalFormatting sqref="AD312">
    <cfRule type="cellIs" operator="equal" dxfId="2178" priority="2178">
      <formula>"dias"</formula>
    </cfRule>
  </conditionalFormatting>
  <conditionalFormatting sqref="J313">
    <cfRule type="cellIs" operator="equal" dxfId="2179" priority="2179">
      <formula>"R$"</formula>
    </cfRule>
  </conditionalFormatting>
  <conditionalFormatting sqref="U313">
    <cfRule type="cellIs" operator="equal" dxfId="2180" priority="2180">
      <formula>"Novo"</formula>
    </cfRule>
  </conditionalFormatting>
  <conditionalFormatting sqref="W313">
    <cfRule type="cellIs" operator="equal" dxfId="2181" priority="2181">
      <formula>"Mercado Envios grátis"</formula>
    </cfRule>
  </conditionalFormatting>
  <conditionalFormatting sqref="X313">
    <cfRule type="cellIs" operator="equal" dxfId="2182" priority="2182">
      <formula>"Aceita"</formula>
    </cfRule>
  </conditionalFormatting>
  <conditionalFormatting sqref="Y313">
    <cfRule type="cellIs" operator="equal" dxfId="2183" priority="2183">
      <formula>"Premium"</formula>
    </cfRule>
  </conditionalFormatting>
  <conditionalFormatting sqref="AA313">
    <cfRule type="cellIs" operator="equal" dxfId="2184" priority="2184">
      <formula>"Inativo"</formula>
    </cfRule>
  </conditionalFormatting>
  <conditionalFormatting sqref="AB313">
    <cfRule type="cellIs" operator="equal" dxfId="2185" priority="2185">
      <formula>"Garantia do vendedor"</formula>
    </cfRule>
  </conditionalFormatting>
  <conditionalFormatting sqref="AD313">
    <cfRule type="cellIs" operator="equal" dxfId="2186" priority="2186">
      <formula>"dias"</formula>
    </cfRule>
  </conditionalFormatting>
  <conditionalFormatting sqref="J314">
    <cfRule type="cellIs" operator="equal" dxfId="2187" priority="2187">
      <formula>"R$"</formula>
    </cfRule>
  </conditionalFormatting>
  <conditionalFormatting sqref="U314">
    <cfRule type="cellIs" operator="equal" dxfId="2188" priority="2188">
      <formula>"Novo"</formula>
    </cfRule>
  </conditionalFormatting>
  <conditionalFormatting sqref="W314">
    <cfRule type="cellIs" operator="equal" dxfId="2189" priority="2189">
      <formula>"Mercado Envios grátis"</formula>
    </cfRule>
  </conditionalFormatting>
  <conditionalFormatting sqref="X314">
    <cfRule type="cellIs" operator="equal" dxfId="2190" priority="2190">
      <formula>"Não aceito"</formula>
    </cfRule>
  </conditionalFormatting>
  <conditionalFormatting sqref="Y314">
    <cfRule type="cellIs" operator="equal" dxfId="2191" priority="2191">
      <formula>"Premium"</formula>
    </cfRule>
  </conditionalFormatting>
  <conditionalFormatting sqref="AA314">
    <cfRule type="cellIs" operator="equal" dxfId="2192" priority="2192">
      <formula>"Inativo"</formula>
    </cfRule>
  </conditionalFormatting>
  <conditionalFormatting sqref="AB314">
    <cfRule type="cellIs" operator="equal" dxfId="2193" priority="2193">
      <formula>"Garantia do vendedor"</formula>
    </cfRule>
  </conditionalFormatting>
  <conditionalFormatting sqref="AD314">
    <cfRule type="cellIs" operator="equal" dxfId="2194" priority="2194">
      <formula>"dias"</formula>
    </cfRule>
  </conditionalFormatting>
  <conditionalFormatting sqref="J315">
    <cfRule type="cellIs" operator="equal" dxfId="2195" priority="2195">
      <formula>"R$"</formula>
    </cfRule>
  </conditionalFormatting>
  <conditionalFormatting sqref="U315">
    <cfRule type="cellIs" operator="equal" dxfId="2196" priority="2196">
      <formula>"Novo"</formula>
    </cfRule>
  </conditionalFormatting>
  <conditionalFormatting sqref="W315">
    <cfRule type="cellIs" operator="equal" dxfId="2197" priority="2197">
      <formula>"Mercado Envios grátis"</formula>
    </cfRule>
  </conditionalFormatting>
  <conditionalFormatting sqref="X315">
    <cfRule type="cellIs" operator="equal" dxfId="2198" priority="2198">
      <formula>"Não aceito"</formula>
    </cfRule>
  </conditionalFormatting>
  <conditionalFormatting sqref="Y315">
    <cfRule type="cellIs" operator="equal" dxfId="2199" priority="2199">
      <formula>"Premium"</formula>
    </cfRule>
  </conditionalFormatting>
  <conditionalFormatting sqref="AA315">
    <cfRule type="cellIs" operator="equal" dxfId="2200" priority="2200">
      <formula>"Inativo"</formula>
    </cfRule>
  </conditionalFormatting>
  <conditionalFormatting sqref="AB315">
    <cfRule type="cellIs" operator="equal" dxfId="2201" priority="2201">
      <formula>"Garantia do vendedor"</formula>
    </cfRule>
  </conditionalFormatting>
  <conditionalFormatting sqref="AD315">
    <cfRule type="cellIs" operator="equal" dxfId="2202" priority="2202">
      <formula>"dias"</formula>
    </cfRule>
  </conditionalFormatting>
  <conditionalFormatting sqref="J316">
    <cfRule type="cellIs" operator="equal" dxfId="2203" priority="2203">
      <formula>"R$"</formula>
    </cfRule>
  </conditionalFormatting>
  <conditionalFormatting sqref="W316">
    <cfRule type="cellIs" operator="equal" dxfId="2204" priority="2204">
      <formula>"Mercado Envios por conta do comprador"</formula>
    </cfRule>
  </conditionalFormatting>
  <conditionalFormatting sqref="X316">
    <cfRule type="cellIs" operator="equal" dxfId="2205" priority="2205">
      <formula>"Não aceito"</formula>
    </cfRule>
  </conditionalFormatting>
  <conditionalFormatting sqref="Y316">
    <cfRule type="cellIs" operator="equal" dxfId="2206" priority="2206">
      <formula>"Premium"</formula>
    </cfRule>
  </conditionalFormatting>
  <conditionalFormatting sqref="AA316">
    <cfRule type="cellIs" operator="equal" dxfId="2207" priority="2207">
      <formula>"Inativo"</formula>
    </cfRule>
  </conditionalFormatting>
  <conditionalFormatting sqref="AB316">
    <cfRule type="cellIs" operator="equal" dxfId="2208" priority="2208">
      <formula>"Garantia do vendedor"</formula>
    </cfRule>
  </conditionalFormatting>
  <conditionalFormatting sqref="AD316">
    <cfRule type="cellIs" operator="equal" dxfId="2209" priority="2209">
      <formula>"dias"</formula>
    </cfRule>
  </conditionalFormatting>
  <conditionalFormatting sqref="J317">
    <cfRule type="cellIs" operator="equal" dxfId="2210" priority="2210">
      <formula>"R$"</formula>
    </cfRule>
  </conditionalFormatting>
  <conditionalFormatting sqref="W317">
    <cfRule type="cellIs" operator="equal" dxfId="2211" priority="2211">
      <formula>"Mercado Envios grátis"</formula>
    </cfRule>
  </conditionalFormatting>
  <conditionalFormatting sqref="X317">
    <cfRule type="cellIs" operator="equal" dxfId="2212" priority="2212">
      <formula>"Não aceito"</formula>
    </cfRule>
  </conditionalFormatting>
  <conditionalFormatting sqref="Y317">
    <cfRule type="cellIs" operator="equal" dxfId="2213" priority="2213">
      <formula>"Premium"</formula>
    </cfRule>
  </conditionalFormatting>
  <conditionalFormatting sqref="AA317">
    <cfRule type="cellIs" operator="equal" dxfId="2214" priority="2214">
      <formula>"Inativo"</formula>
    </cfRule>
  </conditionalFormatting>
  <conditionalFormatting sqref="AB317">
    <cfRule type="cellIs" operator="equal" dxfId="2215" priority="2215">
      <formula>"Sem garantia"</formula>
    </cfRule>
  </conditionalFormatting>
  <conditionalFormatting sqref="AD317">
    <cfRule type="cellIs" operator="equal" dxfId="2216" priority="2216">
      <formula>""</formula>
    </cfRule>
  </conditionalFormatting>
  <conditionalFormatting sqref="J318">
    <cfRule type="cellIs" operator="equal" dxfId="2217" priority="2217">
      <formula>"R$"</formula>
    </cfRule>
  </conditionalFormatting>
  <conditionalFormatting sqref="U318">
    <cfRule type="cellIs" operator="equal" dxfId="2218" priority="2218">
      <formula>"Novo"</formula>
    </cfRule>
  </conditionalFormatting>
  <conditionalFormatting sqref="W318">
    <cfRule type="cellIs" operator="equal" dxfId="2219" priority="2219">
      <formula>"Mercado Envios grátis"</formula>
    </cfRule>
  </conditionalFormatting>
  <conditionalFormatting sqref="X318">
    <cfRule type="cellIs" operator="equal" dxfId="2220" priority="2220">
      <formula>"Aceita"</formula>
    </cfRule>
  </conditionalFormatting>
  <conditionalFormatting sqref="Y318">
    <cfRule type="cellIs" operator="equal" dxfId="2221" priority="2221">
      <formula>"Clássico"</formula>
    </cfRule>
  </conditionalFormatting>
  <conditionalFormatting sqref="AA318">
    <cfRule type="cellIs" operator="equal" dxfId="2222" priority="2222">
      <formula>"Inativo"</formula>
    </cfRule>
  </conditionalFormatting>
  <conditionalFormatting sqref="AB318">
    <cfRule type="cellIs" operator="equal" dxfId="2223" priority="2223">
      <formula>"Garantia do vendedor"</formula>
    </cfRule>
  </conditionalFormatting>
  <conditionalFormatting sqref="AD318">
    <cfRule type="cellIs" operator="equal" dxfId="2224" priority="2224">
      <formula>"dias"</formula>
    </cfRule>
  </conditionalFormatting>
  <conditionalFormatting sqref="J319">
    <cfRule type="cellIs" operator="equal" dxfId="2225" priority="2225">
      <formula>"R$"</formula>
    </cfRule>
  </conditionalFormatting>
  <conditionalFormatting sqref="U319">
    <cfRule type="cellIs" operator="equal" dxfId="2226" priority="2226">
      <formula>"Novo"</formula>
    </cfRule>
  </conditionalFormatting>
  <conditionalFormatting sqref="W319">
    <cfRule type="cellIs" operator="equal" dxfId="2227" priority="2227">
      <formula>"Mercado Envios grátis"</formula>
    </cfRule>
  </conditionalFormatting>
  <conditionalFormatting sqref="X319">
    <cfRule type="cellIs" operator="equal" dxfId="2228" priority="2228">
      <formula>"Aceita"</formula>
    </cfRule>
  </conditionalFormatting>
  <conditionalFormatting sqref="Y319">
    <cfRule type="cellIs" operator="equal" dxfId="2229" priority="2229">
      <formula>"Premium"</formula>
    </cfRule>
  </conditionalFormatting>
  <conditionalFormatting sqref="AA319">
    <cfRule type="cellIs" operator="equal" dxfId="2230" priority="2230">
      <formula>"Inativo"</formula>
    </cfRule>
  </conditionalFormatting>
  <conditionalFormatting sqref="AB319">
    <cfRule type="cellIs" operator="equal" dxfId="2231" priority="2231">
      <formula>"Garantia do vendedor"</formula>
    </cfRule>
  </conditionalFormatting>
  <conditionalFormatting sqref="AD319">
    <cfRule type="cellIs" operator="equal" dxfId="2232" priority="2232">
      <formula>"meses"</formula>
    </cfRule>
  </conditionalFormatting>
  <conditionalFormatting sqref="J320">
    <cfRule type="cellIs" operator="equal" dxfId="2233" priority="2233">
      <formula>"R$"</formula>
    </cfRule>
  </conditionalFormatting>
  <conditionalFormatting sqref="U320">
    <cfRule type="cellIs" operator="equal" dxfId="2234" priority="2234">
      <formula>"Novo"</formula>
    </cfRule>
  </conditionalFormatting>
  <conditionalFormatting sqref="W320">
    <cfRule type="cellIs" operator="equal" dxfId="2235" priority="2235">
      <formula>"Mercado Envios grátis"</formula>
    </cfRule>
  </conditionalFormatting>
  <conditionalFormatting sqref="X320">
    <cfRule type="cellIs" operator="equal" dxfId="2236" priority="2236">
      <formula>"Aceita"</formula>
    </cfRule>
  </conditionalFormatting>
  <conditionalFormatting sqref="Y320">
    <cfRule type="cellIs" operator="equal" dxfId="2237" priority="2237">
      <formula>"Clássico"</formula>
    </cfRule>
  </conditionalFormatting>
  <conditionalFormatting sqref="AA320">
    <cfRule type="cellIs" operator="equal" dxfId="2238" priority="2238">
      <formula>"Inativo"</formula>
    </cfRule>
  </conditionalFormatting>
  <conditionalFormatting sqref="AB320">
    <cfRule type="cellIs" operator="equal" dxfId="2239" priority="2239">
      <formula>"Garantia de fábrica"</formula>
    </cfRule>
  </conditionalFormatting>
  <conditionalFormatting sqref="AD320">
    <cfRule type="cellIs" operator="equal" dxfId="2240" priority="2240">
      <formula>"meses"</formula>
    </cfRule>
  </conditionalFormatting>
  <conditionalFormatting sqref="J321">
    <cfRule type="cellIs" operator="equal" dxfId="2241" priority="2241">
      <formula>"R$"</formula>
    </cfRule>
  </conditionalFormatting>
  <conditionalFormatting sqref="U321">
    <cfRule type="cellIs" operator="equal" dxfId="2242" priority="2242">
      <formula>"Novo"</formula>
    </cfRule>
  </conditionalFormatting>
  <conditionalFormatting sqref="W321">
    <cfRule type="cellIs" operator="equal" dxfId="2243" priority="2243">
      <formula>"Mercado Envios grátis"</formula>
    </cfRule>
  </conditionalFormatting>
  <conditionalFormatting sqref="X321">
    <cfRule type="cellIs" operator="equal" dxfId="2244" priority="2244">
      <formula>"Aceita"</formula>
    </cfRule>
  </conditionalFormatting>
  <conditionalFormatting sqref="Y321">
    <cfRule type="cellIs" operator="equal" dxfId="2245" priority="2245">
      <formula>"Premium"</formula>
    </cfRule>
  </conditionalFormatting>
  <conditionalFormatting sqref="AA321">
    <cfRule type="cellIs" operator="equal" dxfId="2246" priority="2246">
      <formula>"Inativo"</formula>
    </cfRule>
  </conditionalFormatting>
  <conditionalFormatting sqref="AB321">
    <cfRule type="cellIs" operator="equal" dxfId="2247" priority="2247">
      <formula>"Garantia do vendedor"</formula>
    </cfRule>
  </conditionalFormatting>
  <conditionalFormatting sqref="AD321">
    <cfRule type="cellIs" operator="equal" dxfId="2248" priority="2248">
      <formula>"dias"</formula>
    </cfRule>
  </conditionalFormatting>
  <conditionalFormatting sqref="J322">
    <cfRule type="cellIs" operator="equal" dxfId="2249" priority="2249">
      <formula>"R$"</formula>
    </cfRule>
  </conditionalFormatting>
  <conditionalFormatting sqref="U322">
    <cfRule type="cellIs" operator="equal" dxfId="2250" priority="2250">
      <formula>"Novo"</formula>
    </cfRule>
  </conditionalFormatting>
  <conditionalFormatting sqref="W322">
    <cfRule type="cellIs" operator="equal" dxfId="2251" priority="2251">
      <formula>"Mercado Envios grátis"</formula>
    </cfRule>
  </conditionalFormatting>
  <conditionalFormatting sqref="X322">
    <cfRule type="cellIs" operator="equal" dxfId="2252" priority="2252">
      <formula>"Aceita"</formula>
    </cfRule>
  </conditionalFormatting>
  <conditionalFormatting sqref="Y322">
    <cfRule type="cellIs" operator="equal" dxfId="2253" priority="2253">
      <formula>"Clássico"</formula>
    </cfRule>
  </conditionalFormatting>
  <conditionalFormatting sqref="AA322">
    <cfRule type="cellIs" operator="equal" dxfId="2254" priority="2254">
      <formula>"Inativo"</formula>
    </cfRule>
  </conditionalFormatting>
  <conditionalFormatting sqref="AB322">
    <cfRule type="cellIs" operator="equal" dxfId="2255" priority="2255">
      <formula>"Garantia do vendedor"</formula>
    </cfRule>
  </conditionalFormatting>
  <conditionalFormatting sqref="AD322">
    <cfRule type="cellIs" operator="equal" dxfId="2256" priority="2256">
      <formula>"dias"</formula>
    </cfRule>
  </conditionalFormatting>
  <conditionalFormatting sqref="J323">
    <cfRule type="cellIs" operator="equal" dxfId="2257" priority="2257">
      <formula>"R$"</formula>
    </cfRule>
  </conditionalFormatting>
  <conditionalFormatting sqref="U323">
    <cfRule type="cellIs" operator="equal" dxfId="2258" priority="2258">
      <formula>"Novo"</formula>
    </cfRule>
  </conditionalFormatting>
  <conditionalFormatting sqref="W323">
    <cfRule type="cellIs" operator="equal" dxfId="2259" priority="2259">
      <formula>"Mercado Envios grátis"</formula>
    </cfRule>
  </conditionalFormatting>
  <conditionalFormatting sqref="X323">
    <cfRule type="cellIs" operator="equal" dxfId="2260" priority="2260">
      <formula>"Não aceito"</formula>
    </cfRule>
  </conditionalFormatting>
  <conditionalFormatting sqref="Y323">
    <cfRule type="cellIs" operator="equal" dxfId="2261" priority="2261">
      <formula>"Clássico"</formula>
    </cfRule>
  </conditionalFormatting>
  <conditionalFormatting sqref="AA323">
    <cfRule type="cellIs" operator="equal" dxfId="2262" priority="2262">
      <formula>"Inativo"</formula>
    </cfRule>
  </conditionalFormatting>
  <conditionalFormatting sqref="AB323">
    <cfRule type="cellIs" operator="equal" dxfId="2263" priority="2263">
      <formula>"Garantia do vendedor"</formula>
    </cfRule>
  </conditionalFormatting>
  <conditionalFormatting sqref="AD323">
    <cfRule type="cellIs" operator="equal" dxfId="2264" priority="2264">
      <formula>"dias"</formula>
    </cfRule>
  </conditionalFormatting>
  <conditionalFormatting sqref="J324">
    <cfRule type="cellIs" operator="equal" dxfId="2265" priority="2265">
      <formula>"R$"</formula>
    </cfRule>
  </conditionalFormatting>
  <conditionalFormatting sqref="U324">
    <cfRule type="cellIs" operator="equal" dxfId="2266" priority="2266">
      <formula>"Novo"</formula>
    </cfRule>
  </conditionalFormatting>
  <conditionalFormatting sqref="W324">
    <cfRule type="cellIs" operator="equal" dxfId="2267" priority="2267">
      <formula>"Mercado Envios grátis"</formula>
    </cfRule>
  </conditionalFormatting>
  <conditionalFormatting sqref="X324">
    <cfRule type="cellIs" operator="equal" dxfId="2268" priority="2268">
      <formula>"Não aceito"</formula>
    </cfRule>
  </conditionalFormatting>
  <conditionalFormatting sqref="Y324">
    <cfRule type="cellIs" operator="equal" dxfId="2269" priority="2269">
      <formula>"Premium"</formula>
    </cfRule>
  </conditionalFormatting>
  <conditionalFormatting sqref="AA324">
    <cfRule type="cellIs" operator="equal" dxfId="2270" priority="2270">
      <formula>"Inativo"</formula>
    </cfRule>
  </conditionalFormatting>
  <conditionalFormatting sqref="AB324">
    <cfRule type="cellIs" operator="equal" dxfId="2271" priority="2271">
      <formula>"Garantia do vendedor"</formula>
    </cfRule>
  </conditionalFormatting>
  <conditionalFormatting sqref="AD324">
    <cfRule type="cellIs" operator="equal" dxfId="2272" priority="2272">
      <formula>"dias"</formula>
    </cfRule>
  </conditionalFormatting>
  <conditionalFormatting sqref="J325">
    <cfRule type="cellIs" operator="equal" dxfId="2273" priority="2273">
      <formula>"R$"</formula>
    </cfRule>
  </conditionalFormatting>
  <conditionalFormatting sqref="U325">
    <cfRule type="cellIs" operator="equal" dxfId="2274" priority="2274">
      <formula>"Novo"</formula>
    </cfRule>
  </conditionalFormatting>
  <conditionalFormatting sqref="W325">
    <cfRule type="cellIs" operator="equal" dxfId="2275" priority="2275">
      <formula>"Mercado Envios grátis"</formula>
    </cfRule>
  </conditionalFormatting>
  <conditionalFormatting sqref="X325">
    <cfRule type="cellIs" operator="equal" dxfId="2276" priority="2276">
      <formula>"Não aceito"</formula>
    </cfRule>
  </conditionalFormatting>
  <conditionalFormatting sqref="Y325">
    <cfRule type="cellIs" operator="equal" dxfId="2277" priority="2277">
      <formula>"Premium"</formula>
    </cfRule>
  </conditionalFormatting>
  <conditionalFormatting sqref="AA325">
    <cfRule type="cellIs" operator="equal" dxfId="2278" priority="2278">
      <formula>"Inativo"</formula>
    </cfRule>
  </conditionalFormatting>
  <conditionalFormatting sqref="AB325">
    <cfRule type="cellIs" operator="equal" dxfId="2279" priority="2279">
      <formula>"Garantia do vendedor"</formula>
    </cfRule>
  </conditionalFormatting>
  <conditionalFormatting sqref="AD325">
    <cfRule type="cellIs" operator="equal" dxfId="2280" priority="2280">
      <formula>"dias"</formula>
    </cfRule>
  </conditionalFormatting>
  <conditionalFormatting sqref="J326">
    <cfRule type="cellIs" operator="equal" dxfId="2281" priority="2281">
      <formula>"R$"</formula>
    </cfRule>
  </conditionalFormatting>
  <conditionalFormatting sqref="U326">
    <cfRule type="cellIs" operator="equal" dxfId="2282" priority="2282">
      <formula>"Novo"</formula>
    </cfRule>
  </conditionalFormatting>
  <conditionalFormatting sqref="W326">
    <cfRule type="cellIs" operator="equal" dxfId="2283" priority="2283">
      <formula>"Mercado Envios grátis"</formula>
    </cfRule>
  </conditionalFormatting>
  <conditionalFormatting sqref="X326">
    <cfRule type="cellIs" operator="equal" dxfId="2284" priority="2284">
      <formula>"Não aceito"</formula>
    </cfRule>
  </conditionalFormatting>
  <conditionalFormatting sqref="Y326">
    <cfRule type="cellIs" operator="equal" dxfId="2285" priority="2285">
      <formula>"Premium"</formula>
    </cfRule>
  </conditionalFormatting>
  <conditionalFormatting sqref="AA326">
    <cfRule type="cellIs" operator="equal" dxfId="2286" priority="2286">
      <formula>"Inativo"</formula>
    </cfRule>
  </conditionalFormatting>
  <conditionalFormatting sqref="AB326">
    <cfRule type="cellIs" operator="equal" dxfId="2287" priority="2287">
      <formula>"Garantia do vendedor"</formula>
    </cfRule>
  </conditionalFormatting>
  <conditionalFormatting sqref="AD326">
    <cfRule type="cellIs" operator="equal" dxfId="2288" priority="2288">
      <formula>"dias"</formula>
    </cfRule>
  </conditionalFormatting>
  <conditionalFormatting sqref="J327">
    <cfRule type="cellIs" operator="equal" dxfId="2289" priority="2289">
      <formula>"R$"</formula>
    </cfRule>
  </conditionalFormatting>
  <conditionalFormatting sqref="U327">
    <cfRule type="cellIs" operator="equal" dxfId="2290" priority="2290">
      <formula>"Novo"</formula>
    </cfRule>
  </conditionalFormatting>
  <conditionalFormatting sqref="W327">
    <cfRule type="cellIs" operator="equal" dxfId="2291" priority="2291">
      <formula>"Mercado Envios grátis"</formula>
    </cfRule>
  </conditionalFormatting>
  <conditionalFormatting sqref="X327">
    <cfRule type="cellIs" operator="equal" dxfId="2292" priority="2292">
      <formula>"Não aceito"</formula>
    </cfRule>
  </conditionalFormatting>
  <conditionalFormatting sqref="Y327">
    <cfRule type="cellIs" operator="equal" dxfId="2293" priority="2293">
      <formula>"Premium"</formula>
    </cfRule>
  </conditionalFormatting>
  <conditionalFormatting sqref="AA327">
    <cfRule type="cellIs" operator="equal" dxfId="2294" priority="2294">
      <formula>"Inativo"</formula>
    </cfRule>
  </conditionalFormatting>
  <conditionalFormatting sqref="AB327">
    <cfRule type="cellIs" operator="equal" dxfId="2295" priority="2295">
      <formula>"Garantia do vendedor"</formula>
    </cfRule>
  </conditionalFormatting>
  <conditionalFormatting sqref="AD327">
    <cfRule type="cellIs" operator="equal" dxfId="2296" priority="2296">
      <formula>"dias"</formula>
    </cfRule>
  </conditionalFormatting>
  <conditionalFormatting sqref="J328">
    <cfRule type="cellIs" operator="equal" dxfId="2297" priority="2297">
      <formula>"R$"</formula>
    </cfRule>
  </conditionalFormatting>
  <conditionalFormatting sqref="U328">
    <cfRule type="cellIs" operator="equal" dxfId="2298" priority="2298">
      <formula>"Novo"</formula>
    </cfRule>
  </conditionalFormatting>
  <conditionalFormatting sqref="W328">
    <cfRule type="cellIs" operator="equal" dxfId="2299" priority="2299">
      <formula>"Mercado Envios grátis"</formula>
    </cfRule>
  </conditionalFormatting>
  <conditionalFormatting sqref="X328">
    <cfRule type="cellIs" operator="equal" dxfId="2300" priority="2300">
      <formula>"Não aceito"</formula>
    </cfRule>
  </conditionalFormatting>
  <conditionalFormatting sqref="Y328">
    <cfRule type="cellIs" operator="equal" dxfId="2301" priority="2301">
      <formula>"Premium"</formula>
    </cfRule>
  </conditionalFormatting>
  <conditionalFormatting sqref="AA328">
    <cfRule type="cellIs" operator="equal" dxfId="2302" priority="2302">
      <formula>"Inativo"</formula>
    </cfRule>
  </conditionalFormatting>
  <conditionalFormatting sqref="AB328">
    <cfRule type="cellIs" operator="equal" dxfId="2303" priority="2303">
      <formula>"Garantia do vendedor"</formula>
    </cfRule>
  </conditionalFormatting>
  <conditionalFormatting sqref="AD328">
    <cfRule type="cellIs" operator="equal" dxfId="2304" priority="2304">
      <formula>"dias"</formula>
    </cfRule>
  </conditionalFormatting>
  <conditionalFormatting sqref="J329">
    <cfRule type="cellIs" operator="equal" dxfId="2305" priority="2305">
      <formula>"R$"</formula>
    </cfRule>
  </conditionalFormatting>
  <conditionalFormatting sqref="W329">
    <cfRule type="cellIs" operator="equal" dxfId="2306" priority="2306">
      <formula>"Mercado Envios grátis"</formula>
    </cfRule>
  </conditionalFormatting>
  <conditionalFormatting sqref="X329">
    <cfRule type="cellIs" operator="equal" dxfId="2307" priority="2307">
      <formula>"Não aceito"</formula>
    </cfRule>
  </conditionalFormatting>
  <conditionalFormatting sqref="Y329">
    <cfRule type="cellIs" operator="equal" dxfId="2308" priority="2308">
      <formula>"Clássico"</formula>
    </cfRule>
  </conditionalFormatting>
  <conditionalFormatting sqref="AA329">
    <cfRule type="cellIs" operator="equal" dxfId="2309" priority="2309">
      <formula>"Inativo"</formula>
    </cfRule>
  </conditionalFormatting>
  <conditionalFormatting sqref="AB329">
    <cfRule type="cellIs" operator="equal" dxfId="2310" priority="2310">
      <formula>"Garantia do vendedor"</formula>
    </cfRule>
  </conditionalFormatting>
  <conditionalFormatting sqref="AD329">
    <cfRule type="cellIs" operator="equal" dxfId="2311" priority="2311">
      <formula>"dias"</formula>
    </cfRule>
  </conditionalFormatting>
  <conditionalFormatting sqref="J330">
    <cfRule type="cellIs" operator="equal" dxfId="2312" priority="2312">
      <formula>"R$"</formula>
    </cfRule>
  </conditionalFormatting>
  <conditionalFormatting sqref="U330">
    <cfRule type="cellIs" operator="equal" dxfId="2313" priority="2313">
      <formula>"Novo"</formula>
    </cfRule>
  </conditionalFormatting>
  <conditionalFormatting sqref="W330">
    <cfRule type="cellIs" operator="equal" dxfId="2314" priority="2314">
      <formula>"Mercado Envios grátis"</formula>
    </cfRule>
  </conditionalFormatting>
  <conditionalFormatting sqref="X330">
    <cfRule type="cellIs" operator="equal" dxfId="2315" priority="2315">
      <formula>"Aceita"</formula>
    </cfRule>
  </conditionalFormatting>
  <conditionalFormatting sqref="Y330">
    <cfRule type="cellIs" operator="equal" dxfId="2316" priority="2316">
      <formula>"Premium"</formula>
    </cfRule>
  </conditionalFormatting>
  <conditionalFormatting sqref="AA330">
    <cfRule type="cellIs" operator="equal" dxfId="2317" priority="2317">
      <formula>"Inativo"</formula>
    </cfRule>
  </conditionalFormatting>
  <conditionalFormatting sqref="AB330">
    <cfRule type="cellIs" operator="equal" dxfId="2318" priority="2318">
      <formula>"Garantia do vendedor"</formula>
    </cfRule>
  </conditionalFormatting>
  <conditionalFormatting sqref="AD330">
    <cfRule type="cellIs" operator="equal" dxfId="2319" priority="2319">
      <formula>"meses"</formula>
    </cfRule>
  </conditionalFormatting>
  <conditionalFormatting sqref="J331">
    <cfRule type="cellIs" operator="equal" dxfId="2320" priority="2320">
      <formula>"R$"</formula>
    </cfRule>
  </conditionalFormatting>
  <conditionalFormatting sqref="U331">
    <cfRule type="cellIs" operator="equal" dxfId="2321" priority="2321">
      <formula>"Novo"</formula>
    </cfRule>
  </conditionalFormatting>
  <conditionalFormatting sqref="W331">
    <cfRule type="cellIs" operator="equal" dxfId="2322" priority="2322">
      <formula>"Mercado Envios grátis"</formula>
    </cfRule>
  </conditionalFormatting>
  <conditionalFormatting sqref="X331">
    <cfRule type="cellIs" operator="equal" dxfId="2323" priority="2323">
      <formula>"Aceita"</formula>
    </cfRule>
  </conditionalFormatting>
  <conditionalFormatting sqref="Y331">
    <cfRule type="cellIs" operator="equal" dxfId="2324" priority="2324">
      <formula>"Premium"</formula>
    </cfRule>
  </conditionalFormatting>
  <conditionalFormatting sqref="AA331">
    <cfRule type="cellIs" operator="equal" dxfId="2325" priority="2325">
      <formula>"Inativo"</formula>
    </cfRule>
  </conditionalFormatting>
  <conditionalFormatting sqref="AB331">
    <cfRule type="cellIs" operator="equal" dxfId="2326" priority="2326">
      <formula>"Garantia do vendedor"</formula>
    </cfRule>
  </conditionalFormatting>
  <conditionalFormatting sqref="AD331">
    <cfRule type="cellIs" operator="equal" dxfId="2327" priority="2327">
      <formula>"meses"</formula>
    </cfRule>
  </conditionalFormatting>
  <conditionalFormatting sqref="J332">
    <cfRule type="cellIs" operator="equal" dxfId="2328" priority="2328">
      <formula>"R$"</formula>
    </cfRule>
  </conditionalFormatting>
  <conditionalFormatting sqref="U332">
    <cfRule type="cellIs" operator="equal" dxfId="2329" priority="2329">
      <formula>"Novo"</formula>
    </cfRule>
  </conditionalFormatting>
  <conditionalFormatting sqref="W332">
    <cfRule type="cellIs" operator="equal" dxfId="2330" priority="2330">
      <formula>"Mercado Envios grátis"</formula>
    </cfRule>
  </conditionalFormatting>
  <conditionalFormatting sqref="X332">
    <cfRule type="cellIs" operator="equal" dxfId="2331" priority="2331">
      <formula>"Aceita"</formula>
    </cfRule>
  </conditionalFormatting>
  <conditionalFormatting sqref="Y332">
    <cfRule type="cellIs" operator="equal" dxfId="2332" priority="2332">
      <formula>"Premium"</formula>
    </cfRule>
  </conditionalFormatting>
  <conditionalFormatting sqref="AA332">
    <cfRule type="cellIs" operator="equal" dxfId="2333" priority="2333">
      <formula>"Inativo"</formula>
    </cfRule>
  </conditionalFormatting>
  <conditionalFormatting sqref="AB332">
    <cfRule type="cellIs" operator="equal" dxfId="2334" priority="2334">
      <formula>"Garantia do vendedor"</formula>
    </cfRule>
  </conditionalFormatting>
  <conditionalFormatting sqref="AD332">
    <cfRule type="cellIs" operator="equal" dxfId="2335" priority="2335">
      <formula>"meses"</formula>
    </cfRule>
  </conditionalFormatting>
  <conditionalFormatting sqref="J333">
    <cfRule type="cellIs" operator="equal" dxfId="2336" priority="2336">
      <formula>"R$"</formula>
    </cfRule>
  </conditionalFormatting>
  <conditionalFormatting sqref="U333">
    <cfRule type="cellIs" operator="equal" dxfId="2337" priority="2337">
      <formula>"Novo"</formula>
    </cfRule>
  </conditionalFormatting>
  <conditionalFormatting sqref="W333">
    <cfRule type="cellIs" operator="equal" dxfId="2338" priority="2338">
      <formula>"Mercado Envios por conta do comprador"</formula>
    </cfRule>
  </conditionalFormatting>
  <conditionalFormatting sqref="X333">
    <cfRule type="cellIs" operator="equal" dxfId="2339" priority="2339">
      <formula>"Aceita"</formula>
    </cfRule>
  </conditionalFormatting>
  <conditionalFormatting sqref="Y333">
    <cfRule type="cellIs" operator="equal" dxfId="2340" priority="2340">
      <formula>"Premium"</formula>
    </cfRule>
  </conditionalFormatting>
  <conditionalFormatting sqref="AA333">
    <cfRule type="cellIs" operator="equal" dxfId="2341" priority="2341">
      <formula>"Inativo"</formula>
    </cfRule>
  </conditionalFormatting>
  <conditionalFormatting sqref="AB333">
    <cfRule type="cellIs" operator="equal" dxfId="2342" priority="2342">
      <formula>"Garantia do vendedor"</formula>
    </cfRule>
  </conditionalFormatting>
  <conditionalFormatting sqref="AD333">
    <cfRule type="cellIs" operator="equal" dxfId="2343" priority="2343">
      <formula>"meses"</formula>
    </cfRule>
  </conditionalFormatting>
  <conditionalFormatting sqref="J334">
    <cfRule type="cellIs" operator="equal" dxfId="2344" priority="2344">
      <formula>"R$"</formula>
    </cfRule>
  </conditionalFormatting>
  <conditionalFormatting sqref="U334">
    <cfRule type="cellIs" operator="equal" dxfId="2345" priority="2345">
      <formula>"Novo"</formula>
    </cfRule>
  </conditionalFormatting>
  <conditionalFormatting sqref="W334">
    <cfRule type="cellIs" operator="equal" dxfId="2346" priority="2346">
      <formula>"Mercado Envios grátis"</formula>
    </cfRule>
  </conditionalFormatting>
  <conditionalFormatting sqref="X334">
    <cfRule type="cellIs" operator="equal" dxfId="2347" priority="2347">
      <formula>"Não aceito"</formula>
    </cfRule>
  </conditionalFormatting>
  <conditionalFormatting sqref="Y334">
    <cfRule type="cellIs" operator="equal" dxfId="2348" priority="2348">
      <formula>"Premium"</formula>
    </cfRule>
  </conditionalFormatting>
  <conditionalFormatting sqref="AA334">
    <cfRule type="cellIs" operator="equal" dxfId="2349" priority="2349">
      <formula>"Inativo"</formula>
    </cfRule>
  </conditionalFormatting>
  <conditionalFormatting sqref="AB334">
    <cfRule type="cellIs" operator="equal" dxfId="2350" priority="2350">
      <formula>"Garantia de fábrica"</formula>
    </cfRule>
  </conditionalFormatting>
  <conditionalFormatting sqref="AD334">
    <cfRule type="cellIs" operator="equal" dxfId="2351" priority="2351">
      <formula>"meses"</formula>
    </cfRule>
  </conditionalFormatting>
  <conditionalFormatting sqref="J335">
    <cfRule type="cellIs" operator="equal" dxfId="2352" priority="2352">
      <formula>"R$"</formula>
    </cfRule>
  </conditionalFormatting>
  <conditionalFormatting sqref="U335">
    <cfRule type="cellIs" operator="equal" dxfId="2353" priority="2353">
      <formula>"Novo"</formula>
    </cfRule>
  </conditionalFormatting>
  <conditionalFormatting sqref="W335">
    <cfRule type="cellIs" operator="equal" dxfId="2354" priority="2354">
      <formula>"Mercado Envios por conta do comprador"</formula>
    </cfRule>
  </conditionalFormatting>
  <conditionalFormatting sqref="X335">
    <cfRule type="cellIs" operator="equal" dxfId="2355" priority="2355">
      <formula>"Aceita"</formula>
    </cfRule>
  </conditionalFormatting>
  <conditionalFormatting sqref="Y335">
    <cfRule type="cellIs" operator="equal" dxfId="2356" priority="2356">
      <formula>"Clássico"</formula>
    </cfRule>
  </conditionalFormatting>
  <conditionalFormatting sqref="AA335">
    <cfRule type="cellIs" operator="equal" dxfId="2357" priority="2357">
      <formula>"Inativo"</formula>
    </cfRule>
  </conditionalFormatting>
  <conditionalFormatting sqref="AB335">
    <cfRule type="cellIs" operator="equal" dxfId="2358" priority="2358">
      <formula>"Garantia de fábrica"</formula>
    </cfRule>
  </conditionalFormatting>
  <conditionalFormatting sqref="AD335">
    <cfRule type="cellIs" operator="equal" dxfId="2359" priority="2359">
      <formula>"dias"</formula>
    </cfRule>
  </conditionalFormatting>
  <conditionalFormatting sqref="J336">
    <cfRule type="cellIs" operator="equal" dxfId="2360" priority="2360">
      <formula>"R$"</formula>
    </cfRule>
  </conditionalFormatting>
  <conditionalFormatting sqref="U336">
    <cfRule type="cellIs" operator="equal" dxfId="2361" priority="2361">
      <formula>"Novo"</formula>
    </cfRule>
  </conditionalFormatting>
  <conditionalFormatting sqref="W336">
    <cfRule type="cellIs" operator="equal" dxfId="2362" priority="2362">
      <formula>"Mercado Envios por conta do comprador"</formula>
    </cfRule>
  </conditionalFormatting>
  <conditionalFormatting sqref="X336">
    <cfRule type="cellIs" operator="equal" dxfId="2363" priority="2363">
      <formula>"Aceita"</formula>
    </cfRule>
  </conditionalFormatting>
  <conditionalFormatting sqref="Y336">
    <cfRule type="cellIs" operator="equal" dxfId="2364" priority="2364">
      <formula>"Clássico"</formula>
    </cfRule>
  </conditionalFormatting>
  <conditionalFormatting sqref="AA336">
    <cfRule type="cellIs" operator="equal" dxfId="2365" priority="2365">
      <formula>"Inativo"</formula>
    </cfRule>
  </conditionalFormatting>
  <conditionalFormatting sqref="AB336">
    <cfRule type="cellIs" operator="equal" dxfId="2366" priority="2366">
      <formula>"Garantia de fábrica"</formula>
    </cfRule>
  </conditionalFormatting>
  <conditionalFormatting sqref="AD336">
    <cfRule type="cellIs" operator="equal" dxfId="2367" priority="2367">
      <formula>"dias"</formula>
    </cfRule>
  </conditionalFormatting>
  <conditionalFormatting sqref="J337">
    <cfRule type="cellIs" operator="equal" dxfId="2368" priority="2368">
      <formula>"R$"</formula>
    </cfRule>
  </conditionalFormatting>
  <conditionalFormatting sqref="U337">
    <cfRule type="cellIs" operator="equal" dxfId="2369" priority="2369">
      <formula>"Novo"</formula>
    </cfRule>
  </conditionalFormatting>
  <conditionalFormatting sqref="W337">
    <cfRule type="cellIs" operator="equal" dxfId="2370" priority="2370">
      <formula>"Mercado Envios por conta do comprador"</formula>
    </cfRule>
  </conditionalFormatting>
  <conditionalFormatting sqref="X337">
    <cfRule type="cellIs" operator="equal" dxfId="2371" priority="2371">
      <formula>"Aceita"</formula>
    </cfRule>
  </conditionalFormatting>
  <conditionalFormatting sqref="Y337">
    <cfRule type="cellIs" operator="equal" dxfId="2372" priority="2372">
      <formula>"Clássico"</formula>
    </cfRule>
  </conditionalFormatting>
  <conditionalFormatting sqref="AA337">
    <cfRule type="cellIs" operator="equal" dxfId="2373" priority="2373">
      <formula>"Inativo"</formula>
    </cfRule>
  </conditionalFormatting>
  <conditionalFormatting sqref="AB337">
    <cfRule type="cellIs" operator="equal" dxfId="2374" priority="2374">
      <formula>"Garantia de fábrica"</formula>
    </cfRule>
  </conditionalFormatting>
  <conditionalFormatting sqref="AD337">
    <cfRule type="cellIs" operator="equal" dxfId="2375" priority="2375">
      <formula>"dias"</formula>
    </cfRule>
  </conditionalFormatting>
  <conditionalFormatting sqref="J338">
    <cfRule type="cellIs" operator="equal" dxfId="2376" priority="2376">
      <formula>"R$"</formula>
    </cfRule>
  </conditionalFormatting>
  <conditionalFormatting sqref="U338">
    <cfRule type="cellIs" operator="equal" dxfId="2377" priority="2377">
      <formula>"Novo"</formula>
    </cfRule>
  </conditionalFormatting>
  <conditionalFormatting sqref="W338">
    <cfRule type="cellIs" operator="equal" dxfId="2378" priority="2378">
      <formula>"Mercado Envios por conta do comprador"</formula>
    </cfRule>
  </conditionalFormatting>
  <conditionalFormatting sqref="X338">
    <cfRule type="cellIs" operator="equal" dxfId="2379" priority="2379">
      <formula>"Aceita"</formula>
    </cfRule>
  </conditionalFormatting>
  <conditionalFormatting sqref="Y338">
    <cfRule type="cellIs" operator="equal" dxfId="2380" priority="2380">
      <formula>"Clássico"</formula>
    </cfRule>
  </conditionalFormatting>
  <conditionalFormatting sqref="AA338">
    <cfRule type="cellIs" operator="equal" dxfId="2381" priority="2381">
      <formula>"Inativo"</formula>
    </cfRule>
  </conditionalFormatting>
  <conditionalFormatting sqref="AB338">
    <cfRule type="cellIs" operator="equal" dxfId="2382" priority="2382">
      <formula>"Garantia de fábrica"</formula>
    </cfRule>
  </conditionalFormatting>
  <conditionalFormatting sqref="AD338">
    <cfRule type="cellIs" operator="equal" dxfId="2383" priority="2383">
      <formula>"dias"</formula>
    </cfRule>
  </conditionalFormatting>
  <conditionalFormatting sqref="J339">
    <cfRule type="cellIs" operator="equal" dxfId="2384" priority="2384">
      <formula>"R$"</formula>
    </cfRule>
  </conditionalFormatting>
  <conditionalFormatting sqref="U339">
    <cfRule type="cellIs" operator="equal" dxfId="2385" priority="2385">
      <formula>"Novo"</formula>
    </cfRule>
  </conditionalFormatting>
  <conditionalFormatting sqref="W339">
    <cfRule type="cellIs" operator="equal" dxfId="2386" priority="2386">
      <formula>"Mercado Envios grátis"</formula>
    </cfRule>
  </conditionalFormatting>
  <conditionalFormatting sqref="X339">
    <cfRule type="cellIs" operator="equal" dxfId="2387" priority="2387">
      <formula>"Aceita"</formula>
    </cfRule>
  </conditionalFormatting>
  <conditionalFormatting sqref="Y339">
    <cfRule type="cellIs" operator="equal" dxfId="2388" priority="2388">
      <formula>"Premium"</formula>
    </cfRule>
  </conditionalFormatting>
  <conditionalFormatting sqref="AA339">
    <cfRule type="cellIs" operator="equal" dxfId="2389" priority="2389">
      <formula>"Inativo"</formula>
    </cfRule>
  </conditionalFormatting>
  <conditionalFormatting sqref="AB339">
    <cfRule type="cellIs" operator="equal" dxfId="2390" priority="2390">
      <formula>"Garantia do vendedor"</formula>
    </cfRule>
  </conditionalFormatting>
  <conditionalFormatting sqref="AD339">
    <cfRule type="cellIs" operator="equal" dxfId="2391" priority="2391">
      <formula>"dias"</formula>
    </cfRule>
  </conditionalFormatting>
  <conditionalFormatting sqref="J340">
    <cfRule type="cellIs" operator="equal" dxfId="2392" priority="2392">
      <formula>"R$"</formula>
    </cfRule>
  </conditionalFormatting>
  <conditionalFormatting sqref="U340">
    <cfRule type="cellIs" operator="equal" dxfId="2393" priority="2393">
      <formula>"Novo"</formula>
    </cfRule>
  </conditionalFormatting>
  <conditionalFormatting sqref="W340">
    <cfRule type="cellIs" operator="equal" dxfId="2394" priority="2394">
      <formula>"Não faço envios"</formula>
    </cfRule>
  </conditionalFormatting>
  <conditionalFormatting sqref="X340">
    <cfRule type="cellIs" operator="equal" dxfId="2395" priority="2395">
      <formula>"Aceita"</formula>
    </cfRule>
  </conditionalFormatting>
  <conditionalFormatting sqref="Y340">
    <cfRule type="cellIs" operator="equal" dxfId="2396" priority="2396">
      <formula>"Premium"</formula>
    </cfRule>
  </conditionalFormatting>
  <conditionalFormatting sqref="AA340">
    <cfRule type="cellIs" operator="equal" dxfId="2397" priority="2397">
      <formula>"Inativo"</formula>
    </cfRule>
  </conditionalFormatting>
  <conditionalFormatting sqref="AB340">
    <cfRule type="cellIs" operator="equal" dxfId="2398" priority="2398">
      <formula>"Garantia de fábrica"</formula>
    </cfRule>
  </conditionalFormatting>
  <conditionalFormatting sqref="AD340">
    <cfRule type="cellIs" operator="equal" dxfId="2399" priority="2399">
      <formula>"dias"</formula>
    </cfRule>
  </conditionalFormatting>
  <conditionalFormatting sqref="J341">
    <cfRule type="cellIs" operator="equal" dxfId="2400" priority="2400">
      <formula>"R$"</formula>
    </cfRule>
  </conditionalFormatting>
  <conditionalFormatting sqref="U341">
    <cfRule type="cellIs" operator="equal" dxfId="2401" priority="2401">
      <formula>"Novo"</formula>
    </cfRule>
  </conditionalFormatting>
  <conditionalFormatting sqref="W341">
    <cfRule type="cellIs" operator="equal" dxfId="2402" priority="2402">
      <formula>"Mercado Envios grátis"</formula>
    </cfRule>
  </conditionalFormatting>
  <conditionalFormatting sqref="X341">
    <cfRule type="cellIs" operator="equal" dxfId="2403" priority="2403">
      <formula>"Aceita"</formula>
    </cfRule>
  </conditionalFormatting>
  <conditionalFormatting sqref="Y341">
    <cfRule type="cellIs" operator="equal" dxfId="2404" priority="2404">
      <formula>"Clássico"</formula>
    </cfRule>
  </conditionalFormatting>
  <conditionalFormatting sqref="AA341">
    <cfRule type="cellIs" operator="equal" dxfId="2405" priority="2405">
      <formula>"Inativo"</formula>
    </cfRule>
  </conditionalFormatting>
  <conditionalFormatting sqref="AB341">
    <cfRule type="cellIs" operator="equal" dxfId="2406" priority="2406">
      <formula>"Garantia do vendedor"</formula>
    </cfRule>
  </conditionalFormatting>
  <conditionalFormatting sqref="AD341">
    <cfRule type="cellIs" operator="equal" dxfId="2407" priority="2407">
      <formula>"dias"</formula>
    </cfRule>
  </conditionalFormatting>
  <conditionalFormatting sqref="J342">
    <cfRule type="cellIs" operator="equal" dxfId="2408" priority="2408">
      <formula>"R$"</formula>
    </cfRule>
  </conditionalFormatting>
  <conditionalFormatting sqref="U342">
    <cfRule type="cellIs" operator="equal" dxfId="2409" priority="2409">
      <formula>"Novo"</formula>
    </cfRule>
  </conditionalFormatting>
  <conditionalFormatting sqref="W342">
    <cfRule type="cellIs" operator="equal" dxfId="2410" priority="2410">
      <formula>"Mercado Envios grátis"</formula>
    </cfRule>
  </conditionalFormatting>
  <conditionalFormatting sqref="X342">
    <cfRule type="cellIs" operator="equal" dxfId="2411" priority="2411">
      <formula>"Aceita"</formula>
    </cfRule>
  </conditionalFormatting>
  <conditionalFormatting sqref="Y342">
    <cfRule type="cellIs" operator="equal" dxfId="2412" priority="2412">
      <formula>"Clássico"</formula>
    </cfRule>
  </conditionalFormatting>
  <conditionalFormatting sqref="AA342">
    <cfRule type="cellIs" operator="equal" dxfId="2413" priority="2413">
      <formula>"Inativo"</formula>
    </cfRule>
  </conditionalFormatting>
  <conditionalFormatting sqref="AB342">
    <cfRule type="cellIs" operator="equal" dxfId="2414" priority="2414">
      <formula>"Garantia do vendedor"</formula>
    </cfRule>
  </conditionalFormatting>
  <conditionalFormatting sqref="AD342">
    <cfRule type="cellIs" operator="equal" dxfId="2415" priority="2415">
      <formula>"dias"</formula>
    </cfRule>
  </conditionalFormatting>
  <conditionalFormatting sqref="J343">
    <cfRule type="cellIs" operator="equal" dxfId="2416" priority="2416">
      <formula>"R$"</formula>
    </cfRule>
  </conditionalFormatting>
  <conditionalFormatting sqref="W343">
    <cfRule type="cellIs" operator="equal" dxfId="2417" priority="2417">
      <formula>"Mercado Envios por conta do comprador"</formula>
    </cfRule>
  </conditionalFormatting>
  <conditionalFormatting sqref="X343">
    <cfRule type="cellIs" operator="equal" dxfId="2418" priority="2418">
      <formula>"Aceita"</formula>
    </cfRule>
  </conditionalFormatting>
  <conditionalFormatting sqref="Y343">
    <cfRule type="cellIs" operator="equal" dxfId="2419" priority="2419">
      <formula>"Premium"</formula>
    </cfRule>
  </conditionalFormatting>
  <conditionalFormatting sqref="AA343">
    <cfRule type="cellIs" operator="equal" dxfId="2420" priority="2420">
      <formula>"Inativo"</formula>
    </cfRule>
  </conditionalFormatting>
  <conditionalFormatting sqref="AB343">
    <cfRule type="cellIs" operator="equal" dxfId="2421" priority="2421">
      <formula>"Garantia do vendedor"</formula>
    </cfRule>
  </conditionalFormatting>
  <conditionalFormatting sqref="AD343">
    <cfRule type="cellIs" operator="equal" dxfId="2422" priority="2422">
      <formula>"dias"</formula>
    </cfRule>
  </conditionalFormatting>
  <conditionalFormatting sqref="J344">
    <cfRule type="cellIs" operator="equal" dxfId="2423" priority="2423">
      <formula>"R$"</formula>
    </cfRule>
  </conditionalFormatting>
  <conditionalFormatting sqref="W344">
    <cfRule type="cellIs" operator="equal" dxfId="2424" priority="2424">
      <formula>"Mercado Envios por conta do comprador"</formula>
    </cfRule>
  </conditionalFormatting>
  <conditionalFormatting sqref="X344">
    <cfRule type="cellIs" operator="equal" dxfId="2425" priority="2425">
      <formula>"Não aceito"</formula>
    </cfRule>
  </conditionalFormatting>
  <conditionalFormatting sqref="Y344">
    <cfRule type="cellIs" operator="equal" dxfId="2426" priority="2426">
      <formula>"Clássico"</formula>
    </cfRule>
  </conditionalFormatting>
  <conditionalFormatting sqref="AA344">
    <cfRule type="cellIs" operator="equal" dxfId="2427" priority="2427">
      <formula>"Inativo"</formula>
    </cfRule>
  </conditionalFormatting>
  <conditionalFormatting sqref="AB344">
    <cfRule type="cellIs" operator="equal" dxfId="2428" priority="2428">
      <formula>"Garantia do vendedor"</formula>
    </cfRule>
  </conditionalFormatting>
  <conditionalFormatting sqref="AD344">
    <cfRule type="cellIs" operator="equal" dxfId="2429" priority="2429">
      <formula>"dias"</formula>
    </cfRule>
  </conditionalFormatting>
  <conditionalFormatting sqref="J345">
    <cfRule type="cellIs" operator="equal" dxfId="2430" priority="2430">
      <formula>"R$"</formula>
    </cfRule>
  </conditionalFormatting>
  <conditionalFormatting sqref="U345">
    <cfRule type="cellIs" operator="equal" dxfId="2431" priority="2431">
      <formula>"Novo"</formula>
    </cfRule>
  </conditionalFormatting>
  <conditionalFormatting sqref="W345">
    <cfRule type="cellIs" operator="equal" dxfId="2432" priority="2432">
      <formula>"Mercado Envios por conta do comprador"</formula>
    </cfRule>
  </conditionalFormatting>
  <conditionalFormatting sqref="X345">
    <cfRule type="cellIs" operator="equal" dxfId="2433" priority="2433">
      <formula>"Não aceito"</formula>
    </cfRule>
  </conditionalFormatting>
  <conditionalFormatting sqref="Y345">
    <cfRule type="cellIs" operator="equal" dxfId="2434" priority="2434">
      <formula>"Clássico"</formula>
    </cfRule>
  </conditionalFormatting>
  <conditionalFormatting sqref="AA345">
    <cfRule type="cellIs" operator="equal" dxfId="2435" priority="2435">
      <formula>"Inativo"</formula>
    </cfRule>
  </conditionalFormatting>
  <conditionalFormatting sqref="AB345">
    <cfRule type="cellIs" operator="equal" dxfId="2436" priority="2436">
      <formula>"Garantia do vendedor"</formula>
    </cfRule>
  </conditionalFormatting>
  <conditionalFormatting sqref="AD345">
    <cfRule type="cellIs" operator="equal" dxfId="2437" priority="2437">
      <formula>"dias"</formula>
    </cfRule>
  </conditionalFormatting>
  <conditionalFormatting sqref="J346">
    <cfRule type="cellIs" operator="equal" dxfId="2438" priority="2438">
      <formula>"R$"</formula>
    </cfRule>
  </conditionalFormatting>
  <conditionalFormatting sqref="W346">
    <cfRule type="cellIs" operator="equal" dxfId="2439" priority="2439">
      <formula>"Mercado Envios grátis"</formula>
    </cfRule>
  </conditionalFormatting>
  <conditionalFormatting sqref="X346">
    <cfRule type="cellIs" operator="equal" dxfId="2440" priority="2440">
      <formula>"Não aceito"</formula>
    </cfRule>
  </conditionalFormatting>
  <conditionalFormatting sqref="Y346">
    <cfRule type="cellIs" operator="equal" dxfId="2441" priority="2441">
      <formula>"Clássico"</formula>
    </cfRule>
  </conditionalFormatting>
  <conditionalFormatting sqref="AA346">
    <cfRule type="cellIs" operator="equal" dxfId="2442" priority="2442">
      <formula>"Inativo"</formula>
    </cfRule>
  </conditionalFormatting>
  <conditionalFormatting sqref="AB346">
    <cfRule type="cellIs" operator="equal" dxfId="2443" priority="2443">
      <formula>"Sem garantia"</formula>
    </cfRule>
  </conditionalFormatting>
  <conditionalFormatting sqref="AD346">
    <cfRule type="cellIs" operator="equal" dxfId="2444" priority="2444">
      <formula>""</formula>
    </cfRule>
  </conditionalFormatting>
  <conditionalFormatting sqref="J347">
    <cfRule type="cellIs" operator="equal" dxfId="2445" priority="2445">
      <formula>"R$"</formula>
    </cfRule>
  </conditionalFormatting>
  <conditionalFormatting sqref="U347">
    <cfRule type="cellIs" operator="equal" dxfId="2446" priority="2446">
      <formula>"Novo"</formula>
    </cfRule>
  </conditionalFormatting>
  <conditionalFormatting sqref="W347">
    <cfRule type="cellIs" operator="equal" dxfId="2447" priority="2447">
      <formula>"Mercado Envios grátis"</formula>
    </cfRule>
  </conditionalFormatting>
  <conditionalFormatting sqref="X347">
    <cfRule type="cellIs" operator="equal" dxfId="2448" priority="2448">
      <formula>"Não aceito"</formula>
    </cfRule>
  </conditionalFormatting>
  <conditionalFormatting sqref="Y347">
    <cfRule type="cellIs" operator="equal" dxfId="2449" priority="2449">
      <formula>"Premium"</formula>
    </cfRule>
  </conditionalFormatting>
  <conditionalFormatting sqref="AA347">
    <cfRule type="cellIs" operator="equal" dxfId="2450" priority="2450">
      <formula>"Inativo"</formula>
    </cfRule>
  </conditionalFormatting>
  <conditionalFormatting sqref="AB347">
    <cfRule type="cellIs" operator="equal" dxfId="2451" priority="2451">
      <formula>"Garantia de fábrica"</formula>
    </cfRule>
  </conditionalFormatting>
  <conditionalFormatting sqref="AD347">
    <cfRule type="cellIs" operator="equal" dxfId="2452" priority="2452">
      <formula>"dias"</formula>
    </cfRule>
  </conditionalFormatting>
  <conditionalFormatting sqref="J348">
    <cfRule type="cellIs" operator="equal" dxfId="2453" priority="2453">
      <formula>"R$"</formula>
    </cfRule>
  </conditionalFormatting>
  <conditionalFormatting sqref="U348">
    <cfRule type="cellIs" operator="equal" dxfId="2454" priority="2454">
      <formula>"Novo"</formula>
    </cfRule>
  </conditionalFormatting>
  <conditionalFormatting sqref="W348">
    <cfRule type="cellIs" operator="equal" dxfId="2455" priority="2455">
      <formula>"Mercado Envios grátis"</formula>
    </cfRule>
  </conditionalFormatting>
  <conditionalFormatting sqref="X348">
    <cfRule type="cellIs" operator="equal" dxfId="2456" priority="2456">
      <formula>"Não aceito"</formula>
    </cfRule>
  </conditionalFormatting>
  <conditionalFormatting sqref="Y348">
    <cfRule type="cellIs" operator="equal" dxfId="2457" priority="2457">
      <formula>"Clássico"</formula>
    </cfRule>
  </conditionalFormatting>
  <conditionalFormatting sqref="AA348">
    <cfRule type="cellIs" operator="equal" dxfId="2458" priority="2458">
      <formula>"Inativo"</formula>
    </cfRule>
  </conditionalFormatting>
  <conditionalFormatting sqref="AB348">
    <cfRule type="cellIs" operator="equal" dxfId="2459" priority="2459">
      <formula>"Garantia do vendedor"</formula>
    </cfRule>
  </conditionalFormatting>
  <conditionalFormatting sqref="AD348">
    <cfRule type="cellIs" operator="equal" dxfId="2460" priority="2460">
      <formula>"dias"</formula>
    </cfRule>
  </conditionalFormatting>
  <conditionalFormatting sqref="J349">
    <cfRule type="cellIs" operator="equal" dxfId="2461" priority="2461">
      <formula>"R$"</formula>
    </cfRule>
  </conditionalFormatting>
  <conditionalFormatting sqref="U349">
    <cfRule type="cellIs" operator="equal" dxfId="2462" priority="2462">
      <formula>"Novo"</formula>
    </cfRule>
  </conditionalFormatting>
  <conditionalFormatting sqref="W349">
    <cfRule type="cellIs" operator="equal" dxfId="2463" priority="2463">
      <formula>"Mercado Envios grátis"</formula>
    </cfRule>
  </conditionalFormatting>
  <conditionalFormatting sqref="X349">
    <cfRule type="cellIs" operator="equal" dxfId="2464" priority="2464">
      <formula>"Não aceito"</formula>
    </cfRule>
  </conditionalFormatting>
  <conditionalFormatting sqref="Y349">
    <cfRule type="cellIs" operator="equal" dxfId="2465" priority="2465">
      <formula>"Clássico"</formula>
    </cfRule>
  </conditionalFormatting>
  <conditionalFormatting sqref="AA349">
    <cfRule type="cellIs" operator="equal" dxfId="2466" priority="2466">
      <formula>"Inativo"</formula>
    </cfRule>
  </conditionalFormatting>
  <conditionalFormatting sqref="AB349">
    <cfRule type="cellIs" operator="equal" dxfId="2467" priority="2467">
      <formula>"Garantia do vendedor"</formula>
    </cfRule>
  </conditionalFormatting>
  <conditionalFormatting sqref="AD349">
    <cfRule type="cellIs" operator="equal" dxfId="2468" priority="2468">
      <formula>"dias"</formula>
    </cfRule>
  </conditionalFormatting>
  <conditionalFormatting sqref="J350">
    <cfRule type="cellIs" operator="equal" dxfId="2469" priority="2469">
      <formula>"R$"</formula>
    </cfRule>
  </conditionalFormatting>
  <conditionalFormatting sqref="U350">
    <cfRule type="cellIs" operator="equal" dxfId="2470" priority="2470">
      <formula>"Novo"</formula>
    </cfRule>
  </conditionalFormatting>
  <conditionalFormatting sqref="W350">
    <cfRule type="cellIs" operator="equal" dxfId="2471" priority="2471">
      <formula>"Mercado Envios grátis"</formula>
    </cfRule>
  </conditionalFormatting>
  <conditionalFormatting sqref="X350">
    <cfRule type="cellIs" operator="equal" dxfId="2472" priority="2472">
      <formula>"Não aceito"</formula>
    </cfRule>
  </conditionalFormatting>
  <conditionalFormatting sqref="Y350">
    <cfRule type="cellIs" operator="equal" dxfId="2473" priority="2473">
      <formula>"Premium"</formula>
    </cfRule>
  </conditionalFormatting>
  <conditionalFormatting sqref="AA350">
    <cfRule type="cellIs" operator="equal" dxfId="2474" priority="2474">
      <formula>"Inativo"</formula>
    </cfRule>
  </conditionalFormatting>
  <conditionalFormatting sqref="AB350">
    <cfRule type="cellIs" operator="equal" dxfId="2475" priority="2475">
      <formula>"Garantia do vendedor"</formula>
    </cfRule>
  </conditionalFormatting>
  <conditionalFormatting sqref="AD350">
    <cfRule type="cellIs" operator="equal" dxfId="2476" priority="2476">
      <formula>"dias"</formula>
    </cfRule>
  </conditionalFormatting>
  <conditionalFormatting sqref="J351">
    <cfRule type="cellIs" operator="equal" dxfId="2477" priority="2477">
      <formula>"R$"</formula>
    </cfRule>
  </conditionalFormatting>
  <conditionalFormatting sqref="U351">
    <cfRule type="cellIs" operator="equal" dxfId="2478" priority="2478">
      <formula>"Novo"</formula>
    </cfRule>
  </conditionalFormatting>
  <conditionalFormatting sqref="W351">
    <cfRule type="cellIs" operator="equal" dxfId="2479" priority="2479">
      <formula>"Frete grátis por conta própria"</formula>
    </cfRule>
  </conditionalFormatting>
  <conditionalFormatting sqref="X351">
    <cfRule type="cellIs" operator="equal" dxfId="2480" priority="2480">
      <formula>"Aceita"</formula>
    </cfRule>
  </conditionalFormatting>
  <conditionalFormatting sqref="Y351">
    <cfRule type="cellIs" operator="equal" dxfId="2481" priority="2481">
      <formula>"Premium"</formula>
    </cfRule>
  </conditionalFormatting>
  <conditionalFormatting sqref="AA351">
    <cfRule type="cellIs" operator="equal" dxfId="2482" priority="2482">
      <formula>"Inativo"</formula>
    </cfRule>
  </conditionalFormatting>
  <conditionalFormatting sqref="AB351">
    <cfRule type="cellIs" operator="equal" dxfId="2483" priority="2483">
      <formula>"Garantia do vendedor"</formula>
    </cfRule>
  </conditionalFormatting>
  <conditionalFormatting sqref="AD351">
    <cfRule type="cellIs" operator="equal" dxfId="2484" priority="2484">
      <formula>"dias"</formula>
    </cfRule>
  </conditionalFormatting>
  <conditionalFormatting sqref="J352">
    <cfRule type="cellIs" operator="equal" dxfId="2485" priority="2485">
      <formula>"R$"</formula>
    </cfRule>
  </conditionalFormatting>
  <conditionalFormatting sqref="U352">
    <cfRule type="cellIs" operator="equal" dxfId="2486" priority="2486">
      <formula>"Novo"</formula>
    </cfRule>
  </conditionalFormatting>
  <conditionalFormatting sqref="W352">
    <cfRule type="cellIs" operator="equal" dxfId="2487" priority="2487">
      <formula>"Mercado Envios grátis"</formula>
    </cfRule>
  </conditionalFormatting>
  <conditionalFormatting sqref="X352">
    <cfRule type="cellIs" operator="equal" dxfId="2488" priority="2488">
      <formula>"Não aceito"</formula>
    </cfRule>
  </conditionalFormatting>
  <conditionalFormatting sqref="Y352">
    <cfRule type="cellIs" operator="equal" dxfId="2489" priority="2489">
      <formula>"Premium"</formula>
    </cfRule>
  </conditionalFormatting>
  <conditionalFormatting sqref="AA352">
    <cfRule type="cellIs" operator="equal" dxfId="2490" priority="2490">
      <formula>"Inativo"</formula>
    </cfRule>
  </conditionalFormatting>
  <conditionalFormatting sqref="AB352">
    <cfRule type="cellIs" operator="equal" dxfId="2491" priority="2491">
      <formula>"Garantia do vendedor"</formula>
    </cfRule>
  </conditionalFormatting>
  <conditionalFormatting sqref="AD352">
    <cfRule type="cellIs" operator="equal" dxfId="2492" priority="2492">
      <formula>"dias"</formula>
    </cfRule>
  </conditionalFormatting>
  <conditionalFormatting sqref="J353">
    <cfRule type="cellIs" operator="equal" dxfId="2493" priority="2493">
      <formula>"R$"</formula>
    </cfRule>
  </conditionalFormatting>
  <conditionalFormatting sqref="U353">
    <cfRule type="cellIs" operator="equal" dxfId="2494" priority="2494">
      <formula>"Novo"</formula>
    </cfRule>
  </conditionalFormatting>
  <conditionalFormatting sqref="W353">
    <cfRule type="cellIs" operator="equal" dxfId="2495" priority="2495">
      <formula>"Mercado Envios grátis"</formula>
    </cfRule>
  </conditionalFormatting>
  <conditionalFormatting sqref="X353">
    <cfRule type="cellIs" operator="equal" dxfId="2496" priority="2496">
      <formula>"Aceita"</formula>
    </cfRule>
  </conditionalFormatting>
  <conditionalFormatting sqref="Y353">
    <cfRule type="cellIs" operator="equal" dxfId="2497" priority="2497">
      <formula>"Clássico"</formula>
    </cfRule>
  </conditionalFormatting>
  <conditionalFormatting sqref="AA353">
    <cfRule type="cellIs" operator="equal" dxfId="2498" priority="2498">
      <formula>"Inativo"</formula>
    </cfRule>
  </conditionalFormatting>
  <conditionalFormatting sqref="AB353">
    <cfRule type="cellIs" operator="equal" dxfId="2499" priority="2499">
      <formula>"Garantia do vendedor"</formula>
    </cfRule>
  </conditionalFormatting>
  <conditionalFormatting sqref="AD353">
    <cfRule type="cellIs" operator="equal" dxfId="2500" priority="2500">
      <formula>"dias"</formula>
    </cfRule>
  </conditionalFormatting>
  <conditionalFormatting sqref="J354">
    <cfRule type="cellIs" operator="equal" dxfId="2501" priority="2501">
      <formula>"R$"</formula>
    </cfRule>
  </conditionalFormatting>
  <conditionalFormatting sqref="W354">
    <cfRule type="cellIs" operator="equal" dxfId="2502" priority="2502">
      <formula>"Mercado Envios por conta do comprador"</formula>
    </cfRule>
  </conditionalFormatting>
  <conditionalFormatting sqref="X354">
    <cfRule type="cellIs" operator="equal" dxfId="2503" priority="2503">
      <formula>"Aceita"</formula>
    </cfRule>
  </conditionalFormatting>
  <conditionalFormatting sqref="Y354">
    <cfRule type="cellIs" operator="equal" dxfId="2504" priority="2504">
      <formula>"Clássico"</formula>
    </cfRule>
  </conditionalFormatting>
  <conditionalFormatting sqref="AA354">
    <cfRule type="cellIs" operator="equal" dxfId="2505" priority="2505">
      <formula>"Inativo"</formula>
    </cfRule>
  </conditionalFormatting>
  <conditionalFormatting sqref="AB354">
    <cfRule type="cellIs" operator="equal" dxfId="2506" priority="2506">
      <formula>"Garantia do vendedor"</formula>
    </cfRule>
  </conditionalFormatting>
  <conditionalFormatting sqref="AD354">
    <cfRule type="cellIs" operator="equal" dxfId="2507" priority="2507">
      <formula>"meses"</formula>
    </cfRule>
  </conditionalFormatting>
  <conditionalFormatting sqref="J355">
    <cfRule type="cellIs" operator="equal" dxfId="2508" priority="2508">
      <formula>"R$"</formula>
    </cfRule>
  </conditionalFormatting>
  <conditionalFormatting sqref="U355">
    <cfRule type="cellIs" operator="equal" dxfId="2509" priority="2509">
      <formula>"Usado"</formula>
    </cfRule>
  </conditionalFormatting>
  <conditionalFormatting sqref="W355">
    <cfRule type="cellIs" operator="equal" dxfId="2510" priority="2510">
      <formula>"Mercado Envios por conta do comprador"</formula>
    </cfRule>
  </conditionalFormatting>
  <conditionalFormatting sqref="X355">
    <cfRule type="cellIs" operator="equal" dxfId="2511" priority="2511">
      <formula>"Aceita"</formula>
    </cfRule>
  </conditionalFormatting>
  <conditionalFormatting sqref="Y355">
    <cfRule type="cellIs" operator="equal" dxfId="2512" priority="2512">
      <formula>"Premium"</formula>
    </cfRule>
  </conditionalFormatting>
  <conditionalFormatting sqref="AA355">
    <cfRule type="cellIs" operator="equal" dxfId="2513" priority="2513">
      <formula>"Inativo"</formula>
    </cfRule>
  </conditionalFormatting>
  <conditionalFormatting sqref="AB355">
    <cfRule type="cellIs" operator="equal" dxfId="2514" priority="2514">
      <formula>"Garantia do vendedor"</formula>
    </cfRule>
  </conditionalFormatting>
  <conditionalFormatting sqref="AD355">
    <cfRule type="cellIs" operator="equal" dxfId="2515" priority="2515">
      <formula>"meses"</formula>
    </cfRule>
  </conditionalFormatting>
  <conditionalFormatting sqref="J356">
    <cfRule type="cellIs" operator="equal" dxfId="2516" priority="2516">
      <formula>"R$"</formula>
    </cfRule>
  </conditionalFormatting>
  <conditionalFormatting sqref="U356">
    <cfRule type="cellIs" operator="equal" dxfId="2517" priority="2517">
      <formula>"Novo"</formula>
    </cfRule>
  </conditionalFormatting>
  <conditionalFormatting sqref="W356">
    <cfRule type="cellIs" operator="equal" dxfId="2518" priority="2518">
      <formula>"Mercado Envios grátis"</formula>
    </cfRule>
  </conditionalFormatting>
  <conditionalFormatting sqref="X356">
    <cfRule type="cellIs" operator="equal" dxfId="2519" priority="2519">
      <formula>"Aceita"</formula>
    </cfRule>
  </conditionalFormatting>
  <conditionalFormatting sqref="Y356">
    <cfRule type="cellIs" operator="equal" dxfId="2520" priority="2520">
      <formula>"Premium"</formula>
    </cfRule>
  </conditionalFormatting>
  <conditionalFormatting sqref="AA356">
    <cfRule type="cellIs" operator="equal" dxfId="2521" priority="2521">
      <formula>"Inativo"</formula>
    </cfRule>
  </conditionalFormatting>
  <conditionalFormatting sqref="AB356">
    <cfRule type="cellIs" operator="equal" dxfId="2522" priority="2522">
      <formula>"Garantia do vendedor"</formula>
    </cfRule>
  </conditionalFormatting>
  <conditionalFormatting sqref="AD356">
    <cfRule type="cellIs" operator="equal" dxfId="2523" priority="2523">
      <formula>"meses"</formula>
    </cfRule>
  </conditionalFormatting>
  <conditionalFormatting sqref="J357">
    <cfRule type="cellIs" operator="equal" dxfId="2524" priority="2524">
      <formula>"R$"</formula>
    </cfRule>
  </conditionalFormatting>
  <conditionalFormatting sqref="U357">
    <cfRule type="cellIs" operator="equal" dxfId="2525" priority="2525">
      <formula>"Novo"</formula>
    </cfRule>
  </conditionalFormatting>
  <conditionalFormatting sqref="W357">
    <cfRule type="cellIs" operator="equal" dxfId="2526" priority="2526">
      <formula>"Mercado Envios grátis"</formula>
    </cfRule>
  </conditionalFormatting>
  <conditionalFormatting sqref="X357">
    <cfRule type="cellIs" operator="equal" dxfId="2527" priority="2527">
      <formula>"Aceita"</formula>
    </cfRule>
  </conditionalFormatting>
  <conditionalFormatting sqref="Y357">
    <cfRule type="cellIs" operator="equal" dxfId="2528" priority="2528">
      <formula>"Premium"</formula>
    </cfRule>
  </conditionalFormatting>
  <conditionalFormatting sqref="AA357">
    <cfRule type="cellIs" operator="equal" dxfId="2529" priority="2529">
      <formula>"Inativo"</formula>
    </cfRule>
  </conditionalFormatting>
  <conditionalFormatting sqref="AB357">
    <cfRule type="cellIs" operator="equal" dxfId="2530" priority="2530">
      <formula>"Garantia de fábrica"</formula>
    </cfRule>
  </conditionalFormatting>
  <conditionalFormatting sqref="AD357">
    <cfRule type="cellIs" operator="equal" dxfId="2531" priority="2531">
      <formula>"meses"</formula>
    </cfRule>
  </conditionalFormatting>
  <conditionalFormatting sqref="J358">
    <cfRule type="cellIs" operator="equal" dxfId="2532" priority="2532">
      <formula>"R$"</formula>
    </cfRule>
  </conditionalFormatting>
  <conditionalFormatting sqref="U358">
    <cfRule type="cellIs" operator="equal" dxfId="2533" priority="2533">
      <formula>"Novo"</formula>
    </cfRule>
  </conditionalFormatting>
  <conditionalFormatting sqref="W358">
    <cfRule type="cellIs" operator="equal" dxfId="2534" priority="2534">
      <formula>"Mercado Envios grátis"</formula>
    </cfRule>
  </conditionalFormatting>
  <conditionalFormatting sqref="X358">
    <cfRule type="cellIs" operator="equal" dxfId="2535" priority="2535">
      <formula>"Aceita"</formula>
    </cfRule>
  </conditionalFormatting>
  <conditionalFormatting sqref="Y358">
    <cfRule type="cellIs" operator="equal" dxfId="2536" priority="2536">
      <formula>"Premium"</formula>
    </cfRule>
  </conditionalFormatting>
  <conditionalFormatting sqref="AA358">
    <cfRule type="cellIs" operator="equal" dxfId="2537" priority="2537">
      <formula>"Inativo"</formula>
    </cfRule>
  </conditionalFormatting>
  <conditionalFormatting sqref="AB358">
    <cfRule type="cellIs" operator="equal" dxfId="2538" priority="2538">
      <formula>"Garantia do vendedor"</formula>
    </cfRule>
  </conditionalFormatting>
  <conditionalFormatting sqref="AD358">
    <cfRule type="cellIs" operator="equal" dxfId="2539" priority="2539">
      <formula>"meses"</formula>
    </cfRule>
  </conditionalFormatting>
  <conditionalFormatting sqref="J359">
    <cfRule type="cellIs" operator="equal" dxfId="2540" priority="2540">
      <formula>"R$"</formula>
    </cfRule>
  </conditionalFormatting>
  <conditionalFormatting sqref="U359">
    <cfRule type="cellIs" operator="equal" dxfId="2541" priority="2541">
      <formula>"Usado"</formula>
    </cfRule>
  </conditionalFormatting>
  <conditionalFormatting sqref="W359">
    <cfRule type="cellIs" operator="equal" dxfId="2542" priority="2542">
      <formula>"Mercado Envios por conta do comprador"</formula>
    </cfRule>
  </conditionalFormatting>
  <conditionalFormatting sqref="X359">
    <cfRule type="cellIs" operator="equal" dxfId="2543" priority="2543">
      <formula>"Aceita"</formula>
    </cfRule>
  </conditionalFormatting>
  <conditionalFormatting sqref="Y359">
    <cfRule type="cellIs" operator="equal" dxfId="2544" priority="2544">
      <formula>"Premium"</formula>
    </cfRule>
  </conditionalFormatting>
  <conditionalFormatting sqref="AA359">
    <cfRule type="cellIs" operator="equal" dxfId="2545" priority="2545">
      <formula>"Inativo"</formula>
    </cfRule>
  </conditionalFormatting>
  <conditionalFormatting sqref="AB359">
    <cfRule type="cellIs" operator="equal" dxfId="2546" priority="2546">
      <formula>"Garantia do vendedor"</formula>
    </cfRule>
  </conditionalFormatting>
  <conditionalFormatting sqref="AD359">
    <cfRule type="cellIs" operator="equal" dxfId="2547" priority="2547">
      <formula>"meses"</formula>
    </cfRule>
  </conditionalFormatting>
  <conditionalFormatting sqref="J360">
    <cfRule type="cellIs" operator="equal" dxfId="2548" priority="2548">
      <formula>"R$"</formula>
    </cfRule>
  </conditionalFormatting>
  <conditionalFormatting sqref="U360">
    <cfRule type="cellIs" operator="equal" dxfId="2549" priority="2549">
      <formula>"Usado"</formula>
    </cfRule>
  </conditionalFormatting>
  <conditionalFormatting sqref="W360">
    <cfRule type="cellIs" operator="equal" dxfId="2550" priority="2550">
      <formula>"Mercado Envios por conta do comprador"</formula>
    </cfRule>
  </conditionalFormatting>
  <conditionalFormatting sqref="X360">
    <cfRule type="cellIs" operator="equal" dxfId="2551" priority="2551">
      <formula>"Aceita"</formula>
    </cfRule>
  </conditionalFormatting>
  <conditionalFormatting sqref="Y360">
    <cfRule type="cellIs" operator="equal" dxfId="2552" priority="2552">
      <formula>"Premium"</formula>
    </cfRule>
  </conditionalFormatting>
  <conditionalFormatting sqref="AA360">
    <cfRule type="cellIs" operator="equal" dxfId="2553" priority="2553">
      <formula>"Inativo"</formula>
    </cfRule>
  </conditionalFormatting>
  <conditionalFormatting sqref="AB360">
    <cfRule type="cellIs" operator="equal" dxfId="2554" priority="2554">
      <formula>"Garantia do vendedor"</formula>
    </cfRule>
  </conditionalFormatting>
  <conditionalFormatting sqref="AD360">
    <cfRule type="cellIs" operator="equal" dxfId="2555" priority="2555">
      <formula>"meses"</formula>
    </cfRule>
  </conditionalFormatting>
  <conditionalFormatting sqref="J361">
    <cfRule type="cellIs" operator="equal" dxfId="2556" priority="2556">
      <formula>"R$"</formula>
    </cfRule>
  </conditionalFormatting>
  <conditionalFormatting sqref="U361">
    <cfRule type="cellIs" operator="equal" dxfId="2557" priority="2557">
      <formula>"Usado"</formula>
    </cfRule>
  </conditionalFormatting>
  <conditionalFormatting sqref="W361">
    <cfRule type="cellIs" operator="equal" dxfId="2558" priority="2558">
      <formula>"Mercado Envios por conta do comprador"</formula>
    </cfRule>
  </conditionalFormatting>
  <conditionalFormatting sqref="X361">
    <cfRule type="cellIs" operator="equal" dxfId="2559" priority="2559">
      <formula>"Aceita"</formula>
    </cfRule>
  </conditionalFormatting>
  <conditionalFormatting sqref="Y361">
    <cfRule type="cellIs" operator="equal" dxfId="2560" priority="2560">
      <formula>"Premium"</formula>
    </cfRule>
  </conditionalFormatting>
  <conditionalFormatting sqref="AA361">
    <cfRule type="cellIs" operator="equal" dxfId="2561" priority="2561">
      <formula>"Inativo"</formula>
    </cfRule>
  </conditionalFormatting>
  <conditionalFormatting sqref="AB361">
    <cfRule type="cellIs" operator="equal" dxfId="2562" priority="2562">
      <formula>"Garantia do vendedor"</formula>
    </cfRule>
  </conditionalFormatting>
  <conditionalFormatting sqref="AD361">
    <cfRule type="cellIs" operator="equal" dxfId="2563" priority="2563">
      <formula>"meses"</formula>
    </cfRule>
  </conditionalFormatting>
  <conditionalFormatting sqref="J362">
    <cfRule type="cellIs" operator="equal" dxfId="2564" priority="2564">
      <formula>"R$"</formula>
    </cfRule>
  </conditionalFormatting>
  <conditionalFormatting sqref="U362">
    <cfRule type="cellIs" operator="equal" dxfId="2565" priority="2565">
      <formula>"Usado"</formula>
    </cfRule>
  </conditionalFormatting>
  <conditionalFormatting sqref="W362">
    <cfRule type="cellIs" operator="equal" dxfId="2566" priority="2566">
      <formula>"Envios por conta própria"</formula>
    </cfRule>
  </conditionalFormatting>
  <conditionalFormatting sqref="X362">
    <cfRule type="cellIs" operator="equal" dxfId="2567" priority="2567">
      <formula>"Aceita"</formula>
    </cfRule>
  </conditionalFormatting>
  <conditionalFormatting sqref="Y362">
    <cfRule type="cellIs" operator="equal" dxfId="2568" priority="2568">
      <formula>"Premium"</formula>
    </cfRule>
  </conditionalFormatting>
  <conditionalFormatting sqref="AA362">
    <cfRule type="cellIs" operator="equal" dxfId="2569" priority="2569">
      <formula>"Inativo"</formula>
    </cfRule>
  </conditionalFormatting>
  <conditionalFormatting sqref="AB362">
    <cfRule type="cellIs" operator="equal" dxfId="2570" priority="2570">
      <formula>"Garantia do vendedor"</formula>
    </cfRule>
  </conditionalFormatting>
  <conditionalFormatting sqref="AD362">
    <cfRule type="cellIs" operator="equal" dxfId="2571" priority="2571">
      <formula>"meses"</formula>
    </cfRule>
  </conditionalFormatting>
  <conditionalFormatting sqref="J363">
    <cfRule type="cellIs" operator="equal" dxfId="2572" priority="2572">
      <formula>"R$"</formula>
    </cfRule>
  </conditionalFormatting>
  <conditionalFormatting sqref="U363">
    <cfRule type="cellIs" operator="equal" dxfId="2573" priority="2573">
      <formula>"Usado"</formula>
    </cfRule>
  </conditionalFormatting>
  <conditionalFormatting sqref="W363">
    <cfRule type="cellIs" operator="equal" dxfId="2574" priority="2574">
      <formula>"Envios por conta própria"</formula>
    </cfRule>
  </conditionalFormatting>
  <conditionalFormatting sqref="X363">
    <cfRule type="cellIs" operator="equal" dxfId="2575" priority="2575">
      <formula>"Aceita"</formula>
    </cfRule>
  </conditionalFormatting>
  <conditionalFormatting sqref="Y363">
    <cfRule type="cellIs" operator="equal" dxfId="2576" priority="2576">
      <formula>"Premium"</formula>
    </cfRule>
  </conditionalFormatting>
  <conditionalFormatting sqref="AA363">
    <cfRule type="cellIs" operator="equal" dxfId="2577" priority="2577">
      <formula>"Inativo"</formula>
    </cfRule>
  </conditionalFormatting>
  <conditionalFormatting sqref="AB363">
    <cfRule type="cellIs" operator="equal" dxfId="2578" priority="2578">
      <formula>"Garantia do vendedor"</formula>
    </cfRule>
  </conditionalFormatting>
  <conditionalFormatting sqref="AD363">
    <cfRule type="cellIs" operator="equal" dxfId="2579" priority="2579">
      <formula>"meses"</formula>
    </cfRule>
  </conditionalFormatting>
  <conditionalFormatting sqref="J364">
    <cfRule type="cellIs" operator="equal" dxfId="2580" priority="2580">
      <formula>"R$"</formula>
    </cfRule>
  </conditionalFormatting>
  <conditionalFormatting sqref="U364">
    <cfRule type="cellIs" operator="equal" dxfId="2581" priority="2581">
      <formula>"Usado"</formula>
    </cfRule>
  </conditionalFormatting>
  <conditionalFormatting sqref="W364">
    <cfRule type="cellIs" operator="equal" dxfId="2582" priority="2582">
      <formula>"Envios por conta própria"</formula>
    </cfRule>
  </conditionalFormatting>
  <conditionalFormatting sqref="X364">
    <cfRule type="cellIs" operator="equal" dxfId="2583" priority="2583">
      <formula>"Aceita"</formula>
    </cfRule>
  </conditionalFormatting>
  <conditionalFormatting sqref="Y364">
    <cfRule type="cellIs" operator="equal" dxfId="2584" priority="2584">
      <formula>"Premium"</formula>
    </cfRule>
  </conditionalFormatting>
  <conditionalFormatting sqref="AA364">
    <cfRule type="cellIs" operator="equal" dxfId="2585" priority="2585">
      <formula>"Inativo"</formula>
    </cfRule>
  </conditionalFormatting>
  <conditionalFormatting sqref="AB364">
    <cfRule type="cellIs" operator="equal" dxfId="2586" priority="2586">
      <formula>"Garantia do vendedor"</formula>
    </cfRule>
  </conditionalFormatting>
  <conditionalFormatting sqref="AD364">
    <cfRule type="cellIs" operator="equal" dxfId="2587" priority="2587">
      <formula>"meses"</formula>
    </cfRule>
  </conditionalFormatting>
  <conditionalFormatting sqref="J365">
    <cfRule type="cellIs" operator="equal" dxfId="2588" priority="2588">
      <formula>"R$"</formula>
    </cfRule>
  </conditionalFormatting>
  <conditionalFormatting sqref="U365">
    <cfRule type="cellIs" operator="equal" dxfId="2589" priority="2589">
      <formula>"Usado"</formula>
    </cfRule>
  </conditionalFormatting>
  <conditionalFormatting sqref="W365">
    <cfRule type="cellIs" operator="equal" dxfId="2590" priority="2590">
      <formula>"Mercado Envios por conta do comprador"</formula>
    </cfRule>
  </conditionalFormatting>
  <conditionalFormatting sqref="X365">
    <cfRule type="cellIs" operator="equal" dxfId="2591" priority="2591">
      <formula>"Aceita"</formula>
    </cfRule>
  </conditionalFormatting>
  <conditionalFormatting sqref="Y365">
    <cfRule type="cellIs" operator="equal" dxfId="2592" priority="2592">
      <formula>"Premium"</formula>
    </cfRule>
  </conditionalFormatting>
  <conditionalFormatting sqref="AA365">
    <cfRule type="cellIs" operator="equal" dxfId="2593" priority="2593">
      <formula>"Inativo"</formula>
    </cfRule>
  </conditionalFormatting>
  <conditionalFormatting sqref="AB365">
    <cfRule type="cellIs" operator="equal" dxfId="2594" priority="2594">
      <formula>"Garantia do vendedor"</formula>
    </cfRule>
  </conditionalFormatting>
  <conditionalFormatting sqref="AD365">
    <cfRule type="cellIs" operator="equal" dxfId="2595" priority="2595">
      <formula>"meses"</formula>
    </cfRule>
  </conditionalFormatting>
  <conditionalFormatting sqref="J366">
    <cfRule type="cellIs" operator="equal" dxfId="2596" priority="2596">
      <formula>"R$"</formula>
    </cfRule>
  </conditionalFormatting>
  <conditionalFormatting sqref="U366">
    <cfRule type="cellIs" operator="equal" dxfId="2597" priority="2597">
      <formula>"Usado"</formula>
    </cfRule>
  </conditionalFormatting>
  <conditionalFormatting sqref="W366">
    <cfRule type="cellIs" operator="equal" dxfId="2598" priority="2598">
      <formula>"Mercado Envios por conta do comprador"</formula>
    </cfRule>
  </conditionalFormatting>
  <conditionalFormatting sqref="X366">
    <cfRule type="cellIs" operator="equal" dxfId="2599" priority="2599">
      <formula>"Aceita"</formula>
    </cfRule>
  </conditionalFormatting>
  <conditionalFormatting sqref="Y366">
    <cfRule type="cellIs" operator="equal" dxfId="2600" priority="2600">
      <formula>"Premium"</formula>
    </cfRule>
  </conditionalFormatting>
  <conditionalFormatting sqref="AA366">
    <cfRule type="cellIs" operator="equal" dxfId="2601" priority="2601">
      <formula>"Inativo"</formula>
    </cfRule>
  </conditionalFormatting>
  <conditionalFormatting sqref="AB366">
    <cfRule type="cellIs" operator="equal" dxfId="2602" priority="2602">
      <formula>"Garantia do vendedor"</formula>
    </cfRule>
  </conditionalFormatting>
  <conditionalFormatting sqref="AD366">
    <cfRule type="cellIs" operator="equal" dxfId="2603" priority="2603">
      <formula>"meses"</formula>
    </cfRule>
  </conditionalFormatting>
  <conditionalFormatting sqref="J367">
    <cfRule type="cellIs" operator="equal" dxfId="2604" priority="2604">
      <formula>"R$"</formula>
    </cfRule>
  </conditionalFormatting>
  <conditionalFormatting sqref="U367">
    <cfRule type="cellIs" operator="equal" dxfId="2605" priority="2605">
      <formula>"Usado"</formula>
    </cfRule>
  </conditionalFormatting>
  <conditionalFormatting sqref="W367">
    <cfRule type="cellIs" operator="equal" dxfId="2606" priority="2606">
      <formula>"Envios por conta própria"</formula>
    </cfRule>
  </conditionalFormatting>
  <conditionalFormatting sqref="X367">
    <cfRule type="cellIs" operator="equal" dxfId="2607" priority="2607">
      <formula>"Aceita"</formula>
    </cfRule>
  </conditionalFormatting>
  <conditionalFormatting sqref="Y367">
    <cfRule type="cellIs" operator="equal" dxfId="2608" priority="2608">
      <formula>"Premium"</formula>
    </cfRule>
  </conditionalFormatting>
  <conditionalFormatting sqref="AA367">
    <cfRule type="cellIs" operator="equal" dxfId="2609" priority="2609">
      <formula>"Inativo"</formula>
    </cfRule>
  </conditionalFormatting>
  <conditionalFormatting sqref="AB367">
    <cfRule type="cellIs" operator="equal" dxfId="2610" priority="2610">
      <formula>"Garantia do vendedor"</formula>
    </cfRule>
  </conditionalFormatting>
  <conditionalFormatting sqref="AD367">
    <cfRule type="cellIs" operator="equal" dxfId="2611" priority="2611">
      <formula>"meses"</formula>
    </cfRule>
  </conditionalFormatting>
  <conditionalFormatting sqref="J368">
    <cfRule type="cellIs" operator="equal" dxfId="2612" priority="2612">
      <formula>"R$"</formula>
    </cfRule>
  </conditionalFormatting>
  <conditionalFormatting sqref="U368">
    <cfRule type="cellIs" operator="equal" dxfId="2613" priority="2613">
      <formula>"Usado"</formula>
    </cfRule>
  </conditionalFormatting>
  <conditionalFormatting sqref="W368">
    <cfRule type="cellIs" operator="equal" dxfId="2614" priority="2614">
      <formula>"Envios por conta própria"</formula>
    </cfRule>
  </conditionalFormatting>
  <conditionalFormatting sqref="X368">
    <cfRule type="cellIs" operator="equal" dxfId="2615" priority="2615">
      <formula>"Aceita"</formula>
    </cfRule>
  </conditionalFormatting>
  <conditionalFormatting sqref="Y368">
    <cfRule type="cellIs" operator="equal" dxfId="2616" priority="2616">
      <formula>"Premium"</formula>
    </cfRule>
  </conditionalFormatting>
  <conditionalFormatting sqref="AA368">
    <cfRule type="cellIs" operator="equal" dxfId="2617" priority="2617">
      <formula>"Inativo"</formula>
    </cfRule>
  </conditionalFormatting>
  <conditionalFormatting sqref="AB368">
    <cfRule type="cellIs" operator="equal" dxfId="2618" priority="2618">
      <formula>"Garantia do vendedor"</formula>
    </cfRule>
  </conditionalFormatting>
  <conditionalFormatting sqref="AD368">
    <cfRule type="cellIs" operator="equal" dxfId="2619" priority="2619">
      <formula>"meses"</formula>
    </cfRule>
  </conditionalFormatting>
  <conditionalFormatting sqref="J369">
    <cfRule type="cellIs" operator="equal" dxfId="2620" priority="2620">
      <formula>"R$"</formula>
    </cfRule>
  </conditionalFormatting>
  <conditionalFormatting sqref="U369">
    <cfRule type="cellIs" operator="equal" dxfId="2621" priority="2621">
      <formula>"Usado"</formula>
    </cfRule>
  </conditionalFormatting>
  <conditionalFormatting sqref="W369">
    <cfRule type="cellIs" operator="equal" dxfId="2622" priority="2622">
      <formula>"Mercado Envios por conta do comprador"</formula>
    </cfRule>
  </conditionalFormatting>
  <conditionalFormatting sqref="X369">
    <cfRule type="cellIs" operator="equal" dxfId="2623" priority="2623">
      <formula>"Aceita"</formula>
    </cfRule>
  </conditionalFormatting>
  <conditionalFormatting sqref="Y369">
    <cfRule type="cellIs" operator="equal" dxfId="2624" priority="2624">
      <formula>"Premium"</formula>
    </cfRule>
  </conditionalFormatting>
  <conditionalFormatting sqref="AA369">
    <cfRule type="cellIs" operator="equal" dxfId="2625" priority="2625">
      <formula>"Inativo"</formula>
    </cfRule>
  </conditionalFormatting>
  <conditionalFormatting sqref="AB369">
    <cfRule type="cellIs" operator="equal" dxfId="2626" priority="2626">
      <formula>"Garantia do vendedor"</formula>
    </cfRule>
  </conditionalFormatting>
  <conditionalFormatting sqref="AD369">
    <cfRule type="cellIs" operator="equal" dxfId="2627" priority="2627">
      <formula>"meses"</formula>
    </cfRule>
  </conditionalFormatting>
  <conditionalFormatting sqref="J370">
    <cfRule type="cellIs" operator="equal" dxfId="2628" priority="2628">
      <formula>"R$"</formula>
    </cfRule>
  </conditionalFormatting>
  <conditionalFormatting sqref="U370">
    <cfRule type="cellIs" operator="equal" dxfId="2629" priority="2629">
      <formula>"Usado"</formula>
    </cfRule>
  </conditionalFormatting>
  <conditionalFormatting sqref="W370">
    <cfRule type="cellIs" operator="equal" dxfId="2630" priority="2630">
      <formula>"Mercado Envios por conta do comprador"</formula>
    </cfRule>
  </conditionalFormatting>
  <conditionalFormatting sqref="X370">
    <cfRule type="cellIs" operator="equal" dxfId="2631" priority="2631">
      <formula>"Aceita"</formula>
    </cfRule>
  </conditionalFormatting>
  <conditionalFormatting sqref="Y370">
    <cfRule type="cellIs" operator="equal" dxfId="2632" priority="2632">
      <formula>"Premium"</formula>
    </cfRule>
  </conditionalFormatting>
  <conditionalFormatting sqref="AA370">
    <cfRule type="cellIs" operator="equal" dxfId="2633" priority="2633">
      <formula>"Inativo"</formula>
    </cfRule>
  </conditionalFormatting>
  <conditionalFormatting sqref="AB370">
    <cfRule type="cellIs" operator="equal" dxfId="2634" priority="2634">
      <formula>"Garantia do vendedor"</formula>
    </cfRule>
  </conditionalFormatting>
  <conditionalFormatting sqref="AD370">
    <cfRule type="cellIs" operator="equal" dxfId="2635" priority="2635">
      <formula>"meses"</formula>
    </cfRule>
  </conditionalFormatting>
  <conditionalFormatting sqref="J371">
    <cfRule type="cellIs" operator="equal" dxfId="2636" priority="2636">
      <formula>"R$"</formula>
    </cfRule>
  </conditionalFormatting>
  <conditionalFormatting sqref="U371">
    <cfRule type="cellIs" operator="equal" dxfId="2637" priority="2637">
      <formula>"Novo"</formula>
    </cfRule>
  </conditionalFormatting>
  <conditionalFormatting sqref="W371">
    <cfRule type="cellIs" operator="equal" dxfId="2638" priority="2638">
      <formula>"Mercado Envios grátis"</formula>
    </cfRule>
  </conditionalFormatting>
  <conditionalFormatting sqref="X371">
    <cfRule type="cellIs" operator="equal" dxfId="2639" priority="2639">
      <formula>"Aceita"</formula>
    </cfRule>
  </conditionalFormatting>
  <conditionalFormatting sqref="Y371">
    <cfRule type="cellIs" operator="equal" dxfId="2640" priority="2640">
      <formula>"Premium"</formula>
    </cfRule>
  </conditionalFormatting>
  <conditionalFormatting sqref="AA371">
    <cfRule type="cellIs" operator="equal" dxfId="2641" priority="2641">
      <formula>"Inativo"</formula>
    </cfRule>
  </conditionalFormatting>
  <conditionalFormatting sqref="AB371">
    <cfRule type="cellIs" operator="equal" dxfId="2642" priority="2642">
      <formula>"Garantia do vendedor"</formula>
    </cfRule>
  </conditionalFormatting>
  <conditionalFormatting sqref="AD371">
    <cfRule type="cellIs" operator="equal" dxfId="2643" priority="2643">
      <formula>"meses"</formula>
    </cfRule>
  </conditionalFormatting>
  <conditionalFormatting sqref="J372">
    <cfRule type="cellIs" operator="equal" dxfId="2644" priority="2644">
      <formula>"R$"</formula>
    </cfRule>
  </conditionalFormatting>
  <conditionalFormatting sqref="U372">
    <cfRule type="cellIs" operator="equal" dxfId="2645" priority="2645">
      <formula>"Novo"</formula>
    </cfRule>
  </conditionalFormatting>
  <conditionalFormatting sqref="W372">
    <cfRule type="cellIs" operator="equal" dxfId="2646" priority="2646">
      <formula>"Mercado Envios por conta do comprador"</formula>
    </cfRule>
  </conditionalFormatting>
  <conditionalFormatting sqref="X372">
    <cfRule type="cellIs" operator="equal" dxfId="2647" priority="2647">
      <formula>"Aceita"</formula>
    </cfRule>
  </conditionalFormatting>
  <conditionalFormatting sqref="Y372">
    <cfRule type="cellIs" operator="equal" dxfId="2648" priority="2648">
      <formula>"Clássico"</formula>
    </cfRule>
  </conditionalFormatting>
  <conditionalFormatting sqref="AA372">
    <cfRule type="cellIs" operator="equal" dxfId="2649" priority="2649">
      <formula>"Inativo"</formula>
    </cfRule>
  </conditionalFormatting>
  <conditionalFormatting sqref="AB372">
    <cfRule type="cellIs" operator="equal" dxfId="2650" priority="2650">
      <formula>"Garantia do vendedor"</formula>
    </cfRule>
  </conditionalFormatting>
  <conditionalFormatting sqref="AD372">
    <cfRule type="cellIs" operator="equal" dxfId="2651" priority="2651">
      <formula>"meses"</formula>
    </cfRule>
  </conditionalFormatting>
  <conditionalFormatting sqref="J373">
    <cfRule type="cellIs" operator="equal" dxfId="2652" priority="2652">
      <formula>"R$"</formula>
    </cfRule>
  </conditionalFormatting>
  <conditionalFormatting sqref="U373">
    <cfRule type="cellIs" operator="equal" dxfId="2653" priority="2653">
      <formula>"Novo"</formula>
    </cfRule>
  </conditionalFormatting>
  <conditionalFormatting sqref="W373">
    <cfRule type="cellIs" operator="equal" dxfId="2654" priority="2654">
      <formula>"Mercado Envios por conta do comprador"</formula>
    </cfRule>
  </conditionalFormatting>
  <conditionalFormatting sqref="X373">
    <cfRule type="cellIs" operator="equal" dxfId="2655" priority="2655">
      <formula>"Aceita"</formula>
    </cfRule>
  </conditionalFormatting>
  <conditionalFormatting sqref="Y373">
    <cfRule type="cellIs" operator="equal" dxfId="2656" priority="2656">
      <formula>"Clássico"</formula>
    </cfRule>
  </conditionalFormatting>
  <conditionalFormatting sqref="AA373">
    <cfRule type="cellIs" operator="equal" dxfId="2657" priority="2657">
      <formula>"Inativo"</formula>
    </cfRule>
  </conditionalFormatting>
  <conditionalFormatting sqref="AB373">
    <cfRule type="cellIs" operator="equal" dxfId="2658" priority="2658">
      <formula>"Garantia do vendedor"</formula>
    </cfRule>
  </conditionalFormatting>
  <conditionalFormatting sqref="AD373">
    <cfRule type="cellIs" operator="equal" dxfId="2659" priority="2659">
      <formula>"meses"</formula>
    </cfRule>
  </conditionalFormatting>
  <conditionalFormatting sqref="J374">
    <cfRule type="cellIs" operator="equal" dxfId="2660" priority="2660">
      <formula>"R$"</formula>
    </cfRule>
  </conditionalFormatting>
  <conditionalFormatting sqref="U374">
    <cfRule type="cellIs" operator="equal" dxfId="2661" priority="2661">
      <formula>"Novo"</formula>
    </cfRule>
  </conditionalFormatting>
  <conditionalFormatting sqref="W374">
    <cfRule type="cellIs" operator="equal" dxfId="2662" priority="2662">
      <formula>"Mercado Envios por conta do comprador"</formula>
    </cfRule>
  </conditionalFormatting>
  <conditionalFormatting sqref="X374">
    <cfRule type="cellIs" operator="equal" dxfId="2663" priority="2663">
      <formula>"Aceita"</formula>
    </cfRule>
  </conditionalFormatting>
  <conditionalFormatting sqref="Y374">
    <cfRule type="cellIs" operator="equal" dxfId="2664" priority="2664">
      <formula>"Clássico"</formula>
    </cfRule>
  </conditionalFormatting>
  <conditionalFormatting sqref="AA374">
    <cfRule type="cellIs" operator="equal" dxfId="2665" priority="2665">
      <formula>"Inativo"</formula>
    </cfRule>
  </conditionalFormatting>
  <conditionalFormatting sqref="AB374">
    <cfRule type="cellIs" operator="equal" dxfId="2666" priority="2666">
      <formula>"Garantia do vendedor"</formula>
    </cfRule>
  </conditionalFormatting>
  <conditionalFormatting sqref="AD374">
    <cfRule type="cellIs" operator="equal" dxfId="2667" priority="2667">
      <formula>"meses"</formula>
    </cfRule>
  </conditionalFormatting>
  <conditionalFormatting sqref="J375">
    <cfRule type="cellIs" operator="equal" dxfId="2668" priority="2668">
      <formula>"R$"</formula>
    </cfRule>
  </conditionalFormatting>
  <conditionalFormatting sqref="U375">
    <cfRule type="cellIs" operator="equal" dxfId="2669" priority="2669">
      <formula>"Novo"</formula>
    </cfRule>
  </conditionalFormatting>
  <conditionalFormatting sqref="W375">
    <cfRule type="cellIs" operator="equal" dxfId="2670" priority="2670">
      <formula>"Não faço envios"</formula>
    </cfRule>
  </conditionalFormatting>
  <conditionalFormatting sqref="X375">
    <cfRule type="cellIs" operator="equal" dxfId="2671" priority="2671">
      <formula>"Não aceito"</formula>
    </cfRule>
  </conditionalFormatting>
  <conditionalFormatting sqref="Y375">
    <cfRule type="cellIs" operator="equal" dxfId="2672" priority="2672">
      <formula>"Clássico"</formula>
    </cfRule>
  </conditionalFormatting>
  <conditionalFormatting sqref="AA375">
    <cfRule type="cellIs" operator="equal" dxfId="2673" priority="2673">
      <formula>"Inativo"</formula>
    </cfRule>
  </conditionalFormatting>
  <conditionalFormatting sqref="AB375">
    <cfRule type="cellIs" operator="equal" dxfId="2674" priority="2674">
      <formula>"Garantia de fábrica"</formula>
    </cfRule>
  </conditionalFormatting>
  <conditionalFormatting sqref="AD375">
    <cfRule type="cellIs" operator="equal" dxfId="2675" priority="2675">
      <formula>"meses"</formula>
    </cfRule>
  </conditionalFormatting>
  <conditionalFormatting sqref="J376">
    <cfRule type="cellIs" operator="equal" dxfId="2676" priority="2676">
      <formula>"R$"</formula>
    </cfRule>
  </conditionalFormatting>
  <conditionalFormatting sqref="U376">
    <cfRule type="cellIs" operator="equal" dxfId="2677" priority="2677">
      <formula>"Novo"</formula>
    </cfRule>
  </conditionalFormatting>
  <conditionalFormatting sqref="W376">
    <cfRule type="cellIs" operator="equal" dxfId="2678" priority="2678">
      <formula>"Não faço envios"</formula>
    </cfRule>
  </conditionalFormatting>
  <conditionalFormatting sqref="X376">
    <cfRule type="cellIs" operator="equal" dxfId="2679" priority="2679">
      <formula>"Não aceito"</formula>
    </cfRule>
  </conditionalFormatting>
  <conditionalFormatting sqref="Y376">
    <cfRule type="cellIs" operator="equal" dxfId="2680" priority="2680">
      <formula>"Clássico"</formula>
    </cfRule>
  </conditionalFormatting>
  <conditionalFormatting sqref="AA376">
    <cfRule type="cellIs" operator="equal" dxfId="2681" priority="2681">
      <formula>"Inativo"</formula>
    </cfRule>
  </conditionalFormatting>
  <conditionalFormatting sqref="AB376">
    <cfRule type="cellIs" operator="equal" dxfId="2682" priority="2682">
      <formula>"Garantia de fábrica"</formula>
    </cfRule>
  </conditionalFormatting>
  <conditionalFormatting sqref="AD376">
    <cfRule type="cellIs" operator="equal" dxfId="2683" priority="2683">
      <formula>"meses"</formula>
    </cfRule>
  </conditionalFormatting>
  <conditionalFormatting sqref="J377">
    <cfRule type="cellIs" operator="equal" dxfId="2684" priority="2684">
      <formula>"R$"</formula>
    </cfRule>
  </conditionalFormatting>
  <conditionalFormatting sqref="U377">
    <cfRule type="cellIs" operator="equal" dxfId="2685" priority="2685">
      <formula>"Novo"</formula>
    </cfRule>
  </conditionalFormatting>
  <conditionalFormatting sqref="W377">
    <cfRule type="cellIs" operator="equal" dxfId="2686" priority="2686">
      <formula>"Não faço envios"</formula>
    </cfRule>
  </conditionalFormatting>
  <conditionalFormatting sqref="X377">
    <cfRule type="cellIs" operator="equal" dxfId="2687" priority="2687">
      <formula>"Não aceito"</formula>
    </cfRule>
  </conditionalFormatting>
  <conditionalFormatting sqref="Y377">
    <cfRule type="cellIs" operator="equal" dxfId="2688" priority="2688">
      <formula>"Clássico"</formula>
    </cfRule>
  </conditionalFormatting>
  <conditionalFormatting sqref="AA377">
    <cfRule type="cellIs" operator="equal" dxfId="2689" priority="2689">
      <formula>"Inativo"</formula>
    </cfRule>
  </conditionalFormatting>
  <conditionalFormatting sqref="AB377">
    <cfRule type="cellIs" operator="equal" dxfId="2690" priority="2690">
      <formula>"Garantia de fábrica"</formula>
    </cfRule>
  </conditionalFormatting>
  <conditionalFormatting sqref="AD377">
    <cfRule type="cellIs" operator="equal" dxfId="2691" priority="2691">
      <formula>"meses"</formula>
    </cfRule>
  </conditionalFormatting>
  <conditionalFormatting sqref="J378">
    <cfRule type="cellIs" operator="equal" dxfId="2692" priority="2692">
      <formula>"R$"</formula>
    </cfRule>
  </conditionalFormatting>
  <conditionalFormatting sqref="U378">
    <cfRule type="cellIs" operator="equal" dxfId="2693" priority="2693">
      <formula>"Novo"</formula>
    </cfRule>
  </conditionalFormatting>
  <conditionalFormatting sqref="W378">
    <cfRule type="cellIs" operator="equal" dxfId="2694" priority="2694">
      <formula>"Não faço envios"</formula>
    </cfRule>
  </conditionalFormatting>
  <conditionalFormatting sqref="X378">
    <cfRule type="cellIs" operator="equal" dxfId="2695" priority="2695">
      <formula>"Não aceito"</formula>
    </cfRule>
  </conditionalFormatting>
  <conditionalFormatting sqref="Y378">
    <cfRule type="cellIs" operator="equal" dxfId="2696" priority="2696">
      <formula>"Clássico"</formula>
    </cfRule>
  </conditionalFormatting>
  <conditionalFormatting sqref="AA378">
    <cfRule type="cellIs" operator="equal" dxfId="2697" priority="2697">
      <formula>"Inativo"</formula>
    </cfRule>
  </conditionalFormatting>
  <conditionalFormatting sqref="AB378">
    <cfRule type="cellIs" operator="equal" dxfId="2698" priority="2698">
      <formula>"Garantia de fábrica"</formula>
    </cfRule>
  </conditionalFormatting>
  <conditionalFormatting sqref="AD378">
    <cfRule type="cellIs" operator="equal" dxfId="2699" priority="2699">
      <formula>"meses"</formula>
    </cfRule>
  </conditionalFormatting>
  <conditionalFormatting sqref="J379">
    <cfRule type="cellIs" operator="equal" dxfId="2700" priority="2700">
      <formula>"R$"</formula>
    </cfRule>
  </conditionalFormatting>
  <conditionalFormatting sqref="U379">
    <cfRule type="cellIs" operator="equal" dxfId="2701" priority="2701">
      <formula>"Novo"</formula>
    </cfRule>
  </conditionalFormatting>
  <conditionalFormatting sqref="W379">
    <cfRule type="cellIs" operator="equal" dxfId="2702" priority="2702">
      <formula>"Não faço envios"</formula>
    </cfRule>
  </conditionalFormatting>
  <conditionalFormatting sqref="X379">
    <cfRule type="cellIs" operator="equal" dxfId="2703" priority="2703">
      <formula>"Não aceito"</formula>
    </cfRule>
  </conditionalFormatting>
  <conditionalFormatting sqref="Y379">
    <cfRule type="cellIs" operator="equal" dxfId="2704" priority="2704">
      <formula>"Clássico"</formula>
    </cfRule>
  </conditionalFormatting>
  <conditionalFormatting sqref="AA379">
    <cfRule type="cellIs" operator="equal" dxfId="2705" priority="2705">
      <formula>"Inativo"</formula>
    </cfRule>
  </conditionalFormatting>
  <conditionalFormatting sqref="AB379">
    <cfRule type="cellIs" operator="equal" dxfId="2706" priority="2706">
      <formula>"Garantia de fábrica"</formula>
    </cfRule>
  </conditionalFormatting>
  <conditionalFormatting sqref="AD379">
    <cfRule type="cellIs" operator="equal" dxfId="2707" priority="2707">
      <formula>"meses"</formula>
    </cfRule>
  </conditionalFormatting>
  <conditionalFormatting sqref="J380">
    <cfRule type="cellIs" operator="equal" dxfId="2708" priority="2708">
      <formula>"R$"</formula>
    </cfRule>
  </conditionalFormatting>
  <conditionalFormatting sqref="U380">
    <cfRule type="cellIs" operator="equal" dxfId="2709" priority="2709">
      <formula>"Novo"</formula>
    </cfRule>
  </conditionalFormatting>
  <conditionalFormatting sqref="W380">
    <cfRule type="cellIs" operator="equal" dxfId="2710" priority="2710">
      <formula>"Não faço envios"</formula>
    </cfRule>
  </conditionalFormatting>
  <conditionalFormatting sqref="X380">
    <cfRule type="cellIs" operator="equal" dxfId="2711" priority="2711">
      <formula>"Não aceito"</formula>
    </cfRule>
  </conditionalFormatting>
  <conditionalFormatting sqref="Y380">
    <cfRule type="cellIs" operator="equal" dxfId="2712" priority="2712">
      <formula>"Clássico"</formula>
    </cfRule>
  </conditionalFormatting>
  <conditionalFormatting sqref="AA380">
    <cfRule type="cellIs" operator="equal" dxfId="2713" priority="2713">
      <formula>"Inativo"</formula>
    </cfRule>
  </conditionalFormatting>
  <conditionalFormatting sqref="AB380">
    <cfRule type="cellIs" operator="equal" dxfId="2714" priority="2714">
      <formula>"Garantia de fábrica"</formula>
    </cfRule>
  </conditionalFormatting>
  <conditionalFormatting sqref="AD380">
    <cfRule type="cellIs" operator="equal" dxfId="2715" priority="2715">
      <formula>"meses"</formula>
    </cfRule>
  </conditionalFormatting>
  <conditionalFormatting sqref="J381">
    <cfRule type="cellIs" operator="equal" dxfId="2716" priority="2716">
      <formula>"R$"</formula>
    </cfRule>
  </conditionalFormatting>
  <conditionalFormatting sqref="U381">
    <cfRule type="cellIs" operator="equal" dxfId="2717" priority="2717">
      <formula>"Novo"</formula>
    </cfRule>
  </conditionalFormatting>
  <conditionalFormatting sqref="W381">
    <cfRule type="cellIs" operator="equal" dxfId="2718" priority="2718">
      <formula>"Não faço envios"</formula>
    </cfRule>
  </conditionalFormatting>
  <conditionalFormatting sqref="X381">
    <cfRule type="cellIs" operator="equal" dxfId="2719" priority="2719">
      <formula>"Não aceito"</formula>
    </cfRule>
  </conditionalFormatting>
  <conditionalFormatting sqref="Y381">
    <cfRule type="cellIs" operator="equal" dxfId="2720" priority="2720">
      <formula>"Clássico"</formula>
    </cfRule>
  </conditionalFormatting>
  <conditionalFormatting sqref="AA381">
    <cfRule type="cellIs" operator="equal" dxfId="2721" priority="2721">
      <formula>"Inativo"</formula>
    </cfRule>
  </conditionalFormatting>
  <conditionalFormatting sqref="AB381">
    <cfRule type="cellIs" operator="equal" dxfId="2722" priority="2722">
      <formula>"Garantia de fábrica"</formula>
    </cfRule>
  </conditionalFormatting>
  <conditionalFormatting sqref="AD381">
    <cfRule type="cellIs" operator="equal" dxfId="2723" priority="2723">
      <formula>"meses"</formula>
    </cfRule>
  </conditionalFormatting>
  <conditionalFormatting sqref="J382">
    <cfRule type="cellIs" operator="equal" dxfId="2724" priority="2724">
      <formula>"R$"</formula>
    </cfRule>
  </conditionalFormatting>
  <conditionalFormatting sqref="U382">
    <cfRule type="cellIs" operator="equal" dxfId="2725" priority="2725">
      <formula>"Novo"</formula>
    </cfRule>
  </conditionalFormatting>
  <conditionalFormatting sqref="W382">
    <cfRule type="cellIs" operator="equal" dxfId="2726" priority="2726">
      <formula>"Não faço envios"</formula>
    </cfRule>
  </conditionalFormatting>
  <conditionalFormatting sqref="X382">
    <cfRule type="cellIs" operator="equal" dxfId="2727" priority="2727">
      <formula>"Não aceito"</formula>
    </cfRule>
  </conditionalFormatting>
  <conditionalFormatting sqref="Y382">
    <cfRule type="cellIs" operator="equal" dxfId="2728" priority="2728">
      <formula>"Clássico"</formula>
    </cfRule>
  </conditionalFormatting>
  <conditionalFormatting sqref="AA382">
    <cfRule type="cellIs" operator="equal" dxfId="2729" priority="2729">
      <formula>"Inativo"</formula>
    </cfRule>
  </conditionalFormatting>
  <conditionalFormatting sqref="AB382">
    <cfRule type="cellIs" operator="equal" dxfId="2730" priority="2730">
      <formula>"Garantia de fábrica"</formula>
    </cfRule>
  </conditionalFormatting>
  <conditionalFormatting sqref="AD382">
    <cfRule type="cellIs" operator="equal" dxfId="2731" priority="2731">
      <formula>"meses"</formula>
    </cfRule>
  </conditionalFormatting>
  <conditionalFormatting sqref="J383">
    <cfRule type="cellIs" operator="equal" dxfId="2732" priority="2732">
      <formula>"R$"</formula>
    </cfRule>
  </conditionalFormatting>
  <conditionalFormatting sqref="U383">
    <cfRule type="cellIs" operator="equal" dxfId="2733" priority="2733">
      <formula>"Novo"</formula>
    </cfRule>
  </conditionalFormatting>
  <conditionalFormatting sqref="W383">
    <cfRule type="cellIs" operator="equal" dxfId="2734" priority="2734">
      <formula>"Não faço envios"</formula>
    </cfRule>
  </conditionalFormatting>
  <conditionalFormatting sqref="X383">
    <cfRule type="cellIs" operator="equal" dxfId="2735" priority="2735">
      <formula>"Não aceito"</formula>
    </cfRule>
  </conditionalFormatting>
  <conditionalFormatting sqref="Y383">
    <cfRule type="cellIs" operator="equal" dxfId="2736" priority="2736">
      <formula>"Clássico"</formula>
    </cfRule>
  </conditionalFormatting>
  <conditionalFormatting sqref="AA383">
    <cfRule type="cellIs" operator="equal" dxfId="2737" priority="2737">
      <formula>"Inativo"</formula>
    </cfRule>
  </conditionalFormatting>
  <conditionalFormatting sqref="AB383">
    <cfRule type="cellIs" operator="equal" dxfId="2738" priority="2738">
      <formula>"Garantia de fábrica"</formula>
    </cfRule>
  </conditionalFormatting>
  <conditionalFormatting sqref="AD383">
    <cfRule type="cellIs" operator="equal" dxfId="2739" priority="2739">
      <formula>"meses"</formula>
    </cfRule>
  </conditionalFormatting>
  <conditionalFormatting sqref="J384">
    <cfRule type="cellIs" operator="equal" dxfId="2740" priority="2740">
      <formula>"R$"</formula>
    </cfRule>
  </conditionalFormatting>
  <conditionalFormatting sqref="U384">
    <cfRule type="cellIs" operator="equal" dxfId="2741" priority="2741">
      <formula>"Novo"</formula>
    </cfRule>
  </conditionalFormatting>
  <conditionalFormatting sqref="W384">
    <cfRule type="cellIs" operator="equal" dxfId="2742" priority="2742">
      <formula>"Não faço envios"</formula>
    </cfRule>
  </conditionalFormatting>
  <conditionalFormatting sqref="X384">
    <cfRule type="cellIs" operator="equal" dxfId="2743" priority="2743">
      <formula>"Não aceito"</formula>
    </cfRule>
  </conditionalFormatting>
  <conditionalFormatting sqref="Y384">
    <cfRule type="cellIs" operator="equal" dxfId="2744" priority="2744">
      <formula>"Clássico"</formula>
    </cfRule>
  </conditionalFormatting>
  <conditionalFormatting sqref="AA384">
    <cfRule type="cellIs" operator="equal" dxfId="2745" priority="2745">
      <formula>"Inativo"</formula>
    </cfRule>
  </conditionalFormatting>
  <conditionalFormatting sqref="AB384">
    <cfRule type="cellIs" operator="equal" dxfId="2746" priority="2746">
      <formula>"Garantia de fábrica"</formula>
    </cfRule>
  </conditionalFormatting>
  <conditionalFormatting sqref="AD384">
    <cfRule type="cellIs" operator="equal" dxfId="2747" priority="2747">
      <formula>"meses"</formula>
    </cfRule>
  </conditionalFormatting>
  <conditionalFormatting sqref="J385">
    <cfRule type="cellIs" operator="equal" dxfId="2748" priority="2748">
      <formula>"R$"</formula>
    </cfRule>
  </conditionalFormatting>
  <conditionalFormatting sqref="U385">
    <cfRule type="cellIs" operator="equal" dxfId="2749" priority="2749">
      <formula>"Novo"</formula>
    </cfRule>
  </conditionalFormatting>
  <conditionalFormatting sqref="W385">
    <cfRule type="cellIs" operator="equal" dxfId="2750" priority="2750">
      <formula>"Não faço envios"</formula>
    </cfRule>
  </conditionalFormatting>
  <conditionalFormatting sqref="X385">
    <cfRule type="cellIs" operator="equal" dxfId="2751" priority="2751">
      <formula>"Não aceito"</formula>
    </cfRule>
  </conditionalFormatting>
  <conditionalFormatting sqref="Y385">
    <cfRule type="cellIs" operator="equal" dxfId="2752" priority="2752">
      <formula>"Clássico"</formula>
    </cfRule>
  </conditionalFormatting>
  <conditionalFormatting sqref="AA385">
    <cfRule type="cellIs" operator="equal" dxfId="2753" priority="2753">
      <formula>"Inativo"</formula>
    </cfRule>
  </conditionalFormatting>
  <conditionalFormatting sqref="AB385">
    <cfRule type="cellIs" operator="equal" dxfId="2754" priority="2754">
      <formula>"Garantia de fábrica"</formula>
    </cfRule>
  </conditionalFormatting>
  <conditionalFormatting sqref="AD385">
    <cfRule type="cellIs" operator="equal" dxfId="2755" priority="2755">
      <formula>"meses"</formula>
    </cfRule>
  </conditionalFormatting>
  <conditionalFormatting sqref="J386">
    <cfRule type="cellIs" operator="equal" dxfId="2756" priority="2756">
      <formula>"R$"</formula>
    </cfRule>
  </conditionalFormatting>
  <conditionalFormatting sqref="U386">
    <cfRule type="cellIs" operator="equal" dxfId="2757" priority="2757">
      <formula>"Novo"</formula>
    </cfRule>
  </conditionalFormatting>
  <conditionalFormatting sqref="W386">
    <cfRule type="cellIs" operator="equal" dxfId="2758" priority="2758">
      <formula>"Não faço envios"</formula>
    </cfRule>
  </conditionalFormatting>
  <conditionalFormatting sqref="X386">
    <cfRule type="cellIs" operator="equal" dxfId="2759" priority="2759">
      <formula>"Não aceito"</formula>
    </cfRule>
  </conditionalFormatting>
  <conditionalFormatting sqref="Y386">
    <cfRule type="cellIs" operator="equal" dxfId="2760" priority="2760">
      <formula>"Clássico"</formula>
    </cfRule>
  </conditionalFormatting>
  <conditionalFormatting sqref="AA386">
    <cfRule type="cellIs" operator="equal" dxfId="2761" priority="2761">
      <formula>"Inativo"</formula>
    </cfRule>
  </conditionalFormatting>
  <conditionalFormatting sqref="AB386">
    <cfRule type="cellIs" operator="equal" dxfId="2762" priority="2762">
      <formula>"Garantia de fábrica"</formula>
    </cfRule>
  </conditionalFormatting>
  <conditionalFormatting sqref="AD386">
    <cfRule type="cellIs" operator="equal" dxfId="2763" priority="2763">
      <formula>"meses"</formula>
    </cfRule>
  </conditionalFormatting>
  <conditionalFormatting sqref="J387">
    <cfRule type="cellIs" operator="equal" dxfId="2764" priority="2764">
      <formula>"R$"</formula>
    </cfRule>
  </conditionalFormatting>
  <conditionalFormatting sqref="U387">
    <cfRule type="cellIs" operator="equal" dxfId="2765" priority="2765">
      <formula>"Novo"</formula>
    </cfRule>
  </conditionalFormatting>
  <conditionalFormatting sqref="W387">
    <cfRule type="cellIs" operator="equal" dxfId="2766" priority="2766">
      <formula>"Mercado Envios por conta do comprador"</formula>
    </cfRule>
  </conditionalFormatting>
  <conditionalFormatting sqref="X387">
    <cfRule type="cellIs" operator="equal" dxfId="2767" priority="2767">
      <formula>"Não aceito"</formula>
    </cfRule>
  </conditionalFormatting>
  <conditionalFormatting sqref="Y387">
    <cfRule type="cellIs" operator="equal" dxfId="2768" priority="2768">
      <formula>"Clássico"</formula>
    </cfRule>
  </conditionalFormatting>
  <conditionalFormatting sqref="AA387">
    <cfRule type="cellIs" operator="equal" dxfId="2769" priority="2769">
      <formula>"Inativo"</formula>
    </cfRule>
  </conditionalFormatting>
  <conditionalFormatting sqref="AB387">
    <cfRule type="cellIs" operator="equal" dxfId="2770" priority="2770">
      <formula>"Garantia de fábrica"</formula>
    </cfRule>
  </conditionalFormatting>
  <conditionalFormatting sqref="AD387">
    <cfRule type="cellIs" operator="equal" dxfId="2771" priority="2771">
      <formula>"dias"</formula>
    </cfRule>
  </conditionalFormatting>
  <conditionalFormatting sqref="J388">
    <cfRule type="cellIs" operator="equal" dxfId="2772" priority="2772">
      <formula>"R$"</formula>
    </cfRule>
  </conditionalFormatting>
  <conditionalFormatting sqref="U388">
    <cfRule type="cellIs" operator="equal" dxfId="2773" priority="2773">
      <formula>"Novo"</formula>
    </cfRule>
  </conditionalFormatting>
  <conditionalFormatting sqref="W388">
    <cfRule type="cellIs" operator="equal" dxfId="2774" priority="2774">
      <formula>"Mercado Envios grátis"</formula>
    </cfRule>
  </conditionalFormatting>
  <conditionalFormatting sqref="X388">
    <cfRule type="cellIs" operator="equal" dxfId="2775" priority="2775">
      <formula>"Não aceito"</formula>
    </cfRule>
  </conditionalFormatting>
  <conditionalFormatting sqref="Y388">
    <cfRule type="cellIs" operator="equal" dxfId="2776" priority="2776">
      <formula>"Clássico"</formula>
    </cfRule>
  </conditionalFormatting>
  <conditionalFormatting sqref="AA388">
    <cfRule type="cellIs" operator="equal" dxfId="2777" priority="2777">
      <formula>"Inativo"</formula>
    </cfRule>
  </conditionalFormatting>
  <conditionalFormatting sqref="AB388">
    <cfRule type="cellIs" operator="equal" dxfId="2778" priority="2778">
      <formula>"Garantia de fábrica"</formula>
    </cfRule>
  </conditionalFormatting>
  <conditionalFormatting sqref="AD388">
    <cfRule type="cellIs" operator="equal" dxfId="2779" priority="2779">
      <formula>"dias"</formula>
    </cfRule>
  </conditionalFormatting>
  <conditionalFormatting sqref="J389">
    <cfRule type="cellIs" operator="equal" dxfId="2780" priority="2780">
      <formula>"R$"</formula>
    </cfRule>
  </conditionalFormatting>
  <conditionalFormatting sqref="U389">
    <cfRule type="cellIs" operator="equal" dxfId="2781" priority="2781">
      <formula>"Novo"</formula>
    </cfRule>
  </conditionalFormatting>
  <conditionalFormatting sqref="W389">
    <cfRule type="cellIs" operator="equal" dxfId="2782" priority="2782">
      <formula>"Mercado Envios por conta do comprador"</formula>
    </cfRule>
  </conditionalFormatting>
  <conditionalFormatting sqref="X389">
    <cfRule type="cellIs" operator="equal" dxfId="2783" priority="2783">
      <formula>"Aceita"</formula>
    </cfRule>
  </conditionalFormatting>
  <conditionalFormatting sqref="Y389">
    <cfRule type="cellIs" operator="equal" dxfId="2784" priority="2784">
      <formula>"Clássico"</formula>
    </cfRule>
  </conditionalFormatting>
  <conditionalFormatting sqref="AA389">
    <cfRule type="cellIs" operator="equal" dxfId="2785" priority="2785">
      <formula>"Inativo"</formula>
    </cfRule>
  </conditionalFormatting>
  <conditionalFormatting sqref="AB389">
    <cfRule type="cellIs" operator="equal" dxfId="2786" priority="2786">
      <formula>"Garantia do vendedor"</formula>
    </cfRule>
  </conditionalFormatting>
  <conditionalFormatting sqref="AD389">
    <cfRule type="cellIs" operator="equal" dxfId="2787" priority="2787">
      <formula>"meses"</formula>
    </cfRule>
  </conditionalFormatting>
  <conditionalFormatting sqref="J390">
    <cfRule type="cellIs" operator="equal" dxfId="2788" priority="2788">
      <formula>"R$"</formula>
    </cfRule>
  </conditionalFormatting>
  <conditionalFormatting sqref="U390">
    <cfRule type="cellIs" operator="equal" dxfId="2789" priority="2789">
      <formula>"Novo"</formula>
    </cfRule>
  </conditionalFormatting>
  <conditionalFormatting sqref="W390">
    <cfRule type="cellIs" operator="equal" dxfId="2790" priority="2790">
      <formula>"Mercado Envios por conta do comprador"</formula>
    </cfRule>
  </conditionalFormatting>
  <conditionalFormatting sqref="X390">
    <cfRule type="cellIs" operator="equal" dxfId="2791" priority="2791">
      <formula>"Aceita"</formula>
    </cfRule>
  </conditionalFormatting>
  <conditionalFormatting sqref="Y390">
    <cfRule type="cellIs" operator="equal" dxfId="2792" priority="2792">
      <formula>"Premium"</formula>
    </cfRule>
  </conditionalFormatting>
  <conditionalFormatting sqref="AA390">
    <cfRule type="cellIs" operator="equal" dxfId="2793" priority="2793">
      <formula>"Inativo"</formula>
    </cfRule>
  </conditionalFormatting>
  <conditionalFormatting sqref="AB390">
    <cfRule type="cellIs" operator="equal" dxfId="2794" priority="2794">
      <formula>"Garantia do vendedor"</formula>
    </cfRule>
  </conditionalFormatting>
  <conditionalFormatting sqref="AD390">
    <cfRule type="cellIs" operator="equal" dxfId="2795" priority="2795">
      <formula>"dias"</formula>
    </cfRule>
  </conditionalFormatting>
  <conditionalFormatting sqref="J391">
    <cfRule type="cellIs" operator="equal" dxfId="2796" priority="2796">
      <formula>"R$"</formula>
    </cfRule>
  </conditionalFormatting>
  <conditionalFormatting sqref="U391">
    <cfRule type="cellIs" operator="equal" dxfId="2797" priority="2797">
      <formula>"Novo"</formula>
    </cfRule>
  </conditionalFormatting>
  <conditionalFormatting sqref="W391">
    <cfRule type="cellIs" operator="equal" dxfId="2798" priority="2798">
      <formula>"Mercado Envios por conta do comprador"</formula>
    </cfRule>
  </conditionalFormatting>
  <conditionalFormatting sqref="X391">
    <cfRule type="cellIs" operator="equal" dxfId="2799" priority="2799">
      <formula>"Aceita"</formula>
    </cfRule>
  </conditionalFormatting>
  <conditionalFormatting sqref="Y391">
    <cfRule type="cellIs" operator="equal" dxfId="2800" priority="2800">
      <formula>"Premium"</formula>
    </cfRule>
  </conditionalFormatting>
  <conditionalFormatting sqref="AA391">
    <cfRule type="cellIs" operator="equal" dxfId="2801" priority="2801">
      <formula>"Inativo"</formula>
    </cfRule>
  </conditionalFormatting>
  <conditionalFormatting sqref="AB391">
    <cfRule type="cellIs" operator="equal" dxfId="2802" priority="2802">
      <formula>"Garantia do vendedor"</formula>
    </cfRule>
  </conditionalFormatting>
  <conditionalFormatting sqref="AD391">
    <cfRule type="cellIs" operator="equal" dxfId="2803" priority="2803">
      <formula>"dias"</formula>
    </cfRule>
  </conditionalFormatting>
  <conditionalFormatting sqref="J392">
    <cfRule type="cellIs" operator="equal" dxfId="2804" priority="2804">
      <formula>"R$"</formula>
    </cfRule>
  </conditionalFormatting>
  <conditionalFormatting sqref="U392">
    <cfRule type="cellIs" operator="equal" dxfId="2805" priority="2805">
      <formula>"Novo"</formula>
    </cfRule>
  </conditionalFormatting>
  <conditionalFormatting sqref="W392">
    <cfRule type="cellIs" operator="equal" dxfId="2806" priority="2806">
      <formula>"Mercado Envios grátis"</formula>
    </cfRule>
  </conditionalFormatting>
  <conditionalFormatting sqref="X392">
    <cfRule type="cellIs" operator="equal" dxfId="2807" priority="2807">
      <formula>"Aceita"</formula>
    </cfRule>
  </conditionalFormatting>
  <conditionalFormatting sqref="Y392">
    <cfRule type="cellIs" operator="equal" dxfId="2808" priority="2808">
      <formula>"Premium"</formula>
    </cfRule>
  </conditionalFormatting>
  <conditionalFormatting sqref="AA392">
    <cfRule type="cellIs" operator="equal" dxfId="2809" priority="2809">
      <formula>"Inativo"</formula>
    </cfRule>
  </conditionalFormatting>
  <conditionalFormatting sqref="AB392">
    <cfRule type="cellIs" operator="equal" dxfId="2810" priority="2810">
      <formula>"Garantia do vendedor"</formula>
    </cfRule>
  </conditionalFormatting>
  <conditionalFormatting sqref="AD392">
    <cfRule type="cellIs" operator="equal" dxfId="2811" priority="2811">
      <formula>"dias"</formula>
    </cfRule>
  </conditionalFormatting>
  <conditionalFormatting sqref="J393">
    <cfRule type="cellIs" operator="equal" dxfId="2812" priority="2812">
      <formula>"R$"</formula>
    </cfRule>
  </conditionalFormatting>
  <conditionalFormatting sqref="U393">
    <cfRule type="cellIs" operator="equal" dxfId="2813" priority="2813">
      <formula>"Novo"</formula>
    </cfRule>
  </conditionalFormatting>
  <conditionalFormatting sqref="W393">
    <cfRule type="cellIs" operator="equal" dxfId="2814" priority="2814">
      <formula>"Mercado Envios grátis"</formula>
    </cfRule>
  </conditionalFormatting>
  <conditionalFormatting sqref="X393">
    <cfRule type="cellIs" operator="equal" dxfId="2815" priority="2815">
      <formula>"Aceita"</formula>
    </cfRule>
  </conditionalFormatting>
  <conditionalFormatting sqref="Y393">
    <cfRule type="cellIs" operator="equal" dxfId="2816" priority="2816">
      <formula>"Premium"</formula>
    </cfRule>
  </conditionalFormatting>
  <conditionalFormatting sqref="AA393">
    <cfRule type="cellIs" operator="equal" dxfId="2817" priority="2817">
      <formula>"Inativo"</formula>
    </cfRule>
  </conditionalFormatting>
  <conditionalFormatting sqref="AB393">
    <cfRule type="cellIs" operator="equal" dxfId="2818" priority="2818">
      <formula>"Garantia do vendedor"</formula>
    </cfRule>
  </conditionalFormatting>
  <conditionalFormatting sqref="AD393">
    <cfRule type="cellIs" operator="equal" dxfId="2819" priority="2819">
      <formula>"dias"</formula>
    </cfRule>
  </conditionalFormatting>
  <conditionalFormatting sqref="J394">
    <cfRule type="cellIs" operator="equal" dxfId="2820" priority="2820">
      <formula>"R$"</formula>
    </cfRule>
  </conditionalFormatting>
  <conditionalFormatting sqref="U394">
    <cfRule type="cellIs" operator="equal" dxfId="2821" priority="2821">
      <formula>"Novo"</formula>
    </cfRule>
  </conditionalFormatting>
  <conditionalFormatting sqref="W394">
    <cfRule type="cellIs" operator="equal" dxfId="2822" priority="2822">
      <formula>"Mercado Envios por conta do comprador"</formula>
    </cfRule>
  </conditionalFormatting>
  <conditionalFormatting sqref="X394">
    <cfRule type="cellIs" operator="equal" dxfId="2823" priority="2823">
      <formula>"Não aceito"</formula>
    </cfRule>
  </conditionalFormatting>
  <conditionalFormatting sqref="Y394">
    <cfRule type="cellIs" operator="equal" dxfId="2824" priority="2824">
      <formula>"Clássico"</formula>
    </cfRule>
  </conditionalFormatting>
  <conditionalFormatting sqref="AA394">
    <cfRule type="cellIs" operator="equal" dxfId="2825" priority="2825">
      <formula>"Inativo"</formula>
    </cfRule>
  </conditionalFormatting>
  <conditionalFormatting sqref="AB394">
    <cfRule type="cellIs" operator="equal" dxfId="2826" priority="2826">
      <formula>"Garantia do vendedor"</formula>
    </cfRule>
  </conditionalFormatting>
  <conditionalFormatting sqref="AD394">
    <cfRule type="cellIs" operator="equal" dxfId="2827" priority="2827">
      <formula>"dias"</formula>
    </cfRule>
  </conditionalFormatting>
  <conditionalFormatting sqref="J395">
    <cfRule type="cellIs" operator="equal" dxfId="2828" priority="2828">
      <formula>"R$"</formula>
    </cfRule>
  </conditionalFormatting>
  <conditionalFormatting sqref="U395">
    <cfRule type="cellIs" operator="equal" dxfId="2829" priority="2829">
      <formula>"Novo"</formula>
    </cfRule>
  </conditionalFormatting>
  <conditionalFormatting sqref="W395">
    <cfRule type="cellIs" operator="equal" dxfId="2830" priority="2830">
      <formula>"Mercado Envios por conta do comprador"</formula>
    </cfRule>
  </conditionalFormatting>
  <conditionalFormatting sqref="X395">
    <cfRule type="cellIs" operator="equal" dxfId="2831" priority="2831">
      <formula>"Aceita"</formula>
    </cfRule>
  </conditionalFormatting>
  <conditionalFormatting sqref="Y395">
    <cfRule type="cellIs" operator="equal" dxfId="2832" priority="2832">
      <formula>"Clássico"</formula>
    </cfRule>
  </conditionalFormatting>
  <conditionalFormatting sqref="AA395">
    <cfRule type="cellIs" operator="equal" dxfId="2833" priority="2833">
      <formula>"Inativo"</formula>
    </cfRule>
  </conditionalFormatting>
  <conditionalFormatting sqref="AB395">
    <cfRule type="cellIs" operator="equal" dxfId="2834" priority="2834">
      <formula>"Garantia do vendedor"</formula>
    </cfRule>
  </conditionalFormatting>
  <conditionalFormatting sqref="AD395">
    <cfRule type="cellIs" operator="equal" dxfId="2835" priority="2835">
      <formula>"dias"</formula>
    </cfRule>
  </conditionalFormatting>
  <conditionalFormatting sqref="J396">
    <cfRule type="cellIs" operator="equal" dxfId="2836" priority="2836">
      <formula>"R$"</formula>
    </cfRule>
  </conditionalFormatting>
  <conditionalFormatting sqref="U396">
    <cfRule type="cellIs" operator="equal" dxfId="2837" priority="2837">
      <formula>"Novo"</formula>
    </cfRule>
  </conditionalFormatting>
  <conditionalFormatting sqref="W396">
    <cfRule type="cellIs" operator="equal" dxfId="2838" priority="2838">
      <formula>"Mercado Envios grátis"</formula>
    </cfRule>
  </conditionalFormatting>
  <conditionalFormatting sqref="X396">
    <cfRule type="cellIs" operator="equal" dxfId="2839" priority="2839">
      <formula>"Não aceito"</formula>
    </cfRule>
  </conditionalFormatting>
  <conditionalFormatting sqref="Y396">
    <cfRule type="cellIs" operator="equal" dxfId="2840" priority="2840">
      <formula>"Premium"</formula>
    </cfRule>
  </conditionalFormatting>
  <conditionalFormatting sqref="AA396">
    <cfRule type="cellIs" operator="equal" dxfId="2841" priority="2841">
      <formula>"Inativo"</formula>
    </cfRule>
  </conditionalFormatting>
  <conditionalFormatting sqref="AB396">
    <cfRule type="cellIs" operator="equal" dxfId="2842" priority="2842">
      <formula>"Garantia de fábrica"</formula>
    </cfRule>
  </conditionalFormatting>
  <conditionalFormatting sqref="AD396">
    <cfRule type="cellIs" operator="equal" dxfId="2843" priority="2843">
      <formula>"meses"</formula>
    </cfRule>
  </conditionalFormatting>
  <conditionalFormatting sqref="J397">
    <cfRule type="cellIs" operator="equal" dxfId="2844" priority="2844">
      <formula>"R$"</formula>
    </cfRule>
  </conditionalFormatting>
  <conditionalFormatting sqref="U397">
    <cfRule type="cellIs" operator="equal" dxfId="2845" priority="2845">
      <formula>"Novo"</formula>
    </cfRule>
  </conditionalFormatting>
  <conditionalFormatting sqref="W397">
    <cfRule type="cellIs" operator="equal" dxfId="2846" priority="2846">
      <formula>"Mercado Envios grátis"</formula>
    </cfRule>
  </conditionalFormatting>
  <conditionalFormatting sqref="X397">
    <cfRule type="cellIs" operator="equal" dxfId="2847" priority="2847">
      <formula>"Não aceito"</formula>
    </cfRule>
  </conditionalFormatting>
  <conditionalFormatting sqref="Y397">
    <cfRule type="cellIs" operator="equal" dxfId="2848" priority="2848">
      <formula>"Premium"</formula>
    </cfRule>
  </conditionalFormatting>
  <conditionalFormatting sqref="AA397">
    <cfRule type="cellIs" operator="equal" dxfId="2849" priority="2849">
      <formula>"Inativo"</formula>
    </cfRule>
  </conditionalFormatting>
  <conditionalFormatting sqref="AB397">
    <cfRule type="cellIs" operator="equal" dxfId="2850" priority="2850">
      <formula>"Garantia do vendedor"</formula>
    </cfRule>
  </conditionalFormatting>
  <conditionalFormatting sqref="AD397">
    <cfRule type="cellIs" operator="equal" dxfId="2851" priority="2851">
      <formula>"dias"</formula>
    </cfRule>
  </conditionalFormatting>
  <conditionalFormatting sqref="J398">
    <cfRule type="cellIs" operator="equal" dxfId="2852" priority="2852">
      <formula>"R$"</formula>
    </cfRule>
  </conditionalFormatting>
  <conditionalFormatting sqref="U398">
    <cfRule type="cellIs" operator="equal" dxfId="2853" priority="2853">
      <formula>"Novo"</formula>
    </cfRule>
  </conditionalFormatting>
  <conditionalFormatting sqref="W398">
    <cfRule type="cellIs" operator="equal" dxfId="2854" priority="2854">
      <formula>"Mercado Envios por conta do comprador"</formula>
    </cfRule>
  </conditionalFormatting>
  <conditionalFormatting sqref="X398">
    <cfRule type="cellIs" operator="equal" dxfId="2855" priority="2855">
      <formula>"Aceita"</formula>
    </cfRule>
  </conditionalFormatting>
  <conditionalFormatting sqref="Y398">
    <cfRule type="cellIs" operator="equal" dxfId="2856" priority="2856">
      <formula>"Clássico"</formula>
    </cfRule>
  </conditionalFormatting>
  <conditionalFormatting sqref="AA398">
    <cfRule type="cellIs" operator="equal" dxfId="2857" priority="2857">
      <formula>"Inativo"</formula>
    </cfRule>
  </conditionalFormatting>
  <conditionalFormatting sqref="AB398">
    <cfRule type="cellIs" operator="equal" dxfId="2858" priority="2858">
      <formula>"Garantia do vendedor"</formula>
    </cfRule>
  </conditionalFormatting>
  <conditionalFormatting sqref="AD398">
    <cfRule type="cellIs" operator="equal" dxfId="2859" priority="2859">
      <formula>"dias"</formula>
    </cfRule>
  </conditionalFormatting>
  <conditionalFormatting sqref="J399">
    <cfRule type="cellIs" operator="equal" dxfId="2860" priority="2860">
      <formula>"R$"</formula>
    </cfRule>
  </conditionalFormatting>
  <conditionalFormatting sqref="U399">
    <cfRule type="cellIs" operator="equal" dxfId="2861" priority="2861">
      <formula>"Novo"</formula>
    </cfRule>
  </conditionalFormatting>
  <conditionalFormatting sqref="W399">
    <cfRule type="cellIs" operator="equal" dxfId="2862" priority="2862">
      <formula>"Mercado Envios por conta do comprador"</formula>
    </cfRule>
  </conditionalFormatting>
  <conditionalFormatting sqref="X399">
    <cfRule type="cellIs" operator="equal" dxfId="2863" priority="2863">
      <formula>"Aceita"</formula>
    </cfRule>
  </conditionalFormatting>
  <conditionalFormatting sqref="Y399">
    <cfRule type="cellIs" operator="equal" dxfId="2864" priority="2864">
      <formula>"Clássico"</formula>
    </cfRule>
  </conditionalFormatting>
  <conditionalFormatting sqref="AA399">
    <cfRule type="cellIs" operator="equal" dxfId="2865" priority="2865">
      <formula>"Inativo"</formula>
    </cfRule>
  </conditionalFormatting>
  <conditionalFormatting sqref="AB399">
    <cfRule type="cellIs" operator="equal" dxfId="2866" priority="2866">
      <formula>"Garantia do vendedor"</formula>
    </cfRule>
  </conditionalFormatting>
  <conditionalFormatting sqref="AD399">
    <cfRule type="cellIs" operator="equal" dxfId="2867" priority="2867">
      <formula>"meses"</formula>
    </cfRule>
  </conditionalFormatting>
  <conditionalFormatting sqref="J400">
    <cfRule type="cellIs" operator="equal" dxfId="2868" priority="2868">
      <formula>"R$"</formula>
    </cfRule>
  </conditionalFormatting>
  <conditionalFormatting sqref="U400">
    <cfRule type="cellIs" operator="equal" dxfId="2869" priority="2869">
      <formula>"Novo"</formula>
    </cfRule>
  </conditionalFormatting>
  <conditionalFormatting sqref="W400">
    <cfRule type="cellIs" operator="equal" dxfId="2870" priority="2870">
      <formula>"Mercado Envios por conta do comprador"</formula>
    </cfRule>
  </conditionalFormatting>
  <conditionalFormatting sqref="X400">
    <cfRule type="cellIs" operator="equal" dxfId="2871" priority="2871">
      <formula>"Aceita"</formula>
    </cfRule>
  </conditionalFormatting>
  <conditionalFormatting sqref="Y400">
    <cfRule type="cellIs" operator="equal" dxfId="2872" priority="2872">
      <formula>"Clássico"</formula>
    </cfRule>
  </conditionalFormatting>
  <conditionalFormatting sqref="AA400">
    <cfRule type="cellIs" operator="equal" dxfId="2873" priority="2873">
      <formula>"Inativo"</formula>
    </cfRule>
  </conditionalFormatting>
  <conditionalFormatting sqref="AB400">
    <cfRule type="cellIs" operator="equal" dxfId="2874" priority="2874">
      <formula>"Garantia do vendedor"</formula>
    </cfRule>
  </conditionalFormatting>
  <conditionalFormatting sqref="AD400">
    <cfRule type="cellIs" operator="equal" dxfId="2875" priority="2875">
      <formula>"meses"</formula>
    </cfRule>
  </conditionalFormatting>
  <conditionalFormatting sqref="J401">
    <cfRule type="cellIs" operator="equal" dxfId="2876" priority="2876">
      <formula>"R$"</formula>
    </cfRule>
  </conditionalFormatting>
  <conditionalFormatting sqref="U401">
    <cfRule type="cellIs" operator="equal" dxfId="2877" priority="2877">
      <formula>"Novo"</formula>
    </cfRule>
  </conditionalFormatting>
  <conditionalFormatting sqref="W401">
    <cfRule type="cellIs" operator="equal" dxfId="2878" priority="2878">
      <formula>"Mercado Envios grátis"</formula>
    </cfRule>
  </conditionalFormatting>
  <conditionalFormatting sqref="X401">
    <cfRule type="cellIs" operator="equal" dxfId="2879" priority="2879">
      <formula>"Não aceito"</formula>
    </cfRule>
  </conditionalFormatting>
  <conditionalFormatting sqref="Y401">
    <cfRule type="cellIs" operator="equal" dxfId="2880" priority="2880">
      <formula>"Clássico"</formula>
    </cfRule>
  </conditionalFormatting>
  <conditionalFormatting sqref="AA401">
    <cfRule type="cellIs" operator="equal" dxfId="2881" priority="2881">
      <formula>"Inativo"</formula>
    </cfRule>
  </conditionalFormatting>
  <conditionalFormatting sqref="AB401">
    <cfRule type="cellIs" operator="equal" dxfId="2882" priority="2882">
      <formula>"Garantia do vendedor"</formula>
    </cfRule>
  </conditionalFormatting>
  <conditionalFormatting sqref="AD401">
    <cfRule type="cellIs" operator="equal" dxfId="2883" priority="2883">
      <formula>"dias"</formula>
    </cfRule>
  </conditionalFormatting>
  <conditionalFormatting sqref="J402">
    <cfRule type="cellIs" operator="equal" dxfId="2884" priority="2884">
      <formula>"R$"</formula>
    </cfRule>
  </conditionalFormatting>
  <conditionalFormatting sqref="U402">
    <cfRule type="cellIs" operator="equal" dxfId="2885" priority="2885">
      <formula>"Novo"</formula>
    </cfRule>
  </conditionalFormatting>
  <conditionalFormatting sqref="W402">
    <cfRule type="cellIs" operator="equal" dxfId="2886" priority="2886">
      <formula>"Não faço envios"</formula>
    </cfRule>
  </conditionalFormatting>
  <conditionalFormatting sqref="X402">
    <cfRule type="cellIs" operator="equal" dxfId="2887" priority="2887">
      <formula>"Não aceito"</formula>
    </cfRule>
  </conditionalFormatting>
  <conditionalFormatting sqref="Y402">
    <cfRule type="cellIs" operator="equal" dxfId="2888" priority="2888">
      <formula>"Clássico"</formula>
    </cfRule>
  </conditionalFormatting>
  <conditionalFormatting sqref="AA402">
    <cfRule type="cellIs" operator="equal" dxfId="2889" priority="2889">
      <formula>"Inativo"</formula>
    </cfRule>
  </conditionalFormatting>
  <conditionalFormatting sqref="AB402">
    <cfRule type="cellIs" operator="equal" dxfId="2890" priority="2890">
      <formula>"Garantia do vendedor"</formula>
    </cfRule>
  </conditionalFormatting>
  <conditionalFormatting sqref="AD402">
    <cfRule type="cellIs" operator="equal" dxfId="2891" priority="2891">
      <formula>"dias"</formula>
    </cfRule>
  </conditionalFormatting>
  <conditionalFormatting sqref="J403">
    <cfRule type="cellIs" operator="equal" dxfId="2892" priority="2892">
      <formula>"R$"</formula>
    </cfRule>
  </conditionalFormatting>
  <conditionalFormatting sqref="U403">
    <cfRule type="cellIs" operator="equal" dxfId="2893" priority="2893">
      <formula>"Usado"</formula>
    </cfRule>
  </conditionalFormatting>
  <conditionalFormatting sqref="W403">
    <cfRule type="cellIs" operator="equal" dxfId="2894" priority="2894">
      <formula>"Mercado Envios por conta do comprador"</formula>
    </cfRule>
  </conditionalFormatting>
  <conditionalFormatting sqref="X403">
    <cfRule type="cellIs" operator="equal" dxfId="2895" priority="2895">
      <formula>"Aceita"</formula>
    </cfRule>
  </conditionalFormatting>
  <conditionalFormatting sqref="Y403">
    <cfRule type="cellIs" operator="equal" dxfId="2896" priority="2896">
      <formula>"Premium"</formula>
    </cfRule>
  </conditionalFormatting>
  <conditionalFormatting sqref="AA403">
    <cfRule type="cellIs" operator="equal" dxfId="2897" priority="2897">
      <formula>"Inativo"</formula>
    </cfRule>
  </conditionalFormatting>
  <conditionalFormatting sqref="AB403">
    <cfRule type="cellIs" operator="equal" dxfId="2898" priority="2898">
      <formula>"Garantia do vendedor"</formula>
    </cfRule>
  </conditionalFormatting>
  <conditionalFormatting sqref="AD403">
    <cfRule type="cellIs" operator="equal" dxfId="2899" priority="2899">
      <formula>"meses"</formula>
    </cfRule>
  </conditionalFormatting>
  <conditionalFormatting sqref="J404">
    <cfRule type="cellIs" operator="equal" dxfId="2900" priority="2900">
      <formula>"R$"</formula>
    </cfRule>
  </conditionalFormatting>
  <conditionalFormatting sqref="U404">
    <cfRule type="cellIs" operator="equal" dxfId="2901" priority="2901">
      <formula>"Novo"</formula>
    </cfRule>
  </conditionalFormatting>
  <conditionalFormatting sqref="W404">
    <cfRule type="cellIs" operator="equal" dxfId="2902" priority="2902">
      <formula>"Mercado Envios grátis"</formula>
    </cfRule>
  </conditionalFormatting>
  <conditionalFormatting sqref="X404">
    <cfRule type="cellIs" operator="equal" dxfId="2903" priority="2903">
      <formula>"Aceita"</formula>
    </cfRule>
  </conditionalFormatting>
  <conditionalFormatting sqref="Y404">
    <cfRule type="cellIs" operator="equal" dxfId="2904" priority="2904">
      <formula>"Premium"</formula>
    </cfRule>
  </conditionalFormatting>
  <conditionalFormatting sqref="AA404">
    <cfRule type="cellIs" operator="equal" dxfId="2905" priority="2905">
      <formula>"Inativo"</formula>
    </cfRule>
  </conditionalFormatting>
  <conditionalFormatting sqref="AB404">
    <cfRule type="cellIs" operator="equal" dxfId="2906" priority="2906">
      <formula>"Garantia do vendedor"</formula>
    </cfRule>
  </conditionalFormatting>
  <conditionalFormatting sqref="AD404">
    <cfRule type="cellIs" operator="equal" dxfId="2907" priority="2907">
      <formula>"meses"</formula>
    </cfRule>
  </conditionalFormatting>
  <conditionalFormatting sqref="J405">
    <cfRule type="cellIs" operator="equal" dxfId="2908" priority="2908">
      <formula>"R$"</formula>
    </cfRule>
  </conditionalFormatting>
  <conditionalFormatting sqref="U405">
    <cfRule type="cellIs" operator="equal" dxfId="2909" priority="2909">
      <formula>"Usado"</formula>
    </cfRule>
  </conditionalFormatting>
  <conditionalFormatting sqref="W405">
    <cfRule type="cellIs" operator="equal" dxfId="2910" priority="2910">
      <formula>"Mercado Envios por conta do comprador"</formula>
    </cfRule>
  </conditionalFormatting>
  <conditionalFormatting sqref="X405">
    <cfRule type="cellIs" operator="equal" dxfId="2911" priority="2911">
      <formula>"Aceita"</formula>
    </cfRule>
  </conditionalFormatting>
  <conditionalFormatting sqref="Y405">
    <cfRule type="cellIs" operator="equal" dxfId="2912" priority="2912">
      <formula>"Premium"</formula>
    </cfRule>
  </conditionalFormatting>
  <conditionalFormatting sqref="AA405">
    <cfRule type="cellIs" operator="equal" dxfId="2913" priority="2913">
      <formula>"Inativo"</formula>
    </cfRule>
  </conditionalFormatting>
  <conditionalFormatting sqref="AB405">
    <cfRule type="cellIs" operator="equal" dxfId="2914" priority="2914">
      <formula>"Garantia do vendedor"</formula>
    </cfRule>
  </conditionalFormatting>
  <conditionalFormatting sqref="AD405">
    <cfRule type="cellIs" operator="equal" dxfId="2915" priority="2915">
      <formula>"meses"</formula>
    </cfRule>
  </conditionalFormatting>
  <conditionalFormatting sqref="J406">
    <cfRule type="cellIs" operator="equal" dxfId="2916" priority="2916">
      <formula>"R$"</formula>
    </cfRule>
  </conditionalFormatting>
  <conditionalFormatting sqref="U406">
    <cfRule type="cellIs" operator="equal" dxfId="2917" priority="2917">
      <formula>"Usado"</formula>
    </cfRule>
  </conditionalFormatting>
  <conditionalFormatting sqref="W406">
    <cfRule type="cellIs" operator="equal" dxfId="2918" priority="2918">
      <formula>"Mercado Envios por conta do comprador"</formula>
    </cfRule>
  </conditionalFormatting>
  <conditionalFormatting sqref="X406">
    <cfRule type="cellIs" operator="equal" dxfId="2919" priority="2919">
      <formula>"Aceita"</formula>
    </cfRule>
  </conditionalFormatting>
  <conditionalFormatting sqref="Y406">
    <cfRule type="cellIs" operator="equal" dxfId="2920" priority="2920">
      <formula>"Premium"</formula>
    </cfRule>
  </conditionalFormatting>
  <conditionalFormatting sqref="AA406">
    <cfRule type="cellIs" operator="equal" dxfId="2921" priority="2921">
      <formula>"Inativo"</formula>
    </cfRule>
  </conditionalFormatting>
  <conditionalFormatting sqref="AB406">
    <cfRule type="cellIs" operator="equal" dxfId="2922" priority="2922">
      <formula>"Garantia do vendedor"</formula>
    </cfRule>
  </conditionalFormatting>
  <conditionalFormatting sqref="AD406">
    <cfRule type="cellIs" operator="equal" dxfId="2923" priority="2923">
      <formula>"meses"</formula>
    </cfRule>
  </conditionalFormatting>
  <conditionalFormatting sqref="J407">
    <cfRule type="cellIs" operator="equal" dxfId="2924" priority="2924">
      <formula>"R$"</formula>
    </cfRule>
  </conditionalFormatting>
  <conditionalFormatting sqref="U407">
    <cfRule type="cellIs" operator="equal" dxfId="2925" priority="2925">
      <formula>"Usado"</formula>
    </cfRule>
  </conditionalFormatting>
  <conditionalFormatting sqref="W407">
    <cfRule type="cellIs" operator="equal" dxfId="2926" priority="2926">
      <formula>"Mercado Envios por conta do comprador"</formula>
    </cfRule>
  </conditionalFormatting>
  <conditionalFormatting sqref="X407">
    <cfRule type="cellIs" operator="equal" dxfId="2927" priority="2927">
      <formula>"Aceita"</formula>
    </cfRule>
  </conditionalFormatting>
  <conditionalFormatting sqref="Y407">
    <cfRule type="cellIs" operator="equal" dxfId="2928" priority="2928">
      <formula>"Premium"</formula>
    </cfRule>
  </conditionalFormatting>
  <conditionalFormatting sqref="AA407">
    <cfRule type="cellIs" operator="equal" dxfId="2929" priority="2929">
      <formula>"Inativo"</formula>
    </cfRule>
  </conditionalFormatting>
  <conditionalFormatting sqref="AB407">
    <cfRule type="cellIs" operator="equal" dxfId="2930" priority="2930">
      <formula>"Garantia do vendedor"</formula>
    </cfRule>
  </conditionalFormatting>
  <conditionalFormatting sqref="AD407">
    <cfRule type="cellIs" operator="equal" dxfId="2931" priority="2931">
      <formula>"meses"</formula>
    </cfRule>
  </conditionalFormatting>
  <conditionalFormatting sqref="J408">
    <cfRule type="cellIs" operator="equal" dxfId="2932" priority="2932">
      <formula>"R$"</formula>
    </cfRule>
  </conditionalFormatting>
  <conditionalFormatting sqref="U408">
    <cfRule type="cellIs" operator="equal" dxfId="2933" priority="2933">
      <formula>"Usado"</formula>
    </cfRule>
  </conditionalFormatting>
  <conditionalFormatting sqref="W408">
    <cfRule type="cellIs" operator="equal" dxfId="2934" priority="2934">
      <formula>"Mercado Envios por conta do comprador"</formula>
    </cfRule>
  </conditionalFormatting>
  <conditionalFormatting sqref="X408">
    <cfRule type="cellIs" operator="equal" dxfId="2935" priority="2935">
      <formula>"Aceita"</formula>
    </cfRule>
  </conditionalFormatting>
  <conditionalFormatting sqref="Y408">
    <cfRule type="cellIs" operator="equal" dxfId="2936" priority="2936">
      <formula>"Premium"</formula>
    </cfRule>
  </conditionalFormatting>
  <conditionalFormatting sqref="AA408">
    <cfRule type="cellIs" operator="equal" dxfId="2937" priority="2937">
      <formula>"Inativo"</formula>
    </cfRule>
  </conditionalFormatting>
  <conditionalFormatting sqref="AB408">
    <cfRule type="cellIs" operator="equal" dxfId="2938" priority="2938">
      <formula>"Garantia do vendedor"</formula>
    </cfRule>
  </conditionalFormatting>
  <conditionalFormatting sqref="AD408">
    <cfRule type="cellIs" operator="equal" dxfId="2939" priority="2939">
      <formula>"meses"</formula>
    </cfRule>
  </conditionalFormatting>
  <conditionalFormatting sqref="J409">
    <cfRule type="cellIs" operator="equal" dxfId="2940" priority="2940">
      <formula>"R$"</formula>
    </cfRule>
  </conditionalFormatting>
  <conditionalFormatting sqref="U409">
    <cfRule type="cellIs" operator="equal" dxfId="2941" priority="2941">
      <formula>"Usado"</formula>
    </cfRule>
  </conditionalFormatting>
  <conditionalFormatting sqref="W409">
    <cfRule type="cellIs" operator="equal" dxfId="2942" priority="2942">
      <formula>"Mercado Envios por conta do comprador"</formula>
    </cfRule>
  </conditionalFormatting>
  <conditionalFormatting sqref="X409">
    <cfRule type="cellIs" operator="equal" dxfId="2943" priority="2943">
      <formula>"Aceita"</formula>
    </cfRule>
  </conditionalFormatting>
  <conditionalFormatting sqref="Y409">
    <cfRule type="cellIs" operator="equal" dxfId="2944" priority="2944">
      <formula>"Premium"</formula>
    </cfRule>
  </conditionalFormatting>
  <conditionalFormatting sqref="AA409">
    <cfRule type="cellIs" operator="equal" dxfId="2945" priority="2945">
      <formula>"Inativo"</formula>
    </cfRule>
  </conditionalFormatting>
  <conditionalFormatting sqref="AB409">
    <cfRule type="cellIs" operator="equal" dxfId="2946" priority="2946">
      <formula>"Garantia do vendedor"</formula>
    </cfRule>
  </conditionalFormatting>
  <conditionalFormatting sqref="AD409">
    <cfRule type="cellIs" operator="equal" dxfId="2947" priority="2947">
      <formula>"meses"</formula>
    </cfRule>
  </conditionalFormatting>
  <conditionalFormatting sqref="J410">
    <cfRule type="cellIs" operator="equal" dxfId="2948" priority="2948">
      <formula>"R$"</formula>
    </cfRule>
  </conditionalFormatting>
  <conditionalFormatting sqref="U410">
    <cfRule type="cellIs" operator="equal" dxfId="2949" priority="2949">
      <formula>"Usado"</formula>
    </cfRule>
  </conditionalFormatting>
  <conditionalFormatting sqref="W410">
    <cfRule type="cellIs" operator="equal" dxfId="2950" priority="2950">
      <formula>"Envios por conta própria"</formula>
    </cfRule>
  </conditionalFormatting>
  <conditionalFormatting sqref="X410">
    <cfRule type="cellIs" operator="equal" dxfId="2951" priority="2951">
      <formula>"Aceita"</formula>
    </cfRule>
  </conditionalFormatting>
  <conditionalFormatting sqref="Y410">
    <cfRule type="cellIs" operator="equal" dxfId="2952" priority="2952">
      <formula>"Premium"</formula>
    </cfRule>
  </conditionalFormatting>
  <conditionalFormatting sqref="AA410">
    <cfRule type="cellIs" operator="equal" dxfId="2953" priority="2953">
      <formula>"Inativo"</formula>
    </cfRule>
  </conditionalFormatting>
  <conditionalFormatting sqref="AB410">
    <cfRule type="cellIs" operator="equal" dxfId="2954" priority="2954">
      <formula>"Garantia do vendedor"</formula>
    </cfRule>
  </conditionalFormatting>
  <conditionalFormatting sqref="AD410">
    <cfRule type="cellIs" operator="equal" dxfId="2955" priority="2955">
      <formula>"meses"</formula>
    </cfRule>
  </conditionalFormatting>
  <conditionalFormatting sqref="J411">
    <cfRule type="cellIs" operator="equal" dxfId="2956" priority="2956">
      <formula>"R$"</formula>
    </cfRule>
  </conditionalFormatting>
  <conditionalFormatting sqref="U411">
    <cfRule type="cellIs" operator="equal" dxfId="2957" priority="2957">
      <formula>"Usado"</formula>
    </cfRule>
  </conditionalFormatting>
  <conditionalFormatting sqref="W411">
    <cfRule type="cellIs" operator="equal" dxfId="2958" priority="2958">
      <formula>"Mercado Envios por conta do comprador"</formula>
    </cfRule>
  </conditionalFormatting>
  <conditionalFormatting sqref="X411">
    <cfRule type="cellIs" operator="equal" dxfId="2959" priority="2959">
      <formula>"Aceita"</formula>
    </cfRule>
  </conditionalFormatting>
  <conditionalFormatting sqref="Y411">
    <cfRule type="cellIs" operator="equal" dxfId="2960" priority="2960">
      <formula>"Premium"</formula>
    </cfRule>
  </conditionalFormatting>
  <conditionalFormatting sqref="AA411">
    <cfRule type="cellIs" operator="equal" dxfId="2961" priority="2961">
      <formula>"Inativo"</formula>
    </cfRule>
  </conditionalFormatting>
  <conditionalFormatting sqref="AB411">
    <cfRule type="cellIs" operator="equal" dxfId="2962" priority="2962">
      <formula>"Garantia do vendedor"</formula>
    </cfRule>
  </conditionalFormatting>
  <conditionalFormatting sqref="AD411">
    <cfRule type="cellIs" operator="equal" dxfId="2963" priority="2963">
      <formula>"meses"</formula>
    </cfRule>
  </conditionalFormatting>
  <conditionalFormatting sqref="J412">
    <cfRule type="cellIs" operator="equal" dxfId="2964" priority="2964">
      <formula>"R$"</formula>
    </cfRule>
  </conditionalFormatting>
  <conditionalFormatting sqref="U412">
    <cfRule type="cellIs" operator="equal" dxfId="2965" priority="2965">
      <formula>"Usado"</formula>
    </cfRule>
  </conditionalFormatting>
  <conditionalFormatting sqref="W412">
    <cfRule type="cellIs" operator="equal" dxfId="2966" priority="2966">
      <formula>"Mercado Envios por conta do comprador"</formula>
    </cfRule>
  </conditionalFormatting>
  <conditionalFormatting sqref="X412">
    <cfRule type="cellIs" operator="equal" dxfId="2967" priority="2967">
      <formula>"Aceita"</formula>
    </cfRule>
  </conditionalFormatting>
  <conditionalFormatting sqref="Y412">
    <cfRule type="cellIs" operator="equal" dxfId="2968" priority="2968">
      <formula>"Premium"</formula>
    </cfRule>
  </conditionalFormatting>
  <conditionalFormatting sqref="AA412">
    <cfRule type="cellIs" operator="equal" dxfId="2969" priority="2969">
      <formula>"Inativo"</formula>
    </cfRule>
  </conditionalFormatting>
  <conditionalFormatting sqref="AB412">
    <cfRule type="cellIs" operator="equal" dxfId="2970" priority="2970">
      <formula>"Garantia do vendedor"</formula>
    </cfRule>
  </conditionalFormatting>
  <conditionalFormatting sqref="AD412">
    <cfRule type="cellIs" operator="equal" dxfId="2971" priority="2971">
      <formula>"meses"</formula>
    </cfRule>
  </conditionalFormatting>
  <conditionalFormatting sqref="J413">
    <cfRule type="cellIs" operator="equal" dxfId="2972" priority="2972">
      <formula>"R$"</formula>
    </cfRule>
  </conditionalFormatting>
  <conditionalFormatting sqref="U413">
    <cfRule type="cellIs" operator="equal" dxfId="2973" priority="2973">
      <formula>"Usado"</formula>
    </cfRule>
  </conditionalFormatting>
  <conditionalFormatting sqref="W413">
    <cfRule type="cellIs" operator="equal" dxfId="2974" priority="2974">
      <formula>"Mercado Envios por conta do comprador"</formula>
    </cfRule>
  </conditionalFormatting>
  <conditionalFormatting sqref="X413">
    <cfRule type="cellIs" operator="equal" dxfId="2975" priority="2975">
      <formula>"Aceita"</formula>
    </cfRule>
  </conditionalFormatting>
  <conditionalFormatting sqref="Y413">
    <cfRule type="cellIs" operator="equal" dxfId="2976" priority="2976">
      <formula>"Premium"</formula>
    </cfRule>
  </conditionalFormatting>
  <conditionalFormatting sqref="AA413">
    <cfRule type="cellIs" operator="equal" dxfId="2977" priority="2977">
      <formula>"Inativo"</formula>
    </cfRule>
  </conditionalFormatting>
  <conditionalFormatting sqref="AB413">
    <cfRule type="cellIs" operator="equal" dxfId="2978" priority="2978">
      <formula>"Garantia do vendedor"</formula>
    </cfRule>
  </conditionalFormatting>
  <conditionalFormatting sqref="AD413">
    <cfRule type="cellIs" operator="equal" dxfId="2979" priority="2979">
      <formula>"meses"</formula>
    </cfRule>
  </conditionalFormatting>
  <conditionalFormatting sqref="J414">
    <cfRule type="cellIs" operator="equal" dxfId="2980" priority="2980">
      <formula>"R$"</formula>
    </cfRule>
  </conditionalFormatting>
  <conditionalFormatting sqref="U414">
    <cfRule type="cellIs" operator="equal" dxfId="2981" priority="2981">
      <formula>"Usado"</formula>
    </cfRule>
  </conditionalFormatting>
  <conditionalFormatting sqref="W414">
    <cfRule type="cellIs" operator="equal" dxfId="2982" priority="2982">
      <formula>"Mercado Envios por conta do comprador"</formula>
    </cfRule>
  </conditionalFormatting>
  <conditionalFormatting sqref="X414">
    <cfRule type="cellIs" operator="equal" dxfId="2983" priority="2983">
      <formula>"Aceita"</formula>
    </cfRule>
  </conditionalFormatting>
  <conditionalFormatting sqref="Y414">
    <cfRule type="cellIs" operator="equal" dxfId="2984" priority="2984">
      <formula>"Premium"</formula>
    </cfRule>
  </conditionalFormatting>
  <conditionalFormatting sqref="AA414">
    <cfRule type="cellIs" operator="equal" dxfId="2985" priority="2985">
      <formula>"Inativo"</formula>
    </cfRule>
  </conditionalFormatting>
  <conditionalFormatting sqref="AB414">
    <cfRule type="cellIs" operator="equal" dxfId="2986" priority="2986">
      <formula>"Garantia do vendedor"</formula>
    </cfRule>
  </conditionalFormatting>
  <conditionalFormatting sqref="AD414">
    <cfRule type="cellIs" operator="equal" dxfId="2987" priority="2987">
      <formula>"meses"</formula>
    </cfRule>
  </conditionalFormatting>
  <conditionalFormatting sqref="J415">
    <cfRule type="cellIs" operator="equal" dxfId="2988" priority="2988">
      <formula>"R$"</formula>
    </cfRule>
  </conditionalFormatting>
  <conditionalFormatting sqref="U415">
    <cfRule type="cellIs" operator="equal" dxfId="2989" priority="2989">
      <formula>"Usado"</formula>
    </cfRule>
  </conditionalFormatting>
  <conditionalFormatting sqref="W415">
    <cfRule type="cellIs" operator="equal" dxfId="2990" priority="2990">
      <formula>"Mercado Envios por conta do comprador"</formula>
    </cfRule>
  </conditionalFormatting>
  <conditionalFormatting sqref="X415">
    <cfRule type="cellIs" operator="equal" dxfId="2991" priority="2991">
      <formula>"Aceita"</formula>
    </cfRule>
  </conditionalFormatting>
  <conditionalFormatting sqref="Y415">
    <cfRule type="cellIs" operator="equal" dxfId="2992" priority="2992">
      <formula>"Premium"</formula>
    </cfRule>
  </conditionalFormatting>
  <conditionalFormatting sqref="AA415">
    <cfRule type="cellIs" operator="equal" dxfId="2993" priority="2993">
      <formula>"Inativo"</formula>
    </cfRule>
  </conditionalFormatting>
  <conditionalFormatting sqref="AB415">
    <cfRule type="cellIs" operator="equal" dxfId="2994" priority="2994">
      <formula>"Garantia do vendedor"</formula>
    </cfRule>
  </conditionalFormatting>
  <conditionalFormatting sqref="AD415">
    <cfRule type="cellIs" operator="equal" dxfId="2995" priority="2995">
      <formula>"meses"</formula>
    </cfRule>
  </conditionalFormatting>
  <conditionalFormatting sqref="J416">
    <cfRule type="cellIs" operator="equal" dxfId="2996" priority="2996">
      <formula>"R$"</formula>
    </cfRule>
  </conditionalFormatting>
  <conditionalFormatting sqref="U416">
    <cfRule type="cellIs" operator="equal" dxfId="2997" priority="2997">
      <formula>"Usado"</formula>
    </cfRule>
  </conditionalFormatting>
  <conditionalFormatting sqref="W416">
    <cfRule type="cellIs" operator="equal" dxfId="2998" priority="2998">
      <formula>"Mercado Envios por conta do comprador"</formula>
    </cfRule>
  </conditionalFormatting>
  <conditionalFormatting sqref="X416">
    <cfRule type="cellIs" operator="equal" dxfId="2999" priority="2999">
      <formula>"Aceita"</formula>
    </cfRule>
  </conditionalFormatting>
  <conditionalFormatting sqref="Y416">
    <cfRule type="cellIs" operator="equal" dxfId="3000" priority="3000">
      <formula>"Premium"</formula>
    </cfRule>
  </conditionalFormatting>
  <conditionalFormatting sqref="AA416">
    <cfRule type="cellIs" operator="equal" dxfId="3001" priority="3001">
      <formula>"Inativo"</formula>
    </cfRule>
  </conditionalFormatting>
  <conditionalFormatting sqref="AB416">
    <cfRule type="cellIs" operator="equal" dxfId="3002" priority="3002">
      <formula>"Garantia do vendedor"</formula>
    </cfRule>
  </conditionalFormatting>
  <conditionalFormatting sqref="AD416">
    <cfRule type="cellIs" operator="equal" dxfId="3003" priority="3003">
      <formula>"meses"</formula>
    </cfRule>
  </conditionalFormatting>
  <conditionalFormatting sqref="J417">
    <cfRule type="cellIs" operator="equal" dxfId="3004" priority="3004">
      <formula>"R$"</formula>
    </cfRule>
  </conditionalFormatting>
  <conditionalFormatting sqref="U417">
    <cfRule type="cellIs" operator="equal" dxfId="3005" priority="3005">
      <formula>"Usado"</formula>
    </cfRule>
  </conditionalFormatting>
  <conditionalFormatting sqref="W417">
    <cfRule type="cellIs" operator="equal" dxfId="3006" priority="3006">
      <formula>"Mercado Envios por conta do comprador"</formula>
    </cfRule>
  </conditionalFormatting>
  <conditionalFormatting sqref="X417">
    <cfRule type="cellIs" operator="equal" dxfId="3007" priority="3007">
      <formula>"Aceita"</formula>
    </cfRule>
  </conditionalFormatting>
  <conditionalFormatting sqref="Y417">
    <cfRule type="cellIs" operator="equal" dxfId="3008" priority="3008">
      <formula>"Premium"</formula>
    </cfRule>
  </conditionalFormatting>
  <conditionalFormatting sqref="AA417">
    <cfRule type="cellIs" operator="equal" dxfId="3009" priority="3009">
      <formula>"Inativo"</formula>
    </cfRule>
  </conditionalFormatting>
  <conditionalFormatting sqref="AB417">
    <cfRule type="cellIs" operator="equal" dxfId="3010" priority="3010">
      <formula>"Garantia do vendedor"</formula>
    </cfRule>
  </conditionalFormatting>
  <conditionalFormatting sqref="AD417">
    <cfRule type="cellIs" operator="equal" dxfId="3011" priority="3011">
      <formula>"meses"</formula>
    </cfRule>
  </conditionalFormatting>
  <conditionalFormatting sqref="J418">
    <cfRule type="cellIs" operator="equal" dxfId="3012" priority="3012">
      <formula>"R$"</formula>
    </cfRule>
  </conditionalFormatting>
  <conditionalFormatting sqref="U418">
    <cfRule type="cellIs" operator="equal" dxfId="3013" priority="3013">
      <formula>"Usado"</formula>
    </cfRule>
  </conditionalFormatting>
  <conditionalFormatting sqref="W418">
    <cfRule type="cellIs" operator="equal" dxfId="3014" priority="3014">
      <formula>"Mercado Envios por conta do comprador"</formula>
    </cfRule>
  </conditionalFormatting>
  <conditionalFormatting sqref="X418">
    <cfRule type="cellIs" operator="equal" dxfId="3015" priority="3015">
      <formula>"Aceita"</formula>
    </cfRule>
  </conditionalFormatting>
  <conditionalFormatting sqref="Y418">
    <cfRule type="cellIs" operator="equal" dxfId="3016" priority="3016">
      <formula>"Premium"</formula>
    </cfRule>
  </conditionalFormatting>
  <conditionalFormatting sqref="AA418">
    <cfRule type="cellIs" operator="equal" dxfId="3017" priority="3017">
      <formula>"Inativo"</formula>
    </cfRule>
  </conditionalFormatting>
  <conditionalFormatting sqref="AB418">
    <cfRule type="cellIs" operator="equal" dxfId="3018" priority="3018">
      <formula>"Garantia do vendedor"</formula>
    </cfRule>
  </conditionalFormatting>
  <conditionalFormatting sqref="AD418">
    <cfRule type="cellIs" operator="equal" dxfId="3019" priority="3019">
      <formula>"meses"</formula>
    </cfRule>
  </conditionalFormatting>
  <conditionalFormatting sqref="J419">
    <cfRule type="cellIs" operator="equal" dxfId="3020" priority="3020">
      <formula>"R$"</formula>
    </cfRule>
  </conditionalFormatting>
  <conditionalFormatting sqref="U419">
    <cfRule type="cellIs" operator="equal" dxfId="3021" priority="3021">
      <formula>"Novo"</formula>
    </cfRule>
  </conditionalFormatting>
  <conditionalFormatting sqref="W419">
    <cfRule type="cellIs" operator="equal" dxfId="3022" priority="3022">
      <formula>"Mercado Envios grátis"</formula>
    </cfRule>
  </conditionalFormatting>
  <conditionalFormatting sqref="X419">
    <cfRule type="cellIs" operator="equal" dxfId="3023" priority="3023">
      <formula>"Aceita"</formula>
    </cfRule>
  </conditionalFormatting>
  <conditionalFormatting sqref="Y419">
    <cfRule type="cellIs" operator="equal" dxfId="3024" priority="3024">
      <formula>"Premium"</formula>
    </cfRule>
  </conditionalFormatting>
  <conditionalFormatting sqref="AA419">
    <cfRule type="cellIs" operator="equal" dxfId="3025" priority="3025">
      <formula>"Inativo"</formula>
    </cfRule>
  </conditionalFormatting>
  <conditionalFormatting sqref="AB419">
    <cfRule type="cellIs" operator="equal" dxfId="3026" priority="3026">
      <formula>"Garantia do vendedor"</formula>
    </cfRule>
  </conditionalFormatting>
  <conditionalFormatting sqref="AD419">
    <cfRule type="cellIs" operator="equal" dxfId="3027" priority="3027">
      <formula>"meses"</formula>
    </cfRule>
  </conditionalFormatting>
  <conditionalFormatting sqref="J420">
    <cfRule type="cellIs" operator="equal" dxfId="3028" priority="3028">
      <formula>"R$"</formula>
    </cfRule>
  </conditionalFormatting>
  <conditionalFormatting sqref="U420">
    <cfRule type="cellIs" operator="equal" dxfId="3029" priority="3029">
      <formula>"Novo"</formula>
    </cfRule>
  </conditionalFormatting>
  <conditionalFormatting sqref="W420">
    <cfRule type="cellIs" operator="equal" dxfId="3030" priority="3030">
      <formula>"Mercado Envios grátis"</formula>
    </cfRule>
  </conditionalFormatting>
  <conditionalFormatting sqref="X420">
    <cfRule type="cellIs" operator="equal" dxfId="3031" priority="3031">
      <formula>"Aceita"</formula>
    </cfRule>
  </conditionalFormatting>
  <conditionalFormatting sqref="Y420">
    <cfRule type="cellIs" operator="equal" dxfId="3032" priority="3032">
      <formula>"Premium"</formula>
    </cfRule>
  </conditionalFormatting>
  <conditionalFormatting sqref="AA420">
    <cfRule type="cellIs" operator="equal" dxfId="3033" priority="3033">
      <formula>"Inativo"</formula>
    </cfRule>
  </conditionalFormatting>
  <conditionalFormatting sqref="AB420">
    <cfRule type="cellIs" operator="equal" dxfId="3034" priority="3034">
      <formula>"Garantia do vendedor"</formula>
    </cfRule>
  </conditionalFormatting>
  <conditionalFormatting sqref="AD420">
    <cfRule type="cellIs" operator="equal" dxfId="3035" priority="3035">
      <formula>"meses"</formula>
    </cfRule>
  </conditionalFormatting>
  <conditionalFormatting sqref="J421">
    <cfRule type="cellIs" operator="equal" dxfId="3036" priority="3036">
      <formula>"R$"</formula>
    </cfRule>
  </conditionalFormatting>
  <conditionalFormatting sqref="U421">
    <cfRule type="cellIs" operator="equal" dxfId="3037" priority="3037">
      <formula>"Usado"</formula>
    </cfRule>
  </conditionalFormatting>
  <conditionalFormatting sqref="W421">
    <cfRule type="cellIs" operator="equal" dxfId="3038" priority="3038">
      <formula>"Mercado Envios por conta do comprador"</formula>
    </cfRule>
  </conditionalFormatting>
  <conditionalFormatting sqref="X421">
    <cfRule type="cellIs" operator="equal" dxfId="3039" priority="3039">
      <formula>"Aceita"</formula>
    </cfRule>
  </conditionalFormatting>
  <conditionalFormatting sqref="Y421">
    <cfRule type="cellIs" operator="equal" dxfId="3040" priority="3040">
      <formula>"Premium"</formula>
    </cfRule>
  </conditionalFormatting>
  <conditionalFormatting sqref="AA421">
    <cfRule type="cellIs" operator="equal" dxfId="3041" priority="3041">
      <formula>"Inativo"</formula>
    </cfRule>
  </conditionalFormatting>
  <conditionalFormatting sqref="AB421">
    <cfRule type="cellIs" operator="equal" dxfId="3042" priority="3042">
      <formula>"Garantia do vendedor"</formula>
    </cfRule>
  </conditionalFormatting>
  <conditionalFormatting sqref="AD421">
    <cfRule type="cellIs" operator="equal" dxfId="3043" priority="3043">
      <formula>"meses"</formula>
    </cfRule>
  </conditionalFormatting>
  <conditionalFormatting sqref="J422">
    <cfRule type="cellIs" operator="equal" dxfId="3044" priority="3044">
      <formula>"R$"</formula>
    </cfRule>
  </conditionalFormatting>
  <conditionalFormatting sqref="U422">
    <cfRule type="cellIs" operator="equal" dxfId="3045" priority="3045">
      <formula>"Usado"</formula>
    </cfRule>
  </conditionalFormatting>
  <conditionalFormatting sqref="W422">
    <cfRule type="cellIs" operator="equal" dxfId="3046" priority="3046">
      <formula>"Mercado Envios por conta do comprador"</formula>
    </cfRule>
  </conditionalFormatting>
  <conditionalFormatting sqref="X422">
    <cfRule type="cellIs" operator="equal" dxfId="3047" priority="3047">
      <formula>"Aceita"</formula>
    </cfRule>
  </conditionalFormatting>
  <conditionalFormatting sqref="Y422">
    <cfRule type="cellIs" operator="equal" dxfId="3048" priority="3048">
      <formula>"Premium"</formula>
    </cfRule>
  </conditionalFormatting>
  <conditionalFormatting sqref="AA422">
    <cfRule type="cellIs" operator="equal" dxfId="3049" priority="3049">
      <formula>"Inativo"</formula>
    </cfRule>
  </conditionalFormatting>
  <conditionalFormatting sqref="AB422">
    <cfRule type="cellIs" operator="equal" dxfId="3050" priority="3050">
      <formula>"Garantia do vendedor"</formula>
    </cfRule>
  </conditionalFormatting>
  <conditionalFormatting sqref="AD422">
    <cfRule type="cellIs" operator="equal" dxfId="3051" priority="3051">
      <formula>"meses"</formula>
    </cfRule>
  </conditionalFormatting>
  <conditionalFormatting sqref="J423">
    <cfRule type="cellIs" operator="equal" dxfId="3052" priority="3052">
      <formula>"R$"</formula>
    </cfRule>
  </conditionalFormatting>
  <conditionalFormatting sqref="U423">
    <cfRule type="cellIs" operator="equal" dxfId="3053" priority="3053">
      <formula>"Novo"</formula>
    </cfRule>
  </conditionalFormatting>
  <conditionalFormatting sqref="W423">
    <cfRule type="cellIs" operator="equal" dxfId="3054" priority="3054">
      <formula>"Mercado Envios por conta do comprador"</formula>
    </cfRule>
  </conditionalFormatting>
  <conditionalFormatting sqref="X423">
    <cfRule type="cellIs" operator="equal" dxfId="3055" priority="3055">
      <formula>"Aceita"</formula>
    </cfRule>
  </conditionalFormatting>
  <conditionalFormatting sqref="Y423">
    <cfRule type="cellIs" operator="equal" dxfId="3056" priority="3056">
      <formula>"Premium"</formula>
    </cfRule>
  </conditionalFormatting>
  <conditionalFormatting sqref="AA423">
    <cfRule type="cellIs" operator="equal" dxfId="3057" priority="3057">
      <formula>"Inativo"</formula>
    </cfRule>
  </conditionalFormatting>
  <conditionalFormatting sqref="AB423">
    <cfRule type="cellIs" operator="equal" dxfId="3058" priority="3058">
      <formula>"Garantia do vendedor"</formula>
    </cfRule>
  </conditionalFormatting>
  <conditionalFormatting sqref="AD423">
    <cfRule type="cellIs" operator="equal" dxfId="3059" priority="3059">
      <formula>"meses"</formula>
    </cfRule>
  </conditionalFormatting>
  <conditionalFormatting sqref="J424">
    <cfRule type="cellIs" operator="equal" dxfId="3060" priority="3060">
      <formula>"R$"</formula>
    </cfRule>
  </conditionalFormatting>
  <conditionalFormatting sqref="U424">
    <cfRule type="cellIs" operator="equal" dxfId="3061" priority="3061">
      <formula>"Novo"</formula>
    </cfRule>
  </conditionalFormatting>
  <conditionalFormatting sqref="W424">
    <cfRule type="cellIs" operator="equal" dxfId="3062" priority="3062">
      <formula>"Mercado Envios por conta do comprador"</formula>
    </cfRule>
  </conditionalFormatting>
  <conditionalFormatting sqref="X424">
    <cfRule type="cellIs" operator="equal" dxfId="3063" priority="3063">
      <formula>"Não aceito"</formula>
    </cfRule>
  </conditionalFormatting>
  <conditionalFormatting sqref="Y424">
    <cfRule type="cellIs" operator="equal" dxfId="3064" priority="3064">
      <formula>"Clássico"</formula>
    </cfRule>
  </conditionalFormatting>
  <conditionalFormatting sqref="AA424">
    <cfRule type="cellIs" operator="equal" dxfId="3065" priority="3065">
      <formula>"Inativo"</formula>
    </cfRule>
  </conditionalFormatting>
  <conditionalFormatting sqref="AB424">
    <cfRule type="cellIs" operator="equal" dxfId="3066" priority="3066">
      <formula>"Garantia de fábrica"</formula>
    </cfRule>
  </conditionalFormatting>
  <conditionalFormatting sqref="AD424">
    <cfRule type="cellIs" operator="equal" dxfId="3067" priority="3067">
      <formula>"dias"</formula>
    </cfRule>
  </conditionalFormatting>
  <conditionalFormatting sqref="J425">
    <cfRule type="cellIs" operator="equal" dxfId="3068" priority="3068">
      <formula>"R$"</formula>
    </cfRule>
  </conditionalFormatting>
  <conditionalFormatting sqref="U425">
    <cfRule type="cellIs" operator="equal" dxfId="3069" priority="3069">
      <formula>"Novo"</formula>
    </cfRule>
  </conditionalFormatting>
  <conditionalFormatting sqref="W425">
    <cfRule type="cellIs" operator="equal" dxfId="3070" priority="3070">
      <formula>"Mercado Envios por conta do comprador"</formula>
    </cfRule>
  </conditionalFormatting>
  <conditionalFormatting sqref="X425">
    <cfRule type="cellIs" operator="equal" dxfId="3071" priority="3071">
      <formula>"Não aceito"</formula>
    </cfRule>
  </conditionalFormatting>
  <conditionalFormatting sqref="Y425">
    <cfRule type="cellIs" operator="equal" dxfId="3072" priority="3072">
      <formula>"Clássico"</formula>
    </cfRule>
  </conditionalFormatting>
  <conditionalFormatting sqref="AA425">
    <cfRule type="cellIs" operator="equal" dxfId="3073" priority="3073">
      <formula>"Inativo"</formula>
    </cfRule>
  </conditionalFormatting>
  <conditionalFormatting sqref="AB425">
    <cfRule type="cellIs" operator="equal" dxfId="3074" priority="3074">
      <formula>"Garantia de fábrica"</formula>
    </cfRule>
  </conditionalFormatting>
  <conditionalFormatting sqref="AD425">
    <cfRule type="cellIs" operator="equal" dxfId="3075" priority="3075">
      <formula>"dias"</formula>
    </cfRule>
  </conditionalFormatting>
  <conditionalFormatting sqref="J426">
    <cfRule type="cellIs" operator="equal" dxfId="3076" priority="3076">
      <formula>"R$"</formula>
    </cfRule>
  </conditionalFormatting>
  <conditionalFormatting sqref="U426">
    <cfRule type="cellIs" operator="equal" dxfId="3077" priority="3077">
      <formula>"Novo"</formula>
    </cfRule>
  </conditionalFormatting>
  <conditionalFormatting sqref="W426">
    <cfRule type="cellIs" operator="equal" dxfId="3078" priority="3078">
      <formula>"Mercado Envios grátis"</formula>
    </cfRule>
  </conditionalFormatting>
  <conditionalFormatting sqref="X426">
    <cfRule type="cellIs" operator="equal" dxfId="3079" priority="3079">
      <formula>"Não aceito"</formula>
    </cfRule>
  </conditionalFormatting>
  <conditionalFormatting sqref="Y426">
    <cfRule type="cellIs" operator="equal" dxfId="3080" priority="3080">
      <formula>"Premium"</formula>
    </cfRule>
  </conditionalFormatting>
  <conditionalFormatting sqref="AA426">
    <cfRule type="cellIs" operator="equal" dxfId="3081" priority="3081">
      <formula>"Inativo"</formula>
    </cfRule>
  </conditionalFormatting>
  <conditionalFormatting sqref="AB426">
    <cfRule type="cellIs" operator="equal" dxfId="3082" priority="3082">
      <formula>"Garantia de fábrica"</formula>
    </cfRule>
  </conditionalFormatting>
  <conditionalFormatting sqref="AD426">
    <cfRule type="cellIs" operator="equal" dxfId="3083" priority="3083">
      <formula>"meses"</formula>
    </cfRule>
  </conditionalFormatting>
  <conditionalFormatting sqref="J427">
    <cfRule type="cellIs" operator="equal" dxfId="3084" priority="3084">
      <formula>"R$"</formula>
    </cfRule>
  </conditionalFormatting>
  <conditionalFormatting sqref="U427">
    <cfRule type="cellIs" operator="equal" dxfId="3085" priority="3085">
      <formula>"Novo"</formula>
    </cfRule>
  </conditionalFormatting>
  <conditionalFormatting sqref="W427">
    <cfRule type="cellIs" operator="equal" dxfId="3086" priority="3086">
      <formula>"Mercado Envios por conta do comprador"</formula>
    </cfRule>
  </conditionalFormatting>
  <conditionalFormatting sqref="X427">
    <cfRule type="cellIs" operator="equal" dxfId="3087" priority="3087">
      <formula>"Aceita"</formula>
    </cfRule>
  </conditionalFormatting>
  <conditionalFormatting sqref="Y427">
    <cfRule type="cellIs" operator="equal" dxfId="3088" priority="3088">
      <formula>"Clássico"</formula>
    </cfRule>
  </conditionalFormatting>
  <conditionalFormatting sqref="AA427">
    <cfRule type="cellIs" operator="equal" dxfId="3089" priority="3089">
      <formula>"Inativo"</formula>
    </cfRule>
  </conditionalFormatting>
  <conditionalFormatting sqref="AB427">
    <cfRule type="cellIs" operator="equal" dxfId="3090" priority="3090">
      <formula>"Garantia de fábrica"</formula>
    </cfRule>
  </conditionalFormatting>
  <conditionalFormatting sqref="AD427">
    <cfRule type="cellIs" operator="equal" dxfId="3091" priority="3091">
      <formula>"dias"</formula>
    </cfRule>
  </conditionalFormatting>
  <conditionalFormatting sqref="J428">
    <cfRule type="cellIs" operator="equal" dxfId="3092" priority="3092">
      <formula>"R$"</formula>
    </cfRule>
  </conditionalFormatting>
  <conditionalFormatting sqref="U428">
    <cfRule type="cellIs" operator="equal" dxfId="3093" priority="3093">
      <formula>"Novo"</formula>
    </cfRule>
  </conditionalFormatting>
  <conditionalFormatting sqref="W428">
    <cfRule type="cellIs" operator="equal" dxfId="3094" priority="3094">
      <formula>"Mercado Envios por conta do comprador"</formula>
    </cfRule>
  </conditionalFormatting>
  <conditionalFormatting sqref="X428">
    <cfRule type="cellIs" operator="equal" dxfId="3095" priority="3095">
      <formula>"Aceita"</formula>
    </cfRule>
  </conditionalFormatting>
  <conditionalFormatting sqref="Y428">
    <cfRule type="cellIs" operator="equal" dxfId="3096" priority="3096">
      <formula>"Clássico"</formula>
    </cfRule>
  </conditionalFormatting>
  <conditionalFormatting sqref="AA428">
    <cfRule type="cellIs" operator="equal" dxfId="3097" priority="3097">
      <formula>"Inativo"</formula>
    </cfRule>
  </conditionalFormatting>
  <conditionalFormatting sqref="AB428">
    <cfRule type="cellIs" operator="equal" dxfId="3098" priority="3098">
      <formula>"Garantia de fábrica"</formula>
    </cfRule>
  </conditionalFormatting>
  <conditionalFormatting sqref="AD428">
    <cfRule type="cellIs" operator="equal" dxfId="3099" priority="3099">
      <formula>"dias"</formula>
    </cfRule>
  </conditionalFormatting>
  <conditionalFormatting sqref="J429">
    <cfRule type="cellIs" operator="equal" dxfId="3100" priority="3100">
      <formula>"R$"</formula>
    </cfRule>
  </conditionalFormatting>
  <conditionalFormatting sqref="U429">
    <cfRule type="cellIs" operator="equal" dxfId="3101" priority="3101">
      <formula>"Novo"</formula>
    </cfRule>
  </conditionalFormatting>
  <conditionalFormatting sqref="W429">
    <cfRule type="cellIs" operator="equal" dxfId="3102" priority="3102">
      <formula>"Mercado Envios por conta do comprador"</formula>
    </cfRule>
  </conditionalFormatting>
  <conditionalFormatting sqref="X429">
    <cfRule type="cellIs" operator="equal" dxfId="3103" priority="3103">
      <formula>"Aceita"</formula>
    </cfRule>
  </conditionalFormatting>
  <conditionalFormatting sqref="Y429">
    <cfRule type="cellIs" operator="equal" dxfId="3104" priority="3104">
      <formula>"Clássico"</formula>
    </cfRule>
  </conditionalFormatting>
  <conditionalFormatting sqref="AA429">
    <cfRule type="cellIs" operator="equal" dxfId="3105" priority="3105">
      <formula>"Inativo"</formula>
    </cfRule>
  </conditionalFormatting>
  <conditionalFormatting sqref="AB429">
    <cfRule type="cellIs" operator="equal" dxfId="3106" priority="3106">
      <formula>"Garantia de fábrica"</formula>
    </cfRule>
  </conditionalFormatting>
  <conditionalFormatting sqref="AD429">
    <cfRule type="cellIs" operator="equal" dxfId="3107" priority="3107">
      <formula>"dias"</formula>
    </cfRule>
  </conditionalFormatting>
  <conditionalFormatting sqref="J430">
    <cfRule type="cellIs" operator="equal" dxfId="3108" priority="3108">
      <formula>"R$"</formula>
    </cfRule>
  </conditionalFormatting>
  <conditionalFormatting sqref="U430">
    <cfRule type="cellIs" operator="equal" dxfId="3109" priority="3109">
      <formula>"Novo"</formula>
    </cfRule>
  </conditionalFormatting>
  <conditionalFormatting sqref="W430">
    <cfRule type="cellIs" operator="equal" dxfId="3110" priority="3110">
      <formula>"Mercado Envios por conta do comprador"</formula>
    </cfRule>
  </conditionalFormatting>
  <conditionalFormatting sqref="X430">
    <cfRule type="cellIs" operator="equal" dxfId="3111" priority="3111">
      <formula>"Aceita"</formula>
    </cfRule>
  </conditionalFormatting>
  <conditionalFormatting sqref="Y430">
    <cfRule type="cellIs" operator="equal" dxfId="3112" priority="3112">
      <formula>"Clássico"</formula>
    </cfRule>
  </conditionalFormatting>
  <conditionalFormatting sqref="AA430">
    <cfRule type="cellIs" operator="equal" dxfId="3113" priority="3113">
      <formula>"Inativo"</formula>
    </cfRule>
  </conditionalFormatting>
  <conditionalFormatting sqref="AB430">
    <cfRule type="cellIs" operator="equal" dxfId="3114" priority="3114">
      <formula>"Garantia de fábrica"</formula>
    </cfRule>
  </conditionalFormatting>
  <conditionalFormatting sqref="AD430">
    <cfRule type="cellIs" operator="equal" dxfId="3115" priority="3115">
      <formula>"dias"</formula>
    </cfRule>
  </conditionalFormatting>
  <conditionalFormatting sqref="J431">
    <cfRule type="cellIs" operator="equal" dxfId="3116" priority="3116">
      <formula>"R$"</formula>
    </cfRule>
  </conditionalFormatting>
  <conditionalFormatting sqref="U431">
    <cfRule type="cellIs" operator="equal" dxfId="3117" priority="3117">
      <formula>"Novo"</formula>
    </cfRule>
  </conditionalFormatting>
  <conditionalFormatting sqref="W431">
    <cfRule type="cellIs" operator="equal" dxfId="3118" priority="3118">
      <formula>"Mercado Envios por conta do comprador"</formula>
    </cfRule>
  </conditionalFormatting>
  <conditionalFormatting sqref="X431">
    <cfRule type="cellIs" operator="equal" dxfId="3119" priority="3119">
      <formula>"Aceita"</formula>
    </cfRule>
  </conditionalFormatting>
  <conditionalFormatting sqref="Y431">
    <cfRule type="cellIs" operator="equal" dxfId="3120" priority="3120">
      <formula>"Clássico"</formula>
    </cfRule>
  </conditionalFormatting>
  <conditionalFormatting sqref="AA431">
    <cfRule type="cellIs" operator="equal" dxfId="3121" priority="3121">
      <formula>"Inativo"</formula>
    </cfRule>
  </conditionalFormatting>
  <conditionalFormatting sqref="AB431">
    <cfRule type="cellIs" operator="equal" dxfId="3122" priority="3122">
      <formula>"Garantia de fábrica"</formula>
    </cfRule>
  </conditionalFormatting>
  <conditionalFormatting sqref="AD431">
    <cfRule type="cellIs" operator="equal" dxfId="3123" priority="3123">
      <formula>"dias"</formula>
    </cfRule>
  </conditionalFormatting>
  <conditionalFormatting sqref="J432">
    <cfRule type="cellIs" operator="equal" dxfId="3124" priority="3124">
      <formula>"R$"</formula>
    </cfRule>
  </conditionalFormatting>
  <conditionalFormatting sqref="U432">
    <cfRule type="cellIs" operator="equal" dxfId="3125" priority="3125">
      <formula>"Novo"</formula>
    </cfRule>
  </conditionalFormatting>
  <conditionalFormatting sqref="W432">
    <cfRule type="cellIs" operator="equal" dxfId="3126" priority="3126">
      <formula>"Mercado Envios por conta do comprador"</formula>
    </cfRule>
  </conditionalFormatting>
  <conditionalFormatting sqref="X432">
    <cfRule type="cellIs" operator="equal" dxfId="3127" priority="3127">
      <formula>"Aceita"</formula>
    </cfRule>
  </conditionalFormatting>
  <conditionalFormatting sqref="Y432">
    <cfRule type="cellIs" operator="equal" dxfId="3128" priority="3128">
      <formula>"Clássico"</formula>
    </cfRule>
  </conditionalFormatting>
  <conditionalFormatting sqref="AA432">
    <cfRule type="cellIs" operator="equal" dxfId="3129" priority="3129">
      <formula>"Inativo"</formula>
    </cfRule>
  </conditionalFormatting>
  <conditionalFormatting sqref="AB432">
    <cfRule type="cellIs" operator="equal" dxfId="3130" priority="3130">
      <formula>"Garantia de fábrica"</formula>
    </cfRule>
  </conditionalFormatting>
  <conditionalFormatting sqref="AD432">
    <cfRule type="cellIs" operator="equal" dxfId="3131" priority="3131">
      <formula>"dias"</formula>
    </cfRule>
  </conditionalFormatting>
  <conditionalFormatting sqref="J433">
    <cfRule type="cellIs" operator="equal" dxfId="3132" priority="3132">
      <formula>"R$"</formula>
    </cfRule>
  </conditionalFormatting>
  <conditionalFormatting sqref="U433">
    <cfRule type="cellIs" operator="equal" dxfId="3133" priority="3133">
      <formula>"Novo"</formula>
    </cfRule>
  </conditionalFormatting>
  <conditionalFormatting sqref="W433">
    <cfRule type="cellIs" operator="equal" dxfId="3134" priority="3134">
      <formula>"Mercado Envios por conta do comprador"</formula>
    </cfRule>
  </conditionalFormatting>
  <conditionalFormatting sqref="X433">
    <cfRule type="cellIs" operator="equal" dxfId="3135" priority="3135">
      <formula>"Aceita"</formula>
    </cfRule>
  </conditionalFormatting>
  <conditionalFormatting sqref="Y433">
    <cfRule type="cellIs" operator="equal" dxfId="3136" priority="3136">
      <formula>"Clássico"</formula>
    </cfRule>
  </conditionalFormatting>
  <conditionalFormatting sqref="AA433">
    <cfRule type="cellIs" operator="equal" dxfId="3137" priority="3137">
      <formula>"Inativo"</formula>
    </cfRule>
  </conditionalFormatting>
  <conditionalFormatting sqref="AB433">
    <cfRule type="cellIs" operator="equal" dxfId="3138" priority="3138">
      <formula>"Garantia de fábrica"</formula>
    </cfRule>
  </conditionalFormatting>
  <conditionalFormatting sqref="AD433">
    <cfRule type="cellIs" operator="equal" dxfId="3139" priority="3139">
      <formula>"dias"</formula>
    </cfRule>
  </conditionalFormatting>
  <conditionalFormatting sqref="J434">
    <cfRule type="cellIs" operator="equal" dxfId="3140" priority="3140">
      <formula>"R$"</formula>
    </cfRule>
  </conditionalFormatting>
  <conditionalFormatting sqref="U434">
    <cfRule type="cellIs" operator="equal" dxfId="3141" priority="3141">
      <formula>"Novo"</formula>
    </cfRule>
  </conditionalFormatting>
  <conditionalFormatting sqref="W434">
    <cfRule type="cellIs" operator="equal" dxfId="3142" priority="3142">
      <formula>"Mercado Envios por conta do comprador"</formula>
    </cfRule>
  </conditionalFormatting>
  <conditionalFormatting sqref="X434">
    <cfRule type="cellIs" operator="equal" dxfId="3143" priority="3143">
      <formula>"Aceita"</formula>
    </cfRule>
  </conditionalFormatting>
  <conditionalFormatting sqref="Y434">
    <cfRule type="cellIs" operator="equal" dxfId="3144" priority="3144">
      <formula>"Clássico"</formula>
    </cfRule>
  </conditionalFormatting>
  <conditionalFormatting sqref="AA434">
    <cfRule type="cellIs" operator="equal" dxfId="3145" priority="3145">
      <formula>"Inativo"</formula>
    </cfRule>
  </conditionalFormatting>
  <conditionalFormatting sqref="AB434">
    <cfRule type="cellIs" operator="equal" dxfId="3146" priority="3146">
      <formula>"Garantia de fábrica"</formula>
    </cfRule>
  </conditionalFormatting>
  <conditionalFormatting sqref="AD434">
    <cfRule type="cellIs" operator="equal" dxfId="3147" priority="3147">
      <formula>"dias"</formula>
    </cfRule>
  </conditionalFormatting>
  <conditionalFormatting sqref="J435">
    <cfRule type="cellIs" operator="equal" dxfId="3148" priority="3148">
      <formula>"R$"</formula>
    </cfRule>
  </conditionalFormatting>
  <conditionalFormatting sqref="U435">
    <cfRule type="cellIs" operator="equal" dxfId="3149" priority="3149">
      <formula>"Novo"</formula>
    </cfRule>
  </conditionalFormatting>
  <conditionalFormatting sqref="W435">
    <cfRule type="cellIs" operator="equal" dxfId="3150" priority="3150">
      <formula>"Mercado Envios por conta do comprador"</formula>
    </cfRule>
  </conditionalFormatting>
  <conditionalFormatting sqref="X435">
    <cfRule type="cellIs" operator="equal" dxfId="3151" priority="3151">
      <formula>"Aceita"</formula>
    </cfRule>
  </conditionalFormatting>
  <conditionalFormatting sqref="Y435">
    <cfRule type="cellIs" operator="equal" dxfId="3152" priority="3152">
      <formula>"Clássico"</formula>
    </cfRule>
  </conditionalFormatting>
  <conditionalFormatting sqref="AA435">
    <cfRule type="cellIs" operator="equal" dxfId="3153" priority="3153">
      <formula>"Inativo"</formula>
    </cfRule>
  </conditionalFormatting>
  <conditionalFormatting sqref="AB435">
    <cfRule type="cellIs" operator="equal" dxfId="3154" priority="3154">
      <formula>"Garantia de fábrica"</formula>
    </cfRule>
  </conditionalFormatting>
  <conditionalFormatting sqref="AD435">
    <cfRule type="cellIs" operator="equal" dxfId="3155" priority="3155">
      <formula>"dias"</formula>
    </cfRule>
  </conditionalFormatting>
  <conditionalFormatting sqref="J436">
    <cfRule type="cellIs" operator="equal" dxfId="3156" priority="3156">
      <formula>"R$"</formula>
    </cfRule>
  </conditionalFormatting>
  <conditionalFormatting sqref="U436">
    <cfRule type="cellIs" operator="equal" dxfId="3157" priority="3157">
      <formula>"Novo"</formula>
    </cfRule>
  </conditionalFormatting>
  <conditionalFormatting sqref="W436">
    <cfRule type="cellIs" operator="equal" dxfId="3158" priority="3158">
      <formula>"Mercado Envios por conta do comprador"</formula>
    </cfRule>
  </conditionalFormatting>
  <conditionalFormatting sqref="X436">
    <cfRule type="cellIs" operator="equal" dxfId="3159" priority="3159">
      <formula>"Aceita"</formula>
    </cfRule>
  </conditionalFormatting>
  <conditionalFormatting sqref="Y436">
    <cfRule type="cellIs" operator="equal" dxfId="3160" priority="3160">
      <formula>"Clássico"</formula>
    </cfRule>
  </conditionalFormatting>
  <conditionalFormatting sqref="AA436">
    <cfRule type="cellIs" operator="equal" dxfId="3161" priority="3161">
      <formula>"Inativo"</formula>
    </cfRule>
  </conditionalFormatting>
  <conditionalFormatting sqref="AB436">
    <cfRule type="cellIs" operator="equal" dxfId="3162" priority="3162">
      <formula>"Garantia de fábrica"</formula>
    </cfRule>
  </conditionalFormatting>
  <conditionalFormatting sqref="AD436">
    <cfRule type="cellIs" operator="equal" dxfId="3163" priority="3163">
      <formula>"dias"</formula>
    </cfRule>
  </conditionalFormatting>
  <conditionalFormatting sqref="J437">
    <cfRule type="cellIs" operator="equal" dxfId="3164" priority="3164">
      <formula>"R$"</formula>
    </cfRule>
  </conditionalFormatting>
  <conditionalFormatting sqref="U437">
    <cfRule type="cellIs" operator="equal" dxfId="3165" priority="3165">
      <formula>"Novo"</formula>
    </cfRule>
  </conditionalFormatting>
  <conditionalFormatting sqref="W437">
    <cfRule type="cellIs" operator="equal" dxfId="3166" priority="3166">
      <formula>"Mercado Envios por conta do comprador"</formula>
    </cfRule>
  </conditionalFormatting>
  <conditionalFormatting sqref="X437">
    <cfRule type="cellIs" operator="equal" dxfId="3167" priority="3167">
      <formula>"Aceita"</formula>
    </cfRule>
  </conditionalFormatting>
  <conditionalFormatting sqref="Y437">
    <cfRule type="cellIs" operator="equal" dxfId="3168" priority="3168">
      <formula>"Clássico"</formula>
    </cfRule>
  </conditionalFormatting>
  <conditionalFormatting sqref="AA437">
    <cfRule type="cellIs" operator="equal" dxfId="3169" priority="3169">
      <formula>"Inativo"</formula>
    </cfRule>
  </conditionalFormatting>
  <conditionalFormatting sqref="AB437">
    <cfRule type="cellIs" operator="equal" dxfId="3170" priority="3170">
      <formula>"Garantia de fábrica"</formula>
    </cfRule>
  </conditionalFormatting>
  <conditionalFormatting sqref="AD437">
    <cfRule type="cellIs" operator="equal" dxfId="3171" priority="3171">
      <formula>"dias"</formula>
    </cfRule>
  </conditionalFormatting>
  <conditionalFormatting sqref="J438">
    <cfRule type="cellIs" operator="equal" dxfId="3172" priority="3172">
      <formula>"R$"</formula>
    </cfRule>
  </conditionalFormatting>
  <conditionalFormatting sqref="U438">
    <cfRule type="cellIs" operator="equal" dxfId="3173" priority="3173">
      <formula>"Novo"</formula>
    </cfRule>
  </conditionalFormatting>
  <conditionalFormatting sqref="W438">
    <cfRule type="cellIs" operator="equal" dxfId="3174" priority="3174">
      <formula>"Mercado Envios por conta do comprador"</formula>
    </cfRule>
  </conditionalFormatting>
  <conditionalFormatting sqref="X438">
    <cfRule type="cellIs" operator="equal" dxfId="3175" priority="3175">
      <formula>"Não aceito"</formula>
    </cfRule>
  </conditionalFormatting>
  <conditionalFormatting sqref="Y438">
    <cfRule type="cellIs" operator="equal" dxfId="3176" priority="3176">
      <formula>"Clássico"</formula>
    </cfRule>
  </conditionalFormatting>
  <conditionalFormatting sqref="AA438">
    <cfRule type="cellIs" operator="equal" dxfId="3177" priority="3177">
      <formula>"Inativo"</formula>
    </cfRule>
  </conditionalFormatting>
  <conditionalFormatting sqref="AB438">
    <cfRule type="cellIs" operator="equal" dxfId="3178" priority="3178">
      <formula>"Garantia de fábrica"</formula>
    </cfRule>
  </conditionalFormatting>
  <conditionalFormatting sqref="AD438">
    <cfRule type="cellIs" operator="equal" dxfId="3179" priority="3179">
      <formula>"dias"</formula>
    </cfRule>
  </conditionalFormatting>
  <conditionalFormatting sqref="J439">
    <cfRule type="cellIs" operator="equal" dxfId="3180" priority="3180">
      <formula>"R$"</formula>
    </cfRule>
  </conditionalFormatting>
  <conditionalFormatting sqref="U439">
    <cfRule type="cellIs" operator="equal" dxfId="3181" priority="3181">
      <formula>"Novo"</formula>
    </cfRule>
  </conditionalFormatting>
  <conditionalFormatting sqref="W439">
    <cfRule type="cellIs" operator="equal" dxfId="3182" priority="3182">
      <formula>"Mercado Envios por conta do comprador"</formula>
    </cfRule>
  </conditionalFormatting>
  <conditionalFormatting sqref="X439">
    <cfRule type="cellIs" operator="equal" dxfId="3183" priority="3183">
      <formula>"Não aceito"</formula>
    </cfRule>
  </conditionalFormatting>
  <conditionalFormatting sqref="Y439">
    <cfRule type="cellIs" operator="equal" dxfId="3184" priority="3184">
      <formula>"Clássico"</formula>
    </cfRule>
  </conditionalFormatting>
  <conditionalFormatting sqref="AA439">
    <cfRule type="cellIs" operator="equal" dxfId="3185" priority="3185">
      <formula>"Inativo"</formula>
    </cfRule>
  </conditionalFormatting>
  <conditionalFormatting sqref="AB439">
    <cfRule type="cellIs" operator="equal" dxfId="3186" priority="3186">
      <formula>"Garantia de fábrica"</formula>
    </cfRule>
  </conditionalFormatting>
  <conditionalFormatting sqref="AD439">
    <cfRule type="cellIs" operator="equal" dxfId="3187" priority="3187">
      <formula>"dias"</formula>
    </cfRule>
  </conditionalFormatting>
  <conditionalFormatting sqref="J440">
    <cfRule type="cellIs" operator="equal" dxfId="3188" priority="3188">
      <formula>"R$"</formula>
    </cfRule>
  </conditionalFormatting>
  <conditionalFormatting sqref="U440">
    <cfRule type="cellIs" operator="equal" dxfId="3189" priority="3189">
      <formula>"Novo"</formula>
    </cfRule>
  </conditionalFormatting>
  <conditionalFormatting sqref="W440">
    <cfRule type="cellIs" operator="equal" dxfId="3190" priority="3190">
      <formula>"Mercado Envios por conta do comprador"</formula>
    </cfRule>
  </conditionalFormatting>
  <conditionalFormatting sqref="X440">
    <cfRule type="cellIs" operator="equal" dxfId="3191" priority="3191">
      <formula>"Não aceito"</formula>
    </cfRule>
  </conditionalFormatting>
  <conditionalFormatting sqref="Y440">
    <cfRule type="cellIs" operator="equal" dxfId="3192" priority="3192">
      <formula>"Clássico"</formula>
    </cfRule>
  </conditionalFormatting>
  <conditionalFormatting sqref="AA440">
    <cfRule type="cellIs" operator="equal" dxfId="3193" priority="3193">
      <formula>"Inativo"</formula>
    </cfRule>
  </conditionalFormatting>
  <conditionalFormatting sqref="AB440">
    <cfRule type="cellIs" operator="equal" dxfId="3194" priority="3194">
      <formula>"Garantia de fábrica"</formula>
    </cfRule>
  </conditionalFormatting>
  <conditionalFormatting sqref="AD440">
    <cfRule type="cellIs" operator="equal" dxfId="3195" priority="3195">
      <formula>"dias"</formula>
    </cfRule>
  </conditionalFormatting>
  <conditionalFormatting sqref="J441">
    <cfRule type="cellIs" operator="equal" dxfId="3196" priority="3196">
      <formula>"R$"</formula>
    </cfRule>
  </conditionalFormatting>
  <conditionalFormatting sqref="U441">
    <cfRule type="cellIs" operator="equal" dxfId="3197" priority="3197">
      <formula>"Novo"</formula>
    </cfRule>
  </conditionalFormatting>
  <conditionalFormatting sqref="W441">
    <cfRule type="cellIs" operator="equal" dxfId="3198" priority="3198">
      <formula>"Mercado Envios por conta do comprador"</formula>
    </cfRule>
  </conditionalFormatting>
  <conditionalFormatting sqref="X441">
    <cfRule type="cellIs" operator="equal" dxfId="3199" priority="3199">
      <formula>"Não aceito"</formula>
    </cfRule>
  </conditionalFormatting>
  <conditionalFormatting sqref="Y441">
    <cfRule type="cellIs" operator="equal" dxfId="3200" priority="3200">
      <formula>"Clássico"</formula>
    </cfRule>
  </conditionalFormatting>
  <conditionalFormatting sqref="AA441">
    <cfRule type="cellIs" operator="equal" dxfId="3201" priority="3201">
      <formula>"Inativo"</formula>
    </cfRule>
  </conditionalFormatting>
  <conditionalFormatting sqref="AB441">
    <cfRule type="cellIs" operator="equal" dxfId="3202" priority="3202">
      <formula>"Garantia de fábrica"</formula>
    </cfRule>
  </conditionalFormatting>
  <conditionalFormatting sqref="AD441">
    <cfRule type="cellIs" operator="equal" dxfId="3203" priority="3203">
      <formula>"dias"</formula>
    </cfRule>
  </conditionalFormatting>
  <conditionalFormatting sqref="J442">
    <cfRule type="cellIs" operator="equal" dxfId="3204" priority="3204">
      <formula>"R$"</formula>
    </cfRule>
  </conditionalFormatting>
  <conditionalFormatting sqref="U442">
    <cfRule type="cellIs" operator="equal" dxfId="3205" priority="3205">
      <formula>"Novo"</formula>
    </cfRule>
  </conditionalFormatting>
  <conditionalFormatting sqref="W442">
    <cfRule type="cellIs" operator="equal" dxfId="3206" priority="3206">
      <formula>"Mercado Envios por conta do comprador"</formula>
    </cfRule>
  </conditionalFormatting>
  <conditionalFormatting sqref="X442">
    <cfRule type="cellIs" operator="equal" dxfId="3207" priority="3207">
      <formula>"Não aceito"</formula>
    </cfRule>
  </conditionalFormatting>
  <conditionalFormatting sqref="Y442">
    <cfRule type="cellIs" operator="equal" dxfId="3208" priority="3208">
      <formula>"Clássico"</formula>
    </cfRule>
  </conditionalFormatting>
  <conditionalFormatting sqref="AA442">
    <cfRule type="cellIs" operator="equal" dxfId="3209" priority="3209">
      <formula>"Inativo"</formula>
    </cfRule>
  </conditionalFormatting>
  <conditionalFormatting sqref="AB442">
    <cfRule type="cellIs" operator="equal" dxfId="3210" priority="3210">
      <formula>"Garantia de fábrica"</formula>
    </cfRule>
  </conditionalFormatting>
  <conditionalFormatting sqref="AD442">
    <cfRule type="cellIs" operator="equal" dxfId="3211" priority="3211">
      <formula>"dias"</formula>
    </cfRule>
  </conditionalFormatting>
  <conditionalFormatting sqref="J443">
    <cfRule type="cellIs" operator="equal" dxfId="3212" priority="3212">
      <formula>"R$"</formula>
    </cfRule>
  </conditionalFormatting>
  <conditionalFormatting sqref="U443">
    <cfRule type="cellIs" operator="equal" dxfId="3213" priority="3213">
      <formula>"Novo"</formula>
    </cfRule>
  </conditionalFormatting>
  <conditionalFormatting sqref="W443">
    <cfRule type="cellIs" operator="equal" dxfId="3214" priority="3214">
      <formula>"Mercado Envios por conta do comprador"</formula>
    </cfRule>
  </conditionalFormatting>
  <conditionalFormatting sqref="X443">
    <cfRule type="cellIs" operator="equal" dxfId="3215" priority="3215">
      <formula>"Não aceito"</formula>
    </cfRule>
  </conditionalFormatting>
  <conditionalFormatting sqref="Y443">
    <cfRule type="cellIs" operator="equal" dxfId="3216" priority="3216">
      <formula>"Clássico"</formula>
    </cfRule>
  </conditionalFormatting>
  <conditionalFormatting sqref="AA443">
    <cfRule type="cellIs" operator="equal" dxfId="3217" priority="3217">
      <formula>"Inativo"</formula>
    </cfRule>
  </conditionalFormatting>
  <conditionalFormatting sqref="AB443">
    <cfRule type="cellIs" operator="equal" dxfId="3218" priority="3218">
      <formula>"Garantia de fábrica"</formula>
    </cfRule>
  </conditionalFormatting>
  <conditionalFormatting sqref="AD443">
    <cfRule type="cellIs" operator="equal" dxfId="3219" priority="3219">
      <formula>"dias"</formula>
    </cfRule>
  </conditionalFormatting>
  <conditionalFormatting sqref="J444">
    <cfRule type="cellIs" operator="equal" dxfId="3220" priority="3220">
      <formula>"R$"</formula>
    </cfRule>
  </conditionalFormatting>
  <conditionalFormatting sqref="U444">
    <cfRule type="cellIs" operator="equal" dxfId="3221" priority="3221">
      <formula>"Novo"</formula>
    </cfRule>
  </conditionalFormatting>
  <conditionalFormatting sqref="W444">
    <cfRule type="cellIs" operator="equal" dxfId="3222" priority="3222">
      <formula>"Mercado Envios por conta do comprador"</formula>
    </cfRule>
  </conditionalFormatting>
  <conditionalFormatting sqref="X444">
    <cfRule type="cellIs" operator="equal" dxfId="3223" priority="3223">
      <formula>"Não aceito"</formula>
    </cfRule>
  </conditionalFormatting>
  <conditionalFormatting sqref="Y444">
    <cfRule type="cellIs" operator="equal" dxfId="3224" priority="3224">
      <formula>"Clássico"</formula>
    </cfRule>
  </conditionalFormatting>
  <conditionalFormatting sqref="AA444">
    <cfRule type="cellIs" operator="equal" dxfId="3225" priority="3225">
      <formula>"Inativo"</formula>
    </cfRule>
  </conditionalFormatting>
  <conditionalFormatting sqref="AB444">
    <cfRule type="cellIs" operator="equal" dxfId="3226" priority="3226">
      <formula>"Garantia de fábrica"</formula>
    </cfRule>
  </conditionalFormatting>
  <conditionalFormatting sqref="AD444">
    <cfRule type="cellIs" operator="equal" dxfId="3227" priority="3227">
      <formula>"dias"</formula>
    </cfRule>
  </conditionalFormatting>
  <conditionalFormatting sqref="J445">
    <cfRule type="cellIs" operator="equal" dxfId="3228" priority="3228">
      <formula>"R$"</formula>
    </cfRule>
  </conditionalFormatting>
  <conditionalFormatting sqref="U445">
    <cfRule type="cellIs" operator="equal" dxfId="3229" priority="3229">
      <formula>"Novo"</formula>
    </cfRule>
  </conditionalFormatting>
  <conditionalFormatting sqref="W445">
    <cfRule type="cellIs" operator="equal" dxfId="3230" priority="3230">
      <formula>"Mercado Envios por conta do comprador"</formula>
    </cfRule>
  </conditionalFormatting>
  <conditionalFormatting sqref="X445">
    <cfRule type="cellIs" operator="equal" dxfId="3231" priority="3231">
      <formula>"Não aceito"</formula>
    </cfRule>
  </conditionalFormatting>
  <conditionalFormatting sqref="Y445">
    <cfRule type="cellIs" operator="equal" dxfId="3232" priority="3232">
      <formula>"Clássico"</formula>
    </cfRule>
  </conditionalFormatting>
  <conditionalFormatting sqref="AA445">
    <cfRule type="cellIs" operator="equal" dxfId="3233" priority="3233">
      <formula>"Inativo"</formula>
    </cfRule>
  </conditionalFormatting>
  <conditionalFormatting sqref="AB445">
    <cfRule type="cellIs" operator="equal" dxfId="3234" priority="3234">
      <formula>"Garantia de fábrica"</formula>
    </cfRule>
  </conditionalFormatting>
  <conditionalFormatting sqref="AD445">
    <cfRule type="cellIs" operator="equal" dxfId="3235" priority="3235">
      <formula>"dias"</formula>
    </cfRule>
  </conditionalFormatting>
  <conditionalFormatting sqref="J446">
    <cfRule type="cellIs" operator="equal" dxfId="3236" priority="3236">
      <formula>"R$"</formula>
    </cfRule>
  </conditionalFormatting>
  <conditionalFormatting sqref="U446">
    <cfRule type="cellIs" operator="equal" dxfId="3237" priority="3237">
      <formula>"Novo"</formula>
    </cfRule>
  </conditionalFormatting>
  <conditionalFormatting sqref="W446">
    <cfRule type="cellIs" operator="equal" dxfId="3238" priority="3238">
      <formula>"Mercado Envios por conta do comprador"</formula>
    </cfRule>
  </conditionalFormatting>
  <conditionalFormatting sqref="X446">
    <cfRule type="cellIs" operator="equal" dxfId="3239" priority="3239">
      <formula>"Não aceito"</formula>
    </cfRule>
  </conditionalFormatting>
  <conditionalFormatting sqref="Y446">
    <cfRule type="cellIs" operator="equal" dxfId="3240" priority="3240">
      <formula>"Clássico"</formula>
    </cfRule>
  </conditionalFormatting>
  <conditionalFormatting sqref="AA446">
    <cfRule type="cellIs" operator="equal" dxfId="3241" priority="3241">
      <formula>"Inativo"</formula>
    </cfRule>
  </conditionalFormatting>
  <conditionalFormatting sqref="AB446">
    <cfRule type="cellIs" operator="equal" dxfId="3242" priority="3242">
      <formula>"Garantia de fábrica"</formula>
    </cfRule>
  </conditionalFormatting>
  <conditionalFormatting sqref="AD446">
    <cfRule type="cellIs" operator="equal" dxfId="3243" priority="3243">
      <formula>"dias"</formula>
    </cfRule>
  </conditionalFormatting>
  <conditionalFormatting sqref="J447">
    <cfRule type="cellIs" operator="equal" dxfId="3244" priority="3244">
      <formula>"R$"</formula>
    </cfRule>
  </conditionalFormatting>
  <conditionalFormatting sqref="U447">
    <cfRule type="cellIs" operator="equal" dxfId="3245" priority="3245">
      <formula>"Novo"</formula>
    </cfRule>
  </conditionalFormatting>
  <conditionalFormatting sqref="W447">
    <cfRule type="cellIs" operator="equal" dxfId="3246" priority="3246">
      <formula>"Não faço envios"</formula>
    </cfRule>
  </conditionalFormatting>
  <conditionalFormatting sqref="X447">
    <cfRule type="cellIs" operator="equal" dxfId="3247" priority="3247">
      <formula>"Aceita"</formula>
    </cfRule>
  </conditionalFormatting>
  <conditionalFormatting sqref="Y447">
    <cfRule type="cellIs" operator="equal" dxfId="3248" priority="3248">
      <formula>"Premium"</formula>
    </cfRule>
  </conditionalFormatting>
  <conditionalFormatting sqref="AA447">
    <cfRule type="cellIs" operator="equal" dxfId="3249" priority="3249">
      <formula>"Inativo"</formula>
    </cfRule>
  </conditionalFormatting>
  <conditionalFormatting sqref="AB447">
    <cfRule type="cellIs" operator="equal" dxfId="3250" priority="3250">
      <formula>"Garantia de fábrica"</formula>
    </cfRule>
  </conditionalFormatting>
  <conditionalFormatting sqref="AD447">
    <cfRule type="cellIs" operator="equal" dxfId="3251" priority="3251">
      <formula>"meses"</formula>
    </cfRule>
  </conditionalFormatting>
  <conditionalFormatting sqref="J448">
    <cfRule type="cellIs" operator="equal" dxfId="3252" priority="3252">
      <formula>"R$"</formula>
    </cfRule>
  </conditionalFormatting>
  <conditionalFormatting sqref="U448">
    <cfRule type="cellIs" operator="equal" dxfId="3253" priority="3253">
      <formula>"Novo"</formula>
    </cfRule>
  </conditionalFormatting>
  <conditionalFormatting sqref="W448">
    <cfRule type="cellIs" operator="equal" dxfId="3254" priority="3254">
      <formula>"Não faço envios"</formula>
    </cfRule>
  </conditionalFormatting>
  <conditionalFormatting sqref="X448">
    <cfRule type="cellIs" operator="equal" dxfId="3255" priority="3255">
      <formula>"Aceita"</formula>
    </cfRule>
  </conditionalFormatting>
  <conditionalFormatting sqref="Y448">
    <cfRule type="cellIs" operator="equal" dxfId="3256" priority="3256">
      <formula>"Clássico"</formula>
    </cfRule>
  </conditionalFormatting>
  <conditionalFormatting sqref="AA448">
    <cfRule type="cellIs" operator="equal" dxfId="3257" priority="3257">
      <formula>"Inativo"</formula>
    </cfRule>
  </conditionalFormatting>
  <conditionalFormatting sqref="AB448">
    <cfRule type="cellIs" operator="equal" dxfId="3258" priority="3258">
      <formula>"Garantia de fábrica"</formula>
    </cfRule>
  </conditionalFormatting>
  <conditionalFormatting sqref="AD448">
    <cfRule type="cellIs" operator="equal" dxfId="3259" priority="3259">
      <formula>"meses"</formula>
    </cfRule>
  </conditionalFormatting>
  <conditionalFormatting sqref="J449">
    <cfRule type="cellIs" operator="equal" dxfId="3260" priority="3260">
      <formula>"R$"</formula>
    </cfRule>
  </conditionalFormatting>
  <conditionalFormatting sqref="U449">
    <cfRule type="cellIs" operator="equal" dxfId="3261" priority="3261">
      <formula>"Novo"</formula>
    </cfRule>
  </conditionalFormatting>
  <conditionalFormatting sqref="W449">
    <cfRule type="cellIs" operator="equal" dxfId="3262" priority="3262">
      <formula>"Não faço envios"</formula>
    </cfRule>
  </conditionalFormatting>
  <conditionalFormatting sqref="X449">
    <cfRule type="cellIs" operator="equal" dxfId="3263" priority="3263">
      <formula>"Não aceito"</formula>
    </cfRule>
  </conditionalFormatting>
  <conditionalFormatting sqref="Y449">
    <cfRule type="cellIs" operator="equal" dxfId="3264" priority="3264">
      <formula>"Clássico"</formula>
    </cfRule>
  </conditionalFormatting>
  <conditionalFormatting sqref="AA449">
    <cfRule type="cellIs" operator="equal" dxfId="3265" priority="3265">
      <formula>"Inativo"</formula>
    </cfRule>
  </conditionalFormatting>
  <conditionalFormatting sqref="AB449">
    <cfRule type="cellIs" operator="equal" dxfId="3266" priority="3266">
      <formula>"Garantia de fábrica"</formula>
    </cfRule>
  </conditionalFormatting>
  <conditionalFormatting sqref="AD449">
    <cfRule type="cellIs" operator="equal" dxfId="3267" priority="3267">
      <formula>"meses"</formula>
    </cfRule>
  </conditionalFormatting>
  <conditionalFormatting sqref="J450">
    <cfRule type="cellIs" operator="equal" dxfId="3268" priority="3268">
      <formula>"R$"</formula>
    </cfRule>
  </conditionalFormatting>
  <conditionalFormatting sqref="U450">
    <cfRule type="cellIs" operator="equal" dxfId="3269" priority="3269">
      <formula>"Novo"</formula>
    </cfRule>
  </conditionalFormatting>
  <conditionalFormatting sqref="W450">
    <cfRule type="cellIs" operator="equal" dxfId="3270" priority="3270">
      <formula>"Não faço envios"</formula>
    </cfRule>
  </conditionalFormatting>
  <conditionalFormatting sqref="X450">
    <cfRule type="cellIs" operator="equal" dxfId="3271" priority="3271">
      <formula>"Não aceito"</formula>
    </cfRule>
  </conditionalFormatting>
  <conditionalFormatting sqref="Y450">
    <cfRule type="cellIs" operator="equal" dxfId="3272" priority="3272">
      <formula>"Clássico"</formula>
    </cfRule>
  </conditionalFormatting>
  <conditionalFormatting sqref="AA450">
    <cfRule type="cellIs" operator="equal" dxfId="3273" priority="3273">
      <formula>"Inativo"</formula>
    </cfRule>
  </conditionalFormatting>
  <conditionalFormatting sqref="AB450">
    <cfRule type="cellIs" operator="equal" dxfId="3274" priority="3274">
      <formula>"Garantia de fábrica"</formula>
    </cfRule>
  </conditionalFormatting>
  <conditionalFormatting sqref="AD450">
    <cfRule type="cellIs" operator="equal" dxfId="3275" priority="3275">
      <formula>"meses"</formula>
    </cfRule>
  </conditionalFormatting>
  <conditionalFormatting sqref="J451">
    <cfRule type="cellIs" operator="equal" dxfId="3276" priority="3276">
      <formula>"R$"</formula>
    </cfRule>
  </conditionalFormatting>
  <conditionalFormatting sqref="U451">
    <cfRule type="cellIs" operator="equal" dxfId="3277" priority="3277">
      <formula>"Novo"</formula>
    </cfRule>
  </conditionalFormatting>
  <conditionalFormatting sqref="W451">
    <cfRule type="cellIs" operator="equal" dxfId="3278" priority="3278">
      <formula>"Não faço envios"</formula>
    </cfRule>
  </conditionalFormatting>
  <conditionalFormatting sqref="X451">
    <cfRule type="cellIs" operator="equal" dxfId="3279" priority="3279">
      <formula>"Não aceito"</formula>
    </cfRule>
  </conditionalFormatting>
  <conditionalFormatting sqref="Y451">
    <cfRule type="cellIs" operator="equal" dxfId="3280" priority="3280">
      <formula>"Clássico"</formula>
    </cfRule>
  </conditionalFormatting>
  <conditionalFormatting sqref="AA451">
    <cfRule type="cellIs" operator="equal" dxfId="3281" priority="3281">
      <formula>"Inativo"</formula>
    </cfRule>
  </conditionalFormatting>
  <conditionalFormatting sqref="AB451">
    <cfRule type="cellIs" operator="equal" dxfId="3282" priority="3282">
      <formula>"Garantia de fábrica"</formula>
    </cfRule>
  </conditionalFormatting>
  <conditionalFormatting sqref="AD451">
    <cfRule type="cellIs" operator="equal" dxfId="3283" priority="3283">
      <formula>"meses"</formula>
    </cfRule>
  </conditionalFormatting>
  <conditionalFormatting sqref="J452">
    <cfRule type="cellIs" operator="equal" dxfId="3284" priority="3284">
      <formula>"R$"</formula>
    </cfRule>
  </conditionalFormatting>
  <conditionalFormatting sqref="U452">
    <cfRule type="cellIs" operator="equal" dxfId="3285" priority="3285">
      <formula>"Novo"</formula>
    </cfRule>
  </conditionalFormatting>
  <conditionalFormatting sqref="W452">
    <cfRule type="cellIs" operator="equal" dxfId="3286" priority="3286">
      <formula>"Não faço envios"</formula>
    </cfRule>
  </conditionalFormatting>
  <conditionalFormatting sqref="X452">
    <cfRule type="cellIs" operator="equal" dxfId="3287" priority="3287">
      <formula>"Não aceito"</formula>
    </cfRule>
  </conditionalFormatting>
  <conditionalFormatting sqref="Y452">
    <cfRule type="cellIs" operator="equal" dxfId="3288" priority="3288">
      <formula>"Clássico"</formula>
    </cfRule>
  </conditionalFormatting>
  <conditionalFormatting sqref="AA452">
    <cfRule type="cellIs" operator="equal" dxfId="3289" priority="3289">
      <formula>"Inativo"</formula>
    </cfRule>
  </conditionalFormatting>
  <conditionalFormatting sqref="AB452">
    <cfRule type="cellIs" operator="equal" dxfId="3290" priority="3290">
      <formula>"Garantia de fábrica"</formula>
    </cfRule>
  </conditionalFormatting>
  <conditionalFormatting sqref="AD452">
    <cfRule type="cellIs" operator="equal" dxfId="3291" priority="3291">
      <formula>"meses"</formula>
    </cfRule>
  </conditionalFormatting>
  <conditionalFormatting sqref="J453">
    <cfRule type="cellIs" operator="equal" dxfId="3292" priority="3292">
      <formula>"R$"</formula>
    </cfRule>
  </conditionalFormatting>
  <conditionalFormatting sqref="U453">
    <cfRule type="cellIs" operator="equal" dxfId="3293" priority="3293">
      <formula>"Novo"</formula>
    </cfRule>
  </conditionalFormatting>
  <conditionalFormatting sqref="W453">
    <cfRule type="cellIs" operator="equal" dxfId="3294" priority="3294">
      <formula>"Não faço envios"</formula>
    </cfRule>
  </conditionalFormatting>
  <conditionalFormatting sqref="X453">
    <cfRule type="cellIs" operator="equal" dxfId="3295" priority="3295">
      <formula>"Não aceito"</formula>
    </cfRule>
  </conditionalFormatting>
  <conditionalFormatting sqref="Y453">
    <cfRule type="cellIs" operator="equal" dxfId="3296" priority="3296">
      <formula>"Clássico"</formula>
    </cfRule>
  </conditionalFormatting>
  <conditionalFormatting sqref="AA453">
    <cfRule type="cellIs" operator="equal" dxfId="3297" priority="3297">
      <formula>"Inativo"</formula>
    </cfRule>
  </conditionalFormatting>
  <conditionalFormatting sqref="AB453">
    <cfRule type="cellIs" operator="equal" dxfId="3298" priority="3298">
      <formula>"Garantia de fábrica"</formula>
    </cfRule>
  </conditionalFormatting>
  <conditionalFormatting sqref="AD453">
    <cfRule type="cellIs" operator="equal" dxfId="3299" priority="3299">
      <formula>"meses"</formula>
    </cfRule>
  </conditionalFormatting>
  <conditionalFormatting sqref="J454">
    <cfRule type="cellIs" operator="equal" dxfId="3300" priority="3300">
      <formula>"R$"</formula>
    </cfRule>
  </conditionalFormatting>
  <conditionalFormatting sqref="U454">
    <cfRule type="cellIs" operator="equal" dxfId="3301" priority="3301">
      <formula>"Novo"</formula>
    </cfRule>
  </conditionalFormatting>
  <conditionalFormatting sqref="W454">
    <cfRule type="cellIs" operator="equal" dxfId="3302" priority="3302">
      <formula>"Não faço envios"</formula>
    </cfRule>
  </conditionalFormatting>
  <conditionalFormatting sqref="X454">
    <cfRule type="cellIs" operator="equal" dxfId="3303" priority="3303">
      <formula>"Não aceito"</formula>
    </cfRule>
  </conditionalFormatting>
  <conditionalFormatting sqref="Y454">
    <cfRule type="cellIs" operator="equal" dxfId="3304" priority="3304">
      <formula>"Clássico"</formula>
    </cfRule>
  </conditionalFormatting>
  <conditionalFormatting sqref="AA454">
    <cfRule type="cellIs" operator="equal" dxfId="3305" priority="3305">
      <formula>"Inativo"</formula>
    </cfRule>
  </conditionalFormatting>
  <conditionalFormatting sqref="AB454">
    <cfRule type="cellIs" operator="equal" dxfId="3306" priority="3306">
      <formula>"Garantia de fábrica"</formula>
    </cfRule>
  </conditionalFormatting>
  <conditionalFormatting sqref="AD454">
    <cfRule type="cellIs" operator="equal" dxfId="3307" priority="3307">
      <formula>"meses"</formula>
    </cfRule>
  </conditionalFormatting>
  <conditionalFormatting sqref="J455">
    <cfRule type="cellIs" operator="equal" dxfId="3308" priority="3308">
      <formula>"R$"</formula>
    </cfRule>
  </conditionalFormatting>
  <conditionalFormatting sqref="U455">
    <cfRule type="cellIs" operator="equal" dxfId="3309" priority="3309">
      <formula>"Novo"</formula>
    </cfRule>
  </conditionalFormatting>
  <conditionalFormatting sqref="W455">
    <cfRule type="cellIs" operator="equal" dxfId="3310" priority="3310">
      <formula>"Não faço envios"</formula>
    </cfRule>
  </conditionalFormatting>
  <conditionalFormatting sqref="X455">
    <cfRule type="cellIs" operator="equal" dxfId="3311" priority="3311">
      <formula>"Não aceito"</formula>
    </cfRule>
  </conditionalFormatting>
  <conditionalFormatting sqref="Y455">
    <cfRule type="cellIs" operator="equal" dxfId="3312" priority="3312">
      <formula>"Clássico"</formula>
    </cfRule>
  </conditionalFormatting>
  <conditionalFormatting sqref="AA455">
    <cfRule type="cellIs" operator="equal" dxfId="3313" priority="3313">
      <formula>"Inativo"</formula>
    </cfRule>
  </conditionalFormatting>
  <conditionalFormatting sqref="AB455">
    <cfRule type="cellIs" operator="equal" dxfId="3314" priority="3314">
      <formula>"Garantia de fábrica"</formula>
    </cfRule>
  </conditionalFormatting>
  <conditionalFormatting sqref="AD455">
    <cfRule type="cellIs" operator="equal" dxfId="3315" priority="3315">
      <formula>"meses"</formula>
    </cfRule>
  </conditionalFormatting>
  <conditionalFormatting sqref="J456">
    <cfRule type="cellIs" operator="equal" dxfId="3316" priority="3316">
      <formula>"R$"</formula>
    </cfRule>
  </conditionalFormatting>
  <conditionalFormatting sqref="U456">
    <cfRule type="cellIs" operator="equal" dxfId="3317" priority="3317">
      <formula>"Novo"</formula>
    </cfRule>
  </conditionalFormatting>
  <conditionalFormatting sqref="W456">
    <cfRule type="cellIs" operator="equal" dxfId="3318" priority="3318">
      <formula>"Não faço envios"</formula>
    </cfRule>
  </conditionalFormatting>
  <conditionalFormatting sqref="X456">
    <cfRule type="cellIs" operator="equal" dxfId="3319" priority="3319">
      <formula>"Não aceito"</formula>
    </cfRule>
  </conditionalFormatting>
  <conditionalFormatting sqref="Y456">
    <cfRule type="cellIs" operator="equal" dxfId="3320" priority="3320">
      <formula>"Clássico"</formula>
    </cfRule>
  </conditionalFormatting>
  <conditionalFormatting sqref="AA456">
    <cfRule type="cellIs" operator="equal" dxfId="3321" priority="3321">
      <formula>"Inativo"</formula>
    </cfRule>
  </conditionalFormatting>
  <conditionalFormatting sqref="AB456">
    <cfRule type="cellIs" operator="equal" dxfId="3322" priority="3322">
      <formula>"Garantia de fábrica"</formula>
    </cfRule>
  </conditionalFormatting>
  <conditionalFormatting sqref="AD456">
    <cfRule type="cellIs" operator="equal" dxfId="3323" priority="3323">
      <formula>"meses"</formula>
    </cfRule>
  </conditionalFormatting>
  <conditionalFormatting sqref="J457">
    <cfRule type="cellIs" operator="equal" dxfId="3324" priority="3324">
      <formula>"R$"</formula>
    </cfRule>
  </conditionalFormatting>
  <conditionalFormatting sqref="U457">
    <cfRule type="cellIs" operator="equal" dxfId="3325" priority="3325">
      <formula>"Novo"</formula>
    </cfRule>
  </conditionalFormatting>
  <conditionalFormatting sqref="W457">
    <cfRule type="cellIs" operator="equal" dxfId="3326" priority="3326">
      <formula>"Não faço envios"</formula>
    </cfRule>
  </conditionalFormatting>
  <conditionalFormatting sqref="X457">
    <cfRule type="cellIs" operator="equal" dxfId="3327" priority="3327">
      <formula>"Não aceito"</formula>
    </cfRule>
  </conditionalFormatting>
  <conditionalFormatting sqref="Y457">
    <cfRule type="cellIs" operator="equal" dxfId="3328" priority="3328">
      <formula>"Clássico"</formula>
    </cfRule>
  </conditionalFormatting>
  <conditionalFormatting sqref="AA457">
    <cfRule type="cellIs" operator="equal" dxfId="3329" priority="3329">
      <formula>"Inativo"</formula>
    </cfRule>
  </conditionalFormatting>
  <conditionalFormatting sqref="AB457">
    <cfRule type="cellIs" operator="equal" dxfId="3330" priority="3330">
      <formula>"Garantia de fábrica"</formula>
    </cfRule>
  </conditionalFormatting>
  <conditionalFormatting sqref="AD457">
    <cfRule type="cellIs" operator="equal" dxfId="3331" priority="3331">
      <formula>"meses"</formula>
    </cfRule>
  </conditionalFormatting>
  <conditionalFormatting sqref="J458">
    <cfRule type="cellIs" operator="equal" dxfId="3332" priority="3332">
      <formula>"R$"</formula>
    </cfRule>
  </conditionalFormatting>
  <conditionalFormatting sqref="U458">
    <cfRule type="cellIs" operator="equal" dxfId="3333" priority="3333">
      <formula>"Novo"</formula>
    </cfRule>
  </conditionalFormatting>
  <conditionalFormatting sqref="W458">
    <cfRule type="cellIs" operator="equal" dxfId="3334" priority="3334">
      <formula>"Não faço envios"</formula>
    </cfRule>
  </conditionalFormatting>
  <conditionalFormatting sqref="X458">
    <cfRule type="cellIs" operator="equal" dxfId="3335" priority="3335">
      <formula>"Não aceito"</formula>
    </cfRule>
  </conditionalFormatting>
  <conditionalFormatting sqref="Y458">
    <cfRule type="cellIs" operator="equal" dxfId="3336" priority="3336">
      <formula>"Clássico"</formula>
    </cfRule>
  </conditionalFormatting>
  <conditionalFormatting sqref="AA458">
    <cfRule type="cellIs" operator="equal" dxfId="3337" priority="3337">
      <formula>"Inativo"</formula>
    </cfRule>
  </conditionalFormatting>
  <conditionalFormatting sqref="AB458">
    <cfRule type="cellIs" operator="equal" dxfId="3338" priority="3338">
      <formula>"Garantia de fábrica"</formula>
    </cfRule>
  </conditionalFormatting>
  <conditionalFormatting sqref="AD458">
    <cfRule type="cellIs" operator="equal" dxfId="3339" priority="3339">
      <formula>"meses"</formula>
    </cfRule>
  </conditionalFormatting>
  <conditionalFormatting sqref="J459">
    <cfRule type="cellIs" operator="equal" dxfId="3340" priority="3340">
      <formula>"R$"</formula>
    </cfRule>
  </conditionalFormatting>
  <conditionalFormatting sqref="U459">
    <cfRule type="cellIs" operator="equal" dxfId="3341" priority="3341">
      <formula>"Novo"</formula>
    </cfRule>
  </conditionalFormatting>
  <conditionalFormatting sqref="W459">
    <cfRule type="cellIs" operator="equal" dxfId="3342" priority="3342">
      <formula>"Não faço envios"</formula>
    </cfRule>
  </conditionalFormatting>
  <conditionalFormatting sqref="X459">
    <cfRule type="cellIs" operator="equal" dxfId="3343" priority="3343">
      <formula>"Não aceito"</formula>
    </cfRule>
  </conditionalFormatting>
  <conditionalFormatting sqref="Y459">
    <cfRule type="cellIs" operator="equal" dxfId="3344" priority="3344">
      <formula>"Clássico"</formula>
    </cfRule>
  </conditionalFormatting>
  <conditionalFormatting sqref="AA459">
    <cfRule type="cellIs" operator="equal" dxfId="3345" priority="3345">
      <formula>"Inativo"</formula>
    </cfRule>
  </conditionalFormatting>
  <conditionalFormatting sqref="AB459">
    <cfRule type="cellIs" operator="equal" dxfId="3346" priority="3346">
      <formula>"Garantia de fábrica"</formula>
    </cfRule>
  </conditionalFormatting>
  <conditionalFormatting sqref="AD459">
    <cfRule type="cellIs" operator="equal" dxfId="3347" priority="3347">
      <formula>"meses"</formula>
    </cfRule>
  </conditionalFormatting>
  <conditionalFormatting sqref="J460">
    <cfRule type="cellIs" operator="equal" dxfId="3348" priority="3348">
      <formula>"R$"</formula>
    </cfRule>
  </conditionalFormatting>
  <conditionalFormatting sqref="U460">
    <cfRule type="cellIs" operator="equal" dxfId="3349" priority="3349">
      <formula>"Novo"</formula>
    </cfRule>
  </conditionalFormatting>
  <conditionalFormatting sqref="W460">
    <cfRule type="cellIs" operator="equal" dxfId="3350" priority="3350">
      <formula>"Não faço envios"</formula>
    </cfRule>
  </conditionalFormatting>
  <conditionalFormatting sqref="X460">
    <cfRule type="cellIs" operator="equal" dxfId="3351" priority="3351">
      <formula>"Não aceito"</formula>
    </cfRule>
  </conditionalFormatting>
  <conditionalFormatting sqref="Y460">
    <cfRule type="cellIs" operator="equal" dxfId="3352" priority="3352">
      <formula>"Clássico"</formula>
    </cfRule>
  </conditionalFormatting>
  <conditionalFormatting sqref="AA460">
    <cfRule type="cellIs" operator="equal" dxfId="3353" priority="3353">
      <formula>"Inativo"</formula>
    </cfRule>
  </conditionalFormatting>
  <conditionalFormatting sqref="AB460">
    <cfRule type="cellIs" operator="equal" dxfId="3354" priority="3354">
      <formula>"Garantia de fábrica"</formula>
    </cfRule>
  </conditionalFormatting>
  <conditionalFormatting sqref="AD460">
    <cfRule type="cellIs" operator="equal" dxfId="3355" priority="3355">
      <formula>"meses"</formula>
    </cfRule>
  </conditionalFormatting>
  <conditionalFormatting sqref="J461">
    <cfRule type="cellIs" operator="equal" dxfId="3356" priority="3356">
      <formula>"R$"</formula>
    </cfRule>
  </conditionalFormatting>
  <conditionalFormatting sqref="U461">
    <cfRule type="cellIs" operator="equal" dxfId="3357" priority="3357">
      <formula>"Novo"</formula>
    </cfRule>
  </conditionalFormatting>
  <conditionalFormatting sqref="W461">
    <cfRule type="cellIs" operator="equal" dxfId="3358" priority="3358">
      <formula>"Não faço envios"</formula>
    </cfRule>
  </conditionalFormatting>
  <conditionalFormatting sqref="X461">
    <cfRule type="cellIs" operator="equal" dxfId="3359" priority="3359">
      <formula>"Não aceito"</formula>
    </cfRule>
  </conditionalFormatting>
  <conditionalFormatting sqref="Y461">
    <cfRule type="cellIs" operator="equal" dxfId="3360" priority="3360">
      <formula>"Clássico"</formula>
    </cfRule>
  </conditionalFormatting>
  <conditionalFormatting sqref="AA461">
    <cfRule type="cellIs" operator="equal" dxfId="3361" priority="3361">
      <formula>"Inativo"</formula>
    </cfRule>
  </conditionalFormatting>
  <conditionalFormatting sqref="AB461">
    <cfRule type="cellIs" operator="equal" dxfId="3362" priority="3362">
      <formula>"Garantia de fábrica"</formula>
    </cfRule>
  </conditionalFormatting>
  <conditionalFormatting sqref="AD461">
    <cfRule type="cellIs" operator="equal" dxfId="3363" priority="3363">
      <formula>"meses"</formula>
    </cfRule>
  </conditionalFormatting>
  <conditionalFormatting sqref="J462">
    <cfRule type="cellIs" operator="equal" dxfId="3364" priority="3364">
      <formula>"R$"</formula>
    </cfRule>
  </conditionalFormatting>
  <conditionalFormatting sqref="U462">
    <cfRule type="cellIs" operator="equal" dxfId="3365" priority="3365">
      <formula>"Novo"</formula>
    </cfRule>
  </conditionalFormatting>
  <conditionalFormatting sqref="W462">
    <cfRule type="cellIs" operator="equal" dxfId="3366" priority="3366">
      <formula>"Não faço envios"</formula>
    </cfRule>
  </conditionalFormatting>
  <conditionalFormatting sqref="X462">
    <cfRule type="cellIs" operator="equal" dxfId="3367" priority="3367">
      <formula>"Não aceito"</formula>
    </cfRule>
  </conditionalFormatting>
  <conditionalFormatting sqref="Y462">
    <cfRule type="cellIs" operator="equal" dxfId="3368" priority="3368">
      <formula>"Clássico"</formula>
    </cfRule>
  </conditionalFormatting>
  <conditionalFormatting sqref="AA462">
    <cfRule type="cellIs" operator="equal" dxfId="3369" priority="3369">
      <formula>"Inativo"</formula>
    </cfRule>
  </conditionalFormatting>
  <conditionalFormatting sqref="AB462">
    <cfRule type="cellIs" operator="equal" dxfId="3370" priority="3370">
      <formula>"Garantia de fábrica"</formula>
    </cfRule>
  </conditionalFormatting>
  <conditionalFormatting sqref="AD462">
    <cfRule type="cellIs" operator="equal" dxfId="3371" priority="3371">
      <formula>"meses"</formula>
    </cfRule>
  </conditionalFormatting>
  <conditionalFormatting sqref="J463">
    <cfRule type="cellIs" operator="equal" dxfId="3372" priority="3372">
      <formula>"R$"</formula>
    </cfRule>
  </conditionalFormatting>
  <conditionalFormatting sqref="U463">
    <cfRule type="cellIs" operator="equal" dxfId="3373" priority="3373">
      <formula>"Novo"</formula>
    </cfRule>
  </conditionalFormatting>
  <conditionalFormatting sqref="W463">
    <cfRule type="cellIs" operator="equal" dxfId="3374" priority="3374">
      <formula>"Não faço envios"</formula>
    </cfRule>
  </conditionalFormatting>
  <conditionalFormatting sqref="X463">
    <cfRule type="cellIs" operator="equal" dxfId="3375" priority="3375">
      <formula>"Não aceito"</formula>
    </cfRule>
  </conditionalFormatting>
  <conditionalFormatting sqref="Y463">
    <cfRule type="cellIs" operator="equal" dxfId="3376" priority="3376">
      <formula>"Clássico"</formula>
    </cfRule>
  </conditionalFormatting>
  <conditionalFormatting sqref="AA463">
    <cfRule type="cellIs" operator="equal" dxfId="3377" priority="3377">
      <formula>"Inativo"</formula>
    </cfRule>
  </conditionalFormatting>
  <conditionalFormatting sqref="AB463">
    <cfRule type="cellIs" operator="equal" dxfId="3378" priority="3378">
      <formula>"Garantia de fábrica"</formula>
    </cfRule>
  </conditionalFormatting>
  <conditionalFormatting sqref="AD463">
    <cfRule type="cellIs" operator="equal" dxfId="3379" priority="3379">
      <formula>"meses"</formula>
    </cfRule>
  </conditionalFormatting>
  <conditionalFormatting sqref="J464">
    <cfRule type="cellIs" operator="equal" dxfId="3380" priority="3380">
      <formula>"R$"</formula>
    </cfRule>
  </conditionalFormatting>
  <conditionalFormatting sqref="U464">
    <cfRule type="cellIs" operator="equal" dxfId="3381" priority="3381">
      <formula>"Novo"</formula>
    </cfRule>
  </conditionalFormatting>
  <conditionalFormatting sqref="W464">
    <cfRule type="cellIs" operator="equal" dxfId="3382" priority="3382">
      <formula>"Não faço envios"</formula>
    </cfRule>
  </conditionalFormatting>
  <conditionalFormatting sqref="X464">
    <cfRule type="cellIs" operator="equal" dxfId="3383" priority="3383">
      <formula>"Não aceito"</formula>
    </cfRule>
  </conditionalFormatting>
  <conditionalFormatting sqref="Y464">
    <cfRule type="cellIs" operator="equal" dxfId="3384" priority="3384">
      <formula>"Clássico"</formula>
    </cfRule>
  </conditionalFormatting>
  <conditionalFormatting sqref="AA464">
    <cfRule type="cellIs" operator="equal" dxfId="3385" priority="3385">
      <formula>"Inativo"</formula>
    </cfRule>
  </conditionalFormatting>
  <conditionalFormatting sqref="AB464">
    <cfRule type="cellIs" operator="equal" dxfId="3386" priority="3386">
      <formula>"Garantia de fábrica"</formula>
    </cfRule>
  </conditionalFormatting>
  <conditionalFormatting sqref="AD464">
    <cfRule type="cellIs" operator="equal" dxfId="3387" priority="3387">
      <formula>"meses"</formula>
    </cfRule>
  </conditionalFormatting>
  <conditionalFormatting sqref="J465">
    <cfRule type="cellIs" operator="equal" dxfId="3388" priority="3388">
      <formula>"R$"</formula>
    </cfRule>
  </conditionalFormatting>
  <conditionalFormatting sqref="U465">
    <cfRule type="cellIs" operator="equal" dxfId="3389" priority="3389">
      <formula>"Novo"</formula>
    </cfRule>
  </conditionalFormatting>
  <conditionalFormatting sqref="W465">
    <cfRule type="cellIs" operator="equal" dxfId="3390" priority="3390">
      <formula>"Não faço envios"</formula>
    </cfRule>
  </conditionalFormatting>
  <conditionalFormatting sqref="X465">
    <cfRule type="cellIs" operator="equal" dxfId="3391" priority="3391">
      <formula>"Não aceito"</formula>
    </cfRule>
  </conditionalFormatting>
  <conditionalFormatting sqref="Y465">
    <cfRule type="cellIs" operator="equal" dxfId="3392" priority="3392">
      <formula>"Clássico"</formula>
    </cfRule>
  </conditionalFormatting>
  <conditionalFormatting sqref="AA465">
    <cfRule type="cellIs" operator="equal" dxfId="3393" priority="3393">
      <formula>"Inativo"</formula>
    </cfRule>
  </conditionalFormatting>
  <conditionalFormatting sqref="AB465">
    <cfRule type="cellIs" operator="equal" dxfId="3394" priority="3394">
      <formula>"Garantia de fábrica"</formula>
    </cfRule>
  </conditionalFormatting>
  <conditionalFormatting sqref="AD465">
    <cfRule type="cellIs" operator="equal" dxfId="3395" priority="3395">
      <formula>"meses"</formula>
    </cfRule>
  </conditionalFormatting>
  <conditionalFormatting sqref="J466">
    <cfRule type="cellIs" operator="equal" dxfId="3396" priority="3396">
      <formula>"R$"</formula>
    </cfRule>
  </conditionalFormatting>
  <conditionalFormatting sqref="U466">
    <cfRule type="cellIs" operator="equal" dxfId="3397" priority="3397">
      <formula>"Novo"</formula>
    </cfRule>
  </conditionalFormatting>
  <conditionalFormatting sqref="W466">
    <cfRule type="cellIs" operator="equal" dxfId="3398" priority="3398">
      <formula>"Não faço envios"</formula>
    </cfRule>
  </conditionalFormatting>
  <conditionalFormatting sqref="X466">
    <cfRule type="cellIs" operator="equal" dxfId="3399" priority="3399">
      <formula>"Não aceito"</formula>
    </cfRule>
  </conditionalFormatting>
  <conditionalFormatting sqref="Y466">
    <cfRule type="cellIs" operator="equal" dxfId="3400" priority="3400">
      <formula>"Clássico"</formula>
    </cfRule>
  </conditionalFormatting>
  <conditionalFormatting sqref="AA466">
    <cfRule type="cellIs" operator="equal" dxfId="3401" priority="3401">
      <formula>"Inativo"</formula>
    </cfRule>
  </conditionalFormatting>
  <conditionalFormatting sqref="AB466">
    <cfRule type="cellIs" operator="equal" dxfId="3402" priority="3402">
      <formula>"Garantia de fábrica"</formula>
    </cfRule>
  </conditionalFormatting>
  <conditionalFormatting sqref="AD466">
    <cfRule type="cellIs" operator="equal" dxfId="3403" priority="3403">
      <formula>"meses"</formula>
    </cfRule>
  </conditionalFormatting>
  <conditionalFormatting sqref="J467">
    <cfRule type="cellIs" operator="equal" dxfId="3404" priority="3404">
      <formula>"R$"</formula>
    </cfRule>
  </conditionalFormatting>
  <conditionalFormatting sqref="U467">
    <cfRule type="cellIs" operator="equal" dxfId="3405" priority="3405">
      <formula>"Novo"</formula>
    </cfRule>
  </conditionalFormatting>
  <conditionalFormatting sqref="W467">
    <cfRule type="cellIs" operator="equal" dxfId="3406" priority="3406">
      <formula>"Não faço envios"</formula>
    </cfRule>
  </conditionalFormatting>
  <conditionalFormatting sqref="X467">
    <cfRule type="cellIs" operator="equal" dxfId="3407" priority="3407">
      <formula>"Não aceito"</formula>
    </cfRule>
  </conditionalFormatting>
  <conditionalFormatting sqref="Y467">
    <cfRule type="cellIs" operator="equal" dxfId="3408" priority="3408">
      <formula>"Clássico"</formula>
    </cfRule>
  </conditionalFormatting>
  <conditionalFormatting sqref="AA467">
    <cfRule type="cellIs" operator="equal" dxfId="3409" priority="3409">
      <formula>"Inativo"</formula>
    </cfRule>
  </conditionalFormatting>
  <conditionalFormatting sqref="AB467">
    <cfRule type="cellIs" operator="equal" dxfId="3410" priority="3410">
      <formula>"Garantia de fábrica"</formula>
    </cfRule>
  </conditionalFormatting>
  <conditionalFormatting sqref="AD467">
    <cfRule type="cellIs" operator="equal" dxfId="3411" priority="3411">
      <formula>"meses"</formula>
    </cfRule>
  </conditionalFormatting>
  <conditionalFormatting sqref="J468">
    <cfRule type="cellIs" operator="equal" dxfId="3412" priority="3412">
      <formula>"R$"</formula>
    </cfRule>
  </conditionalFormatting>
  <conditionalFormatting sqref="U468">
    <cfRule type="cellIs" operator="equal" dxfId="3413" priority="3413">
      <formula>"Novo"</formula>
    </cfRule>
  </conditionalFormatting>
  <conditionalFormatting sqref="W468">
    <cfRule type="cellIs" operator="equal" dxfId="3414" priority="3414">
      <formula>"Não faço envios"</formula>
    </cfRule>
  </conditionalFormatting>
  <conditionalFormatting sqref="X468">
    <cfRule type="cellIs" operator="equal" dxfId="3415" priority="3415">
      <formula>"Não aceito"</formula>
    </cfRule>
  </conditionalFormatting>
  <conditionalFormatting sqref="Y468">
    <cfRule type="cellIs" operator="equal" dxfId="3416" priority="3416">
      <formula>"Clássico"</formula>
    </cfRule>
  </conditionalFormatting>
  <conditionalFormatting sqref="AA468">
    <cfRule type="cellIs" operator="equal" dxfId="3417" priority="3417">
      <formula>"Inativo"</formula>
    </cfRule>
  </conditionalFormatting>
  <conditionalFormatting sqref="AB468">
    <cfRule type="cellIs" operator="equal" dxfId="3418" priority="3418">
      <formula>"Garantia de fábrica"</formula>
    </cfRule>
  </conditionalFormatting>
  <conditionalFormatting sqref="AD468">
    <cfRule type="cellIs" operator="equal" dxfId="3419" priority="3419">
      <formula>"meses"</formula>
    </cfRule>
  </conditionalFormatting>
  <conditionalFormatting sqref="J469">
    <cfRule type="cellIs" operator="equal" dxfId="3420" priority="3420">
      <formula>"R$"</formula>
    </cfRule>
  </conditionalFormatting>
  <conditionalFormatting sqref="U469">
    <cfRule type="cellIs" operator="equal" dxfId="3421" priority="3421">
      <formula>"Novo"</formula>
    </cfRule>
  </conditionalFormatting>
  <conditionalFormatting sqref="W469">
    <cfRule type="cellIs" operator="equal" dxfId="3422" priority="3422">
      <formula>"Não faço envios"</formula>
    </cfRule>
  </conditionalFormatting>
  <conditionalFormatting sqref="X469">
    <cfRule type="cellIs" operator="equal" dxfId="3423" priority="3423">
      <formula>"Não aceito"</formula>
    </cfRule>
  </conditionalFormatting>
  <conditionalFormatting sqref="Y469">
    <cfRule type="cellIs" operator="equal" dxfId="3424" priority="3424">
      <formula>"Clássico"</formula>
    </cfRule>
  </conditionalFormatting>
  <conditionalFormatting sqref="AA469">
    <cfRule type="cellIs" operator="equal" dxfId="3425" priority="3425">
      <formula>"Inativo"</formula>
    </cfRule>
  </conditionalFormatting>
  <conditionalFormatting sqref="AB469">
    <cfRule type="cellIs" operator="equal" dxfId="3426" priority="3426">
      <formula>"Garantia de fábrica"</formula>
    </cfRule>
  </conditionalFormatting>
  <conditionalFormatting sqref="AD469">
    <cfRule type="cellIs" operator="equal" dxfId="3427" priority="3427">
      <formula>"meses"</formula>
    </cfRule>
  </conditionalFormatting>
  <conditionalFormatting sqref="J470">
    <cfRule type="cellIs" operator="equal" dxfId="3428" priority="3428">
      <formula>"R$"</formula>
    </cfRule>
  </conditionalFormatting>
  <conditionalFormatting sqref="U470">
    <cfRule type="cellIs" operator="equal" dxfId="3429" priority="3429">
      <formula>"Novo"</formula>
    </cfRule>
  </conditionalFormatting>
  <conditionalFormatting sqref="W470">
    <cfRule type="cellIs" operator="equal" dxfId="3430" priority="3430">
      <formula>"Mercado Envios grátis"</formula>
    </cfRule>
  </conditionalFormatting>
  <conditionalFormatting sqref="X470">
    <cfRule type="cellIs" operator="equal" dxfId="3431" priority="3431">
      <formula>"Aceita"</formula>
    </cfRule>
  </conditionalFormatting>
  <conditionalFormatting sqref="Y470">
    <cfRule type="cellIs" operator="equal" dxfId="3432" priority="3432">
      <formula>"Premium"</formula>
    </cfRule>
  </conditionalFormatting>
  <conditionalFormatting sqref="AA470">
    <cfRule type="cellIs" operator="equal" dxfId="3433" priority="3433">
      <formula>"Inativo"</formula>
    </cfRule>
  </conditionalFormatting>
  <conditionalFormatting sqref="AB470">
    <cfRule type="cellIs" operator="equal" dxfId="3434" priority="3434">
      <formula>"Garantia do vendedor"</formula>
    </cfRule>
  </conditionalFormatting>
  <conditionalFormatting sqref="AD470">
    <cfRule type="cellIs" operator="equal" dxfId="3435" priority="3435">
      <formula>"dias"</formula>
    </cfRule>
  </conditionalFormatting>
  <conditionalFormatting sqref="J471">
    <cfRule type="cellIs" operator="equal" dxfId="3436" priority="3436">
      <formula>"R$"</formula>
    </cfRule>
  </conditionalFormatting>
  <conditionalFormatting sqref="U471">
    <cfRule type="cellIs" operator="equal" dxfId="3437" priority="3437">
      <formula>"Novo"</formula>
    </cfRule>
  </conditionalFormatting>
  <conditionalFormatting sqref="W471">
    <cfRule type="cellIs" operator="equal" dxfId="3438" priority="3438">
      <formula>"Mercado Envios por conta do comprador"</formula>
    </cfRule>
  </conditionalFormatting>
  <conditionalFormatting sqref="X471">
    <cfRule type="cellIs" operator="equal" dxfId="3439" priority="3439">
      <formula>"Não aceito"</formula>
    </cfRule>
  </conditionalFormatting>
  <conditionalFormatting sqref="Y471">
    <cfRule type="cellIs" operator="equal" dxfId="3440" priority="3440">
      <formula>"Clássico"</formula>
    </cfRule>
  </conditionalFormatting>
  <conditionalFormatting sqref="AA471">
    <cfRule type="cellIs" operator="equal" dxfId="3441" priority="3441">
      <formula>"Inativo"</formula>
    </cfRule>
  </conditionalFormatting>
  <conditionalFormatting sqref="AB471">
    <cfRule type="cellIs" operator="equal" dxfId="3442" priority="3442">
      <formula>"Garantia de fábrica"</formula>
    </cfRule>
  </conditionalFormatting>
  <conditionalFormatting sqref="AD471">
    <cfRule type="cellIs" operator="equal" dxfId="3443" priority="3443">
      <formula>"dias"</formula>
    </cfRule>
  </conditionalFormatting>
  <conditionalFormatting sqref="J472">
    <cfRule type="cellIs" operator="equal" dxfId="3444" priority="3444">
      <formula>"R$"</formula>
    </cfRule>
  </conditionalFormatting>
  <conditionalFormatting sqref="U472">
    <cfRule type="cellIs" operator="equal" dxfId="3445" priority="3445">
      <formula>"Novo"</formula>
    </cfRule>
  </conditionalFormatting>
  <conditionalFormatting sqref="W472">
    <cfRule type="cellIs" operator="equal" dxfId="3446" priority="3446">
      <formula>"Mercado Envios grátis"</formula>
    </cfRule>
  </conditionalFormatting>
  <conditionalFormatting sqref="X472">
    <cfRule type="cellIs" operator="equal" dxfId="3447" priority="3447">
      <formula>"Aceita"</formula>
    </cfRule>
  </conditionalFormatting>
  <conditionalFormatting sqref="Y472">
    <cfRule type="cellIs" operator="equal" dxfId="3448" priority="3448">
      <formula>"Premium"</formula>
    </cfRule>
  </conditionalFormatting>
  <conditionalFormatting sqref="AA472">
    <cfRule type="cellIs" operator="equal" dxfId="3449" priority="3449">
      <formula>"Inativo"</formula>
    </cfRule>
  </conditionalFormatting>
  <conditionalFormatting sqref="AB472">
    <cfRule type="cellIs" operator="equal" dxfId="3450" priority="3450">
      <formula>"Garantia do vendedor"</formula>
    </cfRule>
  </conditionalFormatting>
  <conditionalFormatting sqref="AD472">
    <cfRule type="cellIs" operator="equal" dxfId="3451" priority="3451">
      <formula>"dias"</formula>
    </cfRule>
  </conditionalFormatting>
  <conditionalFormatting sqref="J473">
    <cfRule type="cellIs" operator="equal" dxfId="3452" priority="3452">
      <formula>"R$"</formula>
    </cfRule>
  </conditionalFormatting>
  <conditionalFormatting sqref="U473">
    <cfRule type="cellIs" operator="equal" dxfId="3453" priority="3453">
      <formula>"Novo"</formula>
    </cfRule>
  </conditionalFormatting>
  <conditionalFormatting sqref="W473">
    <cfRule type="cellIs" operator="equal" dxfId="3454" priority="3454">
      <formula>"Mercado Envios grátis"</formula>
    </cfRule>
  </conditionalFormatting>
  <conditionalFormatting sqref="X473">
    <cfRule type="cellIs" operator="equal" dxfId="3455" priority="3455">
      <formula>"Aceita"</formula>
    </cfRule>
  </conditionalFormatting>
  <conditionalFormatting sqref="Y473">
    <cfRule type="cellIs" operator="equal" dxfId="3456" priority="3456">
      <formula>"Premium"</formula>
    </cfRule>
  </conditionalFormatting>
  <conditionalFormatting sqref="AA473">
    <cfRule type="cellIs" operator="equal" dxfId="3457" priority="3457">
      <formula>"Inativo"</formula>
    </cfRule>
  </conditionalFormatting>
  <conditionalFormatting sqref="AB473">
    <cfRule type="cellIs" operator="equal" dxfId="3458" priority="3458">
      <formula>"Garantia do vendedor"</formula>
    </cfRule>
  </conditionalFormatting>
  <conditionalFormatting sqref="AD473">
    <cfRule type="cellIs" operator="equal" dxfId="3459" priority="3459">
      <formula>"dias"</formula>
    </cfRule>
  </conditionalFormatting>
  <conditionalFormatting sqref="J474">
    <cfRule type="cellIs" operator="equal" dxfId="3460" priority="3460">
      <formula>"R$"</formula>
    </cfRule>
  </conditionalFormatting>
  <conditionalFormatting sqref="U474">
    <cfRule type="cellIs" operator="equal" dxfId="3461" priority="3461">
      <formula>"Novo"</formula>
    </cfRule>
  </conditionalFormatting>
  <conditionalFormatting sqref="W474">
    <cfRule type="cellIs" operator="equal" dxfId="3462" priority="3462">
      <formula>"Mercado Envios grátis"</formula>
    </cfRule>
  </conditionalFormatting>
  <conditionalFormatting sqref="X474">
    <cfRule type="cellIs" operator="equal" dxfId="3463" priority="3463">
      <formula>"Aceita"</formula>
    </cfRule>
  </conditionalFormatting>
  <conditionalFormatting sqref="Y474">
    <cfRule type="cellIs" operator="equal" dxfId="3464" priority="3464">
      <formula>"Premium"</formula>
    </cfRule>
  </conditionalFormatting>
  <conditionalFormatting sqref="AA474">
    <cfRule type="cellIs" operator="equal" dxfId="3465" priority="3465">
      <formula>"Inativo"</formula>
    </cfRule>
  </conditionalFormatting>
  <conditionalFormatting sqref="AB474">
    <cfRule type="cellIs" operator="equal" dxfId="3466" priority="3466">
      <formula>"Garantia do vendedor"</formula>
    </cfRule>
  </conditionalFormatting>
  <conditionalFormatting sqref="AD474">
    <cfRule type="cellIs" operator="equal" dxfId="3467" priority="3467">
      <formula>"dias"</formula>
    </cfRule>
  </conditionalFormatting>
  <conditionalFormatting sqref="J475">
    <cfRule type="cellIs" operator="equal" dxfId="3468" priority="3468">
      <formula>"R$"</formula>
    </cfRule>
  </conditionalFormatting>
  <conditionalFormatting sqref="U475">
    <cfRule type="cellIs" operator="equal" dxfId="3469" priority="3469">
      <formula>"Novo"</formula>
    </cfRule>
  </conditionalFormatting>
  <conditionalFormatting sqref="W475">
    <cfRule type="cellIs" operator="equal" dxfId="3470" priority="3470">
      <formula>"Mercado Envios grátis"</formula>
    </cfRule>
  </conditionalFormatting>
  <conditionalFormatting sqref="X475">
    <cfRule type="cellIs" operator="equal" dxfId="3471" priority="3471">
      <formula>"Aceita"</formula>
    </cfRule>
  </conditionalFormatting>
  <conditionalFormatting sqref="Y475">
    <cfRule type="cellIs" operator="equal" dxfId="3472" priority="3472">
      <formula>"Premium"</formula>
    </cfRule>
  </conditionalFormatting>
  <conditionalFormatting sqref="AA475">
    <cfRule type="cellIs" operator="equal" dxfId="3473" priority="3473">
      <formula>"Inativo"</formula>
    </cfRule>
  </conditionalFormatting>
  <conditionalFormatting sqref="AB475">
    <cfRule type="cellIs" operator="equal" dxfId="3474" priority="3474">
      <formula>"Garantia do vendedor"</formula>
    </cfRule>
  </conditionalFormatting>
  <conditionalFormatting sqref="AD475">
    <cfRule type="cellIs" operator="equal" dxfId="3475" priority="3475">
      <formula>"dias"</formula>
    </cfRule>
  </conditionalFormatting>
  <conditionalFormatting sqref="J476">
    <cfRule type="cellIs" operator="equal" dxfId="3476" priority="3476">
      <formula>"R$"</formula>
    </cfRule>
  </conditionalFormatting>
  <conditionalFormatting sqref="U476">
    <cfRule type="cellIs" operator="equal" dxfId="3477" priority="3477">
      <formula>"Novo"</formula>
    </cfRule>
  </conditionalFormatting>
  <conditionalFormatting sqref="W476">
    <cfRule type="cellIs" operator="equal" dxfId="3478" priority="3478">
      <formula>"Mercado Envios por conta do comprador"</formula>
    </cfRule>
  </conditionalFormatting>
  <conditionalFormatting sqref="X476">
    <cfRule type="cellIs" operator="equal" dxfId="3479" priority="3479">
      <formula>"Aceita"</formula>
    </cfRule>
  </conditionalFormatting>
  <conditionalFormatting sqref="Y476">
    <cfRule type="cellIs" operator="equal" dxfId="3480" priority="3480">
      <formula>"Premium"</formula>
    </cfRule>
  </conditionalFormatting>
  <conditionalFormatting sqref="AA476">
    <cfRule type="cellIs" operator="equal" dxfId="3481" priority="3481">
      <formula>"Inativo"</formula>
    </cfRule>
  </conditionalFormatting>
  <conditionalFormatting sqref="AB476">
    <cfRule type="cellIs" operator="equal" dxfId="3482" priority="3482">
      <formula>"Garantia do vendedor"</formula>
    </cfRule>
  </conditionalFormatting>
  <conditionalFormatting sqref="AD476">
    <cfRule type="cellIs" operator="equal" dxfId="3483" priority="3483">
      <formula>"dias"</formula>
    </cfRule>
  </conditionalFormatting>
  <conditionalFormatting sqref="J477">
    <cfRule type="cellIs" operator="equal" dxfId="3484" priority="3484">
      <formula>"R$"</formula>
    </cfRule>
  </conditionalFormatting>
  <conditionalFormatting sqref="U477">
    <cfRule type="cellIs" operator="equal" dxfId="3485" priority="3485">
      <formula>"Novo"</formula>
    </cfRule>
  </conditionalFormatting>
  <conditionalFormatting sqref="W477">
    <cfRule type="cellIs" operator="equal" dxfId="3486" priority="3486">
      <formula>"Mercado Envios grátis"</formula>
    </cfRule>
  </conditionalFormatting>
  <conditionalFormatting sqref="X477">
    <cfRule type="cellIs" operator="equal" dxfId="3487" priority="3487">
      <formula>"Aceita"</formula>
    </cfRule>
  </conditionalFormatting>
  <conditionalFormatting sqref="Y477">
    <cfRule type="cellIs" operator="equal" dxfId="3488" priority="3488">
      <formula>"Premium"</formula>
    </cfRule>
  </conditionalFormatting>
  <conditionalFormatting sqref="AA477">
    <cfRule type="cellIs" operator="equal" dxfId="3489" priority="3489">
      <formula>"Inativo"</formula>
    </cfRule>
  </conditionalFormatting>
  <conditionalFormatting sqref="AB477">
    <cfRule type="cellIs" operator="equal" dxfId="3490" priority="3490">
      <formula>"Garantia do vendedor"</formula>
    </cfRule>
  </conditionalFormatting>
  <conditionalFormatting sqref="AD477">
    <cfRule type="cellIs" operator="equal" dxfId="3491" priority="3491">
      <formula>"dias"</formula>
    </cfRule>
  </conditionalFormatting>
  <conditionalFormatting sqref="J478">
    <cfRule type="cellIs" operator="equal" dxfId="3492" priority="3492">
      <formula>"R$"</formula>
    </cfRule>
  </conditionalFormatting>
  <conditionalFormatting sqref="U478">
    <cfRule type="cellIs" operator="equal" dxfId="3493" priority="3493">
      <formula>"Novo"</formula>
    </cfRule>
  </conditionalFormatting>
  <conditionalFormatting sqref="W478">
    <cfRule type="cellIs" operator="equal" dxfId="3494" priority="3494">
      <formula>"Mercado Envios grátis"</formula>
    </cfRule>
  </conditionalFormatting>
  <conditionalFormatting sqref="X478">
    <cfRule type="cellIs" operator="equal" dxfId="3495" priority="3495">
      <formula>"Não aceito"</formula>
    </cfRule>
  </conditionalFormatting>
  <conditionalFormatting sqref="Y478">
    <cfRule type="cellIs" operator="equal" dxfId="3496" priority="3496">
      <formula>"Premium"</formula>
    </cfRule>
  </conditionalFormatting>
  <conditionalFormatting sqref="AA478">
    <cfRule type="cellIs" operator="equal" dxfId="3497" priority="3497">
      <formula>"Inativo"</formula>
    </cfRule>
  </conditionalFormatting>
  <conditionalFormatting sqref="AB478">
    <cfRule type="cellIs" operator="equal" dxfId="3498" priority="3498">
      <formula>"Garantia de fábrica"</formula>
    </cfRule>
  </conditionalFormatting>
  <conditionalFormatting sqref="AD478">
    <cfRule type="cellIs" operator="equal" dxfId="3499" priority="3499">
      <formula>"dias"</formula>
    </cfRule>
  </conditionalFormatting>
  <conditionalFormatting sqref="J479">
    <cfRule type="cellIs" operator="equal" dxfId="3500" priority="3500">
      <formula>"R$"</formula>
    </cfRule>
  </conditionalFormatting>
  <conditionalFormatting sqref="U479">
    <cfRule type="cellIs" operator="equal" dxfId="3501" priority="3501">
      <formula>"Novo"</formula>
    </cfRule>
  </conditionalFormatting>
  <conditionalFormatting sqref="W479">
    <cfRule type="cellIs" operator="equal" dxfId="3502" priority="3502">
      <formula>"Mercado Envios grátis"</formula>
    </cfRule>
  </conditionalFormatting>
  <conditionalFormatting sqref="X479">
    <cfRule type="cellIs" operator="equal" dxfId="3503" priority="3503">
      <formula>"Aceita"</formula>
    </cfRule>
  </conditionalFormatting>
  <conditionalFormatting sqref="Y479">
    <cfRule type="cellIs" operator="equal" dxfId="3504" priority="3504">
      <formula>"Clássico"</formula>
    </cfRule>
  </conditionalFormatting>
  <conditionalFormatting sqref="AA479">
    <cfRule type="cellIs" operator="equal" dxfId="3505" priority="3505">
      <formula>"Inativo"</formula>
    </cfRule>
  </conditionalFormatting>
  <conditionalFormatting sqref="AB479">
    <cfRule type="cellIs" operator="equal" dxfId="3506" priority="3506">
      <formula>"Garantia do vendedor"</formula>
    </cfRule>
  </conditionalFormatting>
  <conditionalFormatting sqref="AD479">
    <cfRule type="cellIs" operator="equal" dxfId="3507" priority="3507">
      <formula>"dias"</formula>
    </cfRule>
  </conditionalFormatting>
  <conditionalFormatting sqref="J480">
    <cfRule type="cellIs" operator="equal" dxfId="3508" priority="3508">
      <formula>"R$"</formula>
    </cfRule>
  </conditionalFormatting>
  <conditionalFormatting sqref="U480">
    <cfRule type="cellIs" operator="equal" dxfId="3509" priority="3509">
      <formula>"Novo"</formula>
    </cfRule>
  </conditionalFormatting>
  <conditionalFormatting sqref="W480">
    <cfRule type="cellIs" operator="equal" dxfId="3510" priority="3510">
      <formula>"Mercado Envios grátis"</formula>
    </cfRule>
  </conditionalFormatting>
  <conditionalFormatting sqref="X480">
    <cfRule type="cellIs" operator="equal" dxfId="3511" priority="3511">
      <formula>"Aceita"</formula>
    </cfRule>
  </conditionalFormatting>
  <conditionalFormatting sqref="Y480">
    <cfRule type="cellIs" operator="equal" dxfId="3512" priority="3512">
      <formula>"Clássico"</formula>
    </cfRule>
  </conditionalFormatting>
  <conditionalFormatting sqref="AA480">
    <cfRule type="cellIs" operator="equal" dxfId="3513" priority="3513">
      <formula>"Inativo"</formula>
    </cfRule>
  </conditionalFormatting>
  <conditionalFormatting sqref="AB480">
    <cfRule type="cellIs" operator="equal" dxfId="3514" priority="3514">
      <formula>"Garantia do vendedor"</formula>
    </cfRule>
  </conditionalFormatting>
  <conditionalFormatting sqref="AD480">
    <cfRule type="cellIs" operator="equal" dxfId="3515" priority="3515">
      <formula>"dias"</formula>
    </cfRule>
  </conditionalFormatting>
  <conditionalFormatting sqref="J481">
    <cfRule type="cellIs" operator="equal" dxfId="3516" priority="3516">
      <formula>"R$"</formula>
    </cfRule>
  </conditionalFormatting>
  <conditionalFormatting sqref="U481">
    <cfRule type="cellIs" operator="equal" dxfId="3517" priority="3517">
      <formula>"Novo"</formula>
    </cfRule>
  </conditionalFormatting>
  <conditionalFormatting sqref="W481">
    <cfRule type="cellIs" operator="equal" dxfId="3518" priority="3518">
      <formula>"Mercado Envios por conta do comprador"</formula>
    </cfRule>
  </conditionalFormatting>
  <conditionalFormatting sqref="X481">
    <cfRule type="cellIs" operator="equal" dxfId="3519" priority="3519">
      <formula>"Aceita"</formula>
    </cfRule>
  </conditionalFormatting>
  <conditionalFormatting sqref="Y481">
    <cfRule type="cellIs" operator="equal" dxfId="3520" priority="3520">
      <formula>"Premium"</formula>
    </cfRule>
  </conditionalFormatting>
  <conditionalFormatting sqref="AA481">
    <cfRule type="cellIs" operator="equal" dxfId="3521" priority="3521">
      <formula>"Inativo"</formula>
    </cfRule>
  </conditionalFormatting>
  <conditionalFormatting sqref="AB481">
    <cfRule type="cellIs" operator="equal" dxfId="3522" priority="3522">
      <formula>"Garantia do vendedor"</formula>
    </cfRule>
  </conditionalFormatting>
  <conditionalFormatting sqref="AD481">
    <cfRule type="cellIs" operator="equal" dxfId="3523" priority="3523">
      <formula>"dias"</formula>
    </cfRule>
  </conditionalFormatting>
  <conditionalFormatting sqref="J482">
    <cfRule type="cellIs" operator="equal" dxfId="3524" priority="3524">
      <formula>"R$"</formula>
    </cfRule>
  </conditionalFormatting>
  <conditionalFormatting sqref="U482">
    <cfRule type="cellIs" operator="equal" dxfId="3525" priority="3525">
      <formula>"Novo"</formula>
    </cfRule>
  </conditionalFormatting>
  <conditionalFormatting sqref="W482">
    <cfRule type="cellIs" operator="equal" dxfId="3526" priority="3526">
      <formula>"Mercado Envios grátis"</formula>
    </cfRule>
  </conditionalFormatting>
  <conditionalFormatting sqref="X482">
    <cfRule type="cellIs" operator="equal" dxfId="3527" priority="3527">
      <formula>"Aceita"</formula>
    </cfRule>
  </conditionalFormatting>
  <conditionalFormatting sqref="Y482">
    <cfRule type="cellIs" operator="equal" dxfId="3528" priority="3528">
      <formula>"Premium"</formula>
    </cfRule>
  </conditionalFormatting>
  <conditionalFormatting sqref="AA482">
    <cfRule type="cellIs" operator="equal" dxfId="3529" priority="3529">
      <formula>"Inativo"</formula>
    </cfRule>
  </conditionalFormatting>
  <conditionalFormatting sqref="AB482">
    <cfRule type="cellIs" operator="equal" dxfId="3530" priority="3530">
      <formula>"Garantia do vendedor"</formula>
    </cfRule>
  </conditionalFormatting>
  <conditionalFormatting sqref="AD482">
    <cfRule type="cellIs" operator="equal" dxfId="3531" priority="3531">
      <formula>"dias"</formula>
    </cfRule>
  </conditionalFormatting>
  <conditionalFormatting sqref="J483">
    <cfRule type="cellIs" operator="equal" dxfId="3532" priority="3532">
      <formula>"R$"</formula>
    </cfRule>
  </conditionalFormatting>
  <conditionalFormatting sqref="U483">
    <cfRule type="cellIs" operator="equal" dxfId="3533" priority="3533">
      <formula>"Novo"</formula>
    </cfRule>
  </conditionalFormatting>
  <conditionalFormatting sqref="W483">
    <cfRule type="cellIs" operator="equal" dxfId="3534" priority="3534">
      <formula>"Mercado Envios por conta do comprador"</formula>
    </cfRule>
  </conditionalFormatting>
  <conditionalFormatting sqref="X483">
    <cfRule type="cellIs" operator="equal" dxfId="3535" priority="3535">
      <formula>"Não aceito"</formula>
    </cfRule>
  </conditionalFormatting>
  <conditionalFormatting sqref="Y483">
    <cfRule type="cellIs" operator="equal" dxfId="3536" priority="3536">
      <formula>"Premium"</formula>
    </cfRule>
  </conditionalFormatting>
  <conditionalFormatting sqref="AA483">
    <cfRule type="cellIs" operator="equal" dxfId="3537" priority="3537">
      <formula>"Inativo"</formula>
    </cfRule>
  </conditionalFormatting>
  <conditionalFormatting sqref="AB483">
    <cfRule type="cellIs" operator="equal" dxfId="3538" priority="3538">
      <formula>"Garantia do vendedor"</formula>
    </cfRule>
  </conditionalFormatting>
  <conditionalFormatting sqref="AD483">
    <cfRule type="cellIs" operator="equal" dxfId="3539" priority="3539">
      <formula>"dias"</formula>
    </cfRule>
  </conditionalFormatting>
  <conditionalFormatting sqref="J484">
    <cfRule type="cellIs" operator="equal" dxfId="3540" priority="3540">
      <formula>"R$"</formula>
    </cfRule>
  </conditionalFormatting>
  <conditionalFormatting sqref="U484">
    <cfRule type="cellIs" operator="equal" dxfId="3541" priority="3541">
      <formula>"Novo"</formula>
    </cfRule>
  </conditionalFormatting>
  <conditionalFormatting sqref="W484">
    <cfRule type="cellIs" operator="equal" dxfId="3542" priority="3542">
      <formula>"Mercado Envios grátis"</formula>
    </cfRule>
  </conditionalFormatting>
  <conditionalFormatting sqref="X484">
    <cfRule type="cellIs" operator="equal" dxfId="3543" priority="3543">
      <formula>"Não aceito"</formula>
    </cfRule>
  </conditionalFormatting>
  <conditionalFormatting sqref="Y484">
    <cfRule type="cellIs" operator="equal" dxfId="3544" priority="3544">
      <formula>"Clássico"</formula>
    </cfRule>
  </conditionalFormatting>
  <conditionalFormatting sqref="AA484">
    <cfRule type="cellIs" operator="equal" dxfId="3545" priority="3545">
      <formula>"Inativo"</formula>
    </cfRule>
  </conditionalFormatting>
  <conditionalFormatting sqref="AB484">
    <cfRule type="cellIs" operator="equal" dxfId="3546" priority="3546">
      <formula>"Sem garantia"</formula>
    </cfRule>
  </conditionalFormatting>
  <conditionalFormatting sqref="AD484">
    <cfRule type="cellIs" operator="equal" dxfId="3547" priority="3547">
      <formula>""</formula>
    </cfRule>
  </conditionalFormatting>
  <conditionalFormatting sqref="J485">
    <cfRule type="cellIs" operator="equal" dxfId="3548" priority="3548">
      <formula>"R$"</formula>
    </cfRule>
  </conditionalFormatting>
  <conditionalFormatting sqref="U485">
    <cfRule type="cellIs" operator="equal" dxfId="3549" priority="3549">
      <formula>"Novo"</formula>
    </cfRule>
  </conditionalFormatting>
  <conditionalFormatting sqref="W485">
    <cfRule type="cellIs" operator="equal" dxfId="3550" priority="3550">
      <formula>"Mercado Envios por conta do comprador"</formula>
    </cfRule>
  </conditionalFormatting>
  <conditionalFormatting sqref="X485">
    <cfRule type="cellIs" operator="equal" dxfId="3551" priority="3551">
      <formula>"Não aceito"</formula>
    </cfRule>
  </conditionalFormatting>
  <conditionalFormatting sqref="Y485">
    <cfRule type="cellIs" operator="equal" dxfId="3552" priority="3552">
      <formula>"Clássico"</formula>
    </cfRule>
  </conditionalFormatting>
  <conditionalFormatting sqref="AA485">
    <cfRule type="cellIs" operator="equal" dxfId="3553" priority="3553">
      <formula>"Inativo"</formula>
    </cfRule>
  </conditionalFormatting>
  <conditionalFormatting sqref="AB485">
    <cfRule type="cellIs" operator="equal" dxfId="3554" priority="3554">
      <formula>"Garantia do vendedor"</formula>
    </cfRule>
  </conditionalFormatting>
  <conditionalFormatting sqref="AD485">
    <cfRule type="cellIs" operator="equal" dxfId="3555" priority="3555">
      <formula>"dias"</formula>
    </cfRule>
  </conditionalFormatting>
  <conditionalFormatting sqref="J486">
    <cfRule type="cellIs" operator="equal" dxfId="3556" priority="3556">
      <formula>"R$"</formula>
    </cfRule>
  </conditionalFormatting>
  <conditionalFormatting sqref="U486">
    <cfRule type="cellIs" operator="equal" dxfId="3557" priority="3557">
      <formula>"Novo"</formula>
    </cfRule>
  </conditionalFormatting>
  <conditionalFormatting sqref="W486">
    <cfRule type="cellIs" operator="equal" dxfId="3558" priority="3558">
      <formula>"Mercado Envios por conta do comprador"</formula>
    </cfRule>
  </conditionalFormatting>
  <conditionalFormatting sqref="X486">
    <cfRule type="cellIs" operator="equal" dxfId="3559" priority="3559">
      <formula>"Não aceito"</formula>
    </cfRule>
  </conditionalFormatting>
  <conditionalFormatting sqref="Y486">
    <cfRule type="cellIs" operator="equal" dxfId="3560" priority="3560">
      <formula>"Clássico"</formula>
    </cfRule>
  </conditionalFormatting>
  <conditionalFormatting sqref="AA486">
    <cfRule type="cellIs" operator="equal" dxfId="3561" priority="3561">
      <formula>"Inativo"</formula>
    </cfRule>
  </conditionalFormatting>
  <conditionalFormatting sqref="AB486">
    <cfRule type="cellIs" operator="equal" dxfId="3562" priority="3562">
      <formula>"Garantia do vendedor"</formula>
    </cfRule>
  </conditionalFormatting>
  <conditionalFormatting sqref="AD486">
    <cfRule type="cellIs" operator="equal" dxfId="3563" priority="3563">
      <formula>"dias"</formula>
    </cfRule>
  </conditionalFormatting>
  <conditionalFormatting sqref="J487">
    <cfRule type="cellIs" operator="equal" dxfId="3564" priority="3564">
      <formula>"R$"</formula>
    </cfRule>
  </conditionalFormatting>
  <conditionalFormatting sqref="U487">
    <cfRule type="cellIs" operator="equal" dxfId="3565" priority="3565">
      <formula>"Novo"</formula>
    </cfRule>
  </conditionalFormatting>
  <conditionalFormatting sqref="W487">
    <cfRule type="cellIs" operator="equal" dxfId="3566" priority="3566">
      <formula>"Mercado Envios por conta do comprador"</formula>
    </cfRule>
  </conditionalFormatting>
  <conditionalFormatting sqref="X487">
    <cfRule type="cellIs" operator="equal" dxfId="3567" priority="3567">
      <formula>"Não aceito"</formula>
    </cfRule>
  </conditionalFormatting>
  <conditionalFormatting sqref="Y487">
    <cfRule type="cellIs" operator="equal" dxfId="3568" priority="3568">
      <formula>"Clássico"</formula>
    </cfRule>
  </conditionalFormatting>
  <conditionalFormatting sqref="AA487">
    <cfRule type="cellIs" operator="equal" dxfId="3569" priority="3569">
      <formula>"Inativo"</formula>
    </cfRule>
  </conditionalFormatting>
  <conditionalFormatting sqref="AB487">
    <cfRule type="cellIs" operator="equal" dxfId="3570" priority="3570">
      <formula>"Garantia do vendedor"</formula>
    </cfRule>
  </conditionalFormatting>
  <conditionalFormatting sqref="AD487">
    <cfRule type="cellIs" operator="equal" dxfId="3571" priority="3571">
      <formula>"dias"</formula>
    </cfRule>
  </conditionalFormatting>
  <conditionalFormatting sqref="J488">
    <cfRule type="cellIs" operator="equal" dxfId="3572" priority="3572">
      <formula>"R$"</formula>
    </cfRule>
  </conditionalFormatting>
  <conditionalFormatting sqref="U488">
    <cfRule type="cellIs" operator="equal" dxfId="3573" priority="3573">
      <formula>"Novo"</formula>
    </cfRule>
  </conditionalFormatting>
  <conditionalFormatting sqref="W488">
    <cfRule type="cellIs" operator="equal" dxfId="3574" priority="3574">
      <formula>"Mercado Envios grátis"</formula>
    </cfRule>
  </conditionalFormatting>
  <conditionalFormatting sqref="X488">
    <cfRule type="cellIs" operator="equal" dxfId="3575" priority="3575">
      <formula>"Aceita"</formula>
    </cfRule>
  </conditionalFormatting>
  <conditionalFormatting sqref="Y488">
    <cfRule type="cellIs" operator="equal" dxfId="3576" priority="3576">
      <formula>"Clássico"</formula>
    </cfRule>
  </conditionalFormatting>
  <conditionalFormatting sqref="AA488">
    <cfRule type="cellIs" operator="equal" dxfId="3577" priority="3577">
      <formula>"Inativo"</formula>
    </cfRule>
  </conditionalFormatting>
  <conditionalFormatting sqref="AB488">
    <cfRule type="cellIs" operator="equal" dxfId="3578" priority="3578">
      <formula>"Garantia do vendedor"</formula>
    </cfRule>
  </conditionalFormatting>
  <conditionalFormatting sqref="AD488">
    <cfRule type="cellIs" operator="equal" dxfId="3579" priority="3579">
      <formula>"dias"</formula>
    </cfRule>
  </conditionalFormatting>
  <conditionalFormatting sqref="J489">
    <cfRule type="cellIs" operator="equal" dxfId="3580" priority="3580">
      <formula>"R$"</formula>
    </cfRule>
  </conditionalFormatting>
  <conditionalFormatting sqref="U489">
    <cfRule type="cellIs" operator="equal" dxfId="3581" priority="3581">
      <formula>"Novo"</formula>
    </cfRule>
  </conditionalFormatting>
  <conditionalFormatting sqref="W489">
    <cfRule type="cellIs" operator="equal" dxfId="3582" priority="3582">
      <formula>"Mercado Envios grátis"</formula>
    </cfRule>
  </conditionalFormatting>
  <conditionalFormatting sqref="X489">
    <cfRule type="cellIs" operator="equal" dxfId="3583" priority="3583">
      <formula>"Aceita"</formula>
    </cfRule>
  </conditionalFormatting>
  <conditionalFormatting sqref="Y489">
    <cfRule type="cellIs" operator="equal" dxfId="3584" priority="3584">
      <formula>"Clássico"</formula>
    </cfRule>
  </conditionalFormatting>
  <conditionalFormatting sqref="AA489">
    <cfRule type="cellIs" operator="equal" dxfId="3585" priority="3585">
      <formula>"Inativo"</formula>
    </cfRule>
  </conditionalFormatting>
  <conditionalFormatting sqref="AB489">
    <cfRule type="cellIs" operator="equal" dxfId="3586" priority="3586">
      <formula>"Garantia do vendedor"</formula>
    </cfRule>
  </conditionalFormatting>
  <conditionalFormatting sqref="AD489">
    <cfRule type="cellIs" operator="equal" dxfId="3587" priority="3587">
      <formula>"dias"</formula>
    </cfRule>
  </conditionalFormatting>
  <conditionalFormatting sqref="J490">
    <cfRule type="cellIs" operator="equal" dxfId="3588" priority="3588">
      <formula>"R$"</formula>
    </cfRule>
  </conditionalFormatting>
  <conditionalFormatting sqref="U490">
    <cfRule type="cellIs" operator="equal" dxfId="3589" priority="3589">
      <formula>"Novo"</formula>
    </cfRule>
  </conditionalFormatting>
  <conditionalFormatting sqref="W490">
    <cfRule type="cellIs" operator="equal" dxfId="3590" priority="3590">
      <formula>"Mercado Envios por conta do comprador"</formula>
    </cfRule>
  </conditionalFormatting>
  <conditionalFormatting sqref="X490">
    <cfRule type="cellIs" operator="equal" dxfId="3591" priority="3591">
      <formula>"Não aceito"</formula>
    </cfRule>
  </conditionalFormatting>
  <conditionalFormatting sqref="Y490">
    <cfRule type="cellIs" operator="equal" dxfId="3592" priority="3592">
      <formula>"Clássico"</formula>
    </cfRule>
  </conditionalFormatting>
  <conditionalFormatting sqref="AA490">
    <cfRule type="cellIs" operator="equal" dxfId="3593" priority="3593">
      <formula>"Inativo"</formula>
    </cfRule>
  </conditionalFormatting>
  <conditionalFormatting sqref="AB490">
    <cfRule type="cellIs" operator="equal" dxfId="3594" priority="3594">
      <formula>"Garantia de fábrica"</formula>
    </cfRule>
  </conditionalFormatting>
  <conditionalFormatting sqref="AD490">
    <cfRule type="cellIs" operator="equal" dxfId="3595" priority="3595">
      <formula>"dias"</formula>
    </cfRule>
  </conditionalFormatting>
  <conditionalFormatting sqref="J491">
    <cfRule type="cellIs" operator="equal" dxfId="3596" priority="3596">
      <formula>"R$"</formula>
    </cfRule>
  </conditionalFormatting>
  <conditionalFormatting sqref="U491">
    <cfRule type="cellIs" operator="equal" dxfId="3597" priority="3597">
      <formula>"Novo"</formula>
    </cfRule>
  </conditionalFormatting>
  <conditionalFormatting sqref="W491">
    <cfRule type="cellIs" operator="equal" dxfId="3598" priority="3598">
      <formula>"Mercado Envios por conta do comprador"</formula>
    </cfRule>
  </conditionalFormatting>
  <conditionalFormatting sqref="X491">
    <cfRule type="cellIs" operator="equal" dxfId="3599" priority="3599">
      <formula>"Não aceito"</formula>
    </cfRule>
  </conditionalFormatting>
  <conditionalFormatting sqref="Y491">
    <cfRule type="cellIs" operator="equal" dxfId="3600" priority="3600">
      <formula>"Clássico"</formula>
    </cfRule>
  </conditionalFormatting>
  <conditionalFormatting sqref="AA491">
    <cfRule type="cellIs" operator="equal" dxfId="3601" priority="3601">
      <formula>"Inativo"</formula>
    </cfRule>
  </conditionalFormatting>
  <conditionalFormatting sqref="AB491">
    <cfRule type="cellIs" operator="equal" dxfId="3602" priority="3602">
      <formula>"Garantia de fábrica"</formula>
    </cfRule>
  </conditionalFormatting>
  <conditionalFormatting sqref="AD491">
    <cfRule type="cellIs" operator="equal" dxfId="3603" priority="3603">
      <formula>"dias"</formula>
    </cfRule>
  </conditionalFormatting>
  <conditionalFormatting sqref="J492">
    <cfRule type="cellIs" operator="equal" dxfId="3604" priority="3604">
      <formula>"R$"</formula>
    </cfRule>
  </conditionalFormatting>
  <conditionalFormatting sqref="U492">
    <cfRule type="cellIs" operator="equal" dxfId="3605" priority="3605">
      <formula>"Novo"</formula>
    </cfRule>
  </conditionalFormatting>
  <conditionalFormatting sqref="W492">
    <cfRule type="cellIs" operator="equal" dxfId="3606" priority="3606">
      <formula>"Mercado Envios por conta do comprador"</formula>
    </cfRule>
  </conditionalFormatting>
  <conditionalFormatting sqref="X492">
    <cfRule type="cellIs" operator="equal" dxfId="3607" priority="3607">
      <formula>"Não aceito"</formula>
    </cfRule>
  </conditionalFormatting>
  <conditionalFormatting sqref="Y492">
    <cfRule type="cellIs" operator="equal" dxfId="3608" priority="3608">
      <formula>"Clássico"</formula>
    </cfRule>
  </conditionalFormatting>
  <conditionalFormatting sqref="AA492">
    <cfRule type="cellIs" operator="equal" dxfId="3609" priority="3609">
      <formula>"Inativo"</formula>
    </cfRule>
  </conditionalFormatting>
  <conditionalFormatting sqref="AB492">
    <cfRule type="cellIs" operator="equal" dxfId="3610" priority="3610">
      <formula>"Garantia de fábrica"</formula>
    </cfRule>
  </conditionalFormatting>
  <conditionalFormatting sqref="AD492">
    <cfRule type="cellIs" operator="equal" dxfId="3611" priority="3611">
      <formula>"dias"</formula>
    </cfRule>
  </conditionalFormatting>
  <conditionalFormatting sqref="J493">
    <cfRule type="cellIs" operator="equal" dxfId="3612" priority="3612">
      <formula>"R$"</formula>
    </cfRule>
  </conditionalFormatting>
  <conditionalFormatting sqref="U493">
    <cfRule type="cellIs" operator="equal" dxfId="3613" priority="3613">
      <formula>"Novo"</formula>
    </cfRule>
  </conditionalFormatting>
  <conditionalFormatting sqref="W493">
    <cfRule type="cellIs" operator="equal" dxfId="3614" priority="3614">
      <formula>"Mercado Envios grátis"</formula>
    </cfRule>
  </conditionalFormatting>
  <conditionalFormatting sqref="X493">
    <cfRule type="cellIs" operator="equal" dxfId="3615" priority="3615">
      <formula>"Aceita"</formula>
    </cfRule>
  </conditionalFormatting>
  <conditionalFormatting sqref="Y493">
    <cfRule type="cellIs" operator="equal" dxfId="3616" priority="3616">
      <formula>"Premium"</formula>
    </cfRule>
  </conditionalFormatting>
  <conditionalFormatting sqref="AA493">
    <cfRule type="cellIs" operator="equal" dxfId="3617" priority="3617">
      <formula>"Inativo"</formula>
    </cfRule>
  </conditionalFormatting>
  <conditionalFormatting sqref="AB493">
    <cfRule type="cellIs" operator="equal" dxfId="3618" priority="3618">
      <formula>"Garantia do vendedor"</formula>
    </cfRule>
  </conditionalFormatting>
  <conditionalFormatting sqref="AD493">
    <cfRule type="cellIs" operator="equal" dxfId="3619" priority="3619">
      <formula>"dias"</formula>
    </cfRule>
  </conditionalFormatting>
  <conditionalFormatting sqref="J494">
    <cfRule type="cellIs" operator="equal" dxfId="3620" priority="3620">
      <formula>"R$"</formula>
    </cfRule>
  </conditionalFormatting>
  <conditionalFormatting sqref="U494">
    <cfRule type="cellIs" operator="equal" dxfId="3621" priority="3621">
      <formula>"Novo"</formula>
    </cfRule>
  </conditionalFormatting>
  <conditionalFormatting sqref="W494">
    <cfRule type="cellIs" operator="equal" dxfId="3622" priority="3622">
      <formula>"Mercado Envios grátis"</formula>
    </cfRule>
  </conditionalFormatting>
  <conditionalFormatting sqref="X494">
    <cfRule type="cellIs" operator="equal" dxfId="3623" priority="3623">
      <formula>"Aceita"</formula>
    </cfRule>
  </conditionalFormatting>
  <conditionalFormatting sqref="Y494">
    <cfRule type="cellIs" operator="equal" dxfId="3624" priority="3624">
      <formula>"Premium"</formula>
    </cfRule>
  </conditionalFormatting>
  <conditionalFormatting sqref="AA494">
    <cfRule type="cellIs" operator="equal" dxfId="3625" priority="3625">
      <formula>"Inativo"</formula>
    </cfRule>
  </conditionalFormatting>
  <conditionalFormatting sqref="AB494">
    <cfRule type="cellIs" operator="equal" dxfId="3626" priority="3626">
      <formula>"Garantia do vendedor"</formula>
    </cfRule>
  </conditionalFormatting>
  <conditionalFormatting sqref="AD494">
    <cfRule type="cellIs" operator="equal" dxfId="3627" priority="3627">
      <formula>"dias"</formula>
    </cfRule>
  </conditionalFormatting>
  <conditionalFormatting sqref="J495">
    <cfRule type="cellIs" operator="equal" dxfId="3628" priority="3628">
      <formula>"R$"</formula>
    </cfRule>
  </conditionalFormatting>
  <conditionalFormatting sqref="U495">
    <cfRule type="cellIs" operator="equal" dxfId="3629" priority="3629">
      <formula>"Novo"</formula>
    </cfRule>
  </conditionalFormatting>
  <conditionalFormatting sqref="W495">
    <cfRule type="cellIs" operator="equal" dxfId="3630" priority="3630">
      <formula>"Mercado Envios grátis"</formula>
    </cfRule>
  </conditionalFormatting>
  <conditionalFormatting sqref="X495">
    <cfRule type="cellIs" operator="equal" dxfId="3631" priority="3631">
      <formula>"Aceita"</formula>
    </cfRule>
  </conditionalFormatting>
  <conditionalFormatting sqref="Y495">
    <cfRule type="cellIs" operator="equal" dxfId="3632" priority="3632">
      <formula>"Premium"</formula>
    </cfRule>
  </conditionalFormatting>
  <conditionalFormatting sqref="AA495">
    <cfRule type="cellIs" operator="equal" dxfId="3633" priority="3633">
      <formula>"Inativo"</formula>
    </cfRule>
  </conditionalFormatting>
  <conditionalFormatting sqref="AB495">
    <cfRule type="cellIs" operator="equal" dxfId="3634" priority="3634">
      <formula>"Garantia do vendedor"</formula>
    </cfRule>
  </conditionalFormatting>
  <conditionalFormatting sqref="AD495">
    <cfRule type="cellIs" operator="equal" dxfId="3635" priority="3635">
      <formula>"dias"</formula>
    </cfRule>
  </conditionalFormatting>
  <conditionalFormatting sqref="J496">
    <cfRule type="cellIs" operator="equal" dxfId="3636" priority="3636">
      <formula>"R$"</formula>
    </cfRule>
  </conditionalFormatting>
  <conditionalFormatting sqref="U496">
    <cfRule type="cellIs" operator="equal" dxfId="3637" priority="3637">
      <formula>"Novo"</formula>
    </cfRule>
  </conditionalFormatting>
  <conditionalFormatting sqref="W496">
    <cfRule type="cellIs" operator="equal" dxfId="3638" priority="3638">
      <formula>"Mercado Envios grátis"</formula>
    </cfRule>
  </conditionalFormatting>
  <conditionalFormatting sqref="X496">
    <cfRule type="cellIs" operator="equal" dxfId="3639" priority="3639">
      <formula>"Aceita"</formula>
    </cfRule>
  </conditionalFormatting>
  <conditionalFormatting sqref="Y496">
    <cfRule type="cellIs" operator="equal" dxfId="3640" priority="3640">
      <formula>"Premium"</formula>
    </cfRule>
  </conditionalFormatting>
  <conditionalFormatting sqref="AA496">
    <cfRule type="cellIs" operator="equal" dxfId="3641" priority="3641">
      <formula>"Inativo"</formula>
    </cfRule>
  </conditionalFormatting>
  <conditionalFormatting sqref="AB496">
    <cfRule type="cellIs" operator="equal" dxfId="3642" priority="3642">
      <formula>"Garantia do vendedor"</formula>
    </cfRule>
  </conditionalFormatting>
  <conditionalFormatting sqref="AD496">
    <cfRule type="cellIs" operator="equal" dxfId="3643" priority="3643">
      <formula>"dias"</formula>
    </cfRule>
  </conditionalFormatting>
  <conditionalFormatting sqref="J497">
    <cfRule type="cellIs" operator="equal" dxfId="3644" priority="3644">
      <formula>"R$"</formula>
    </cfRule>
  </conditionalFormatting>
  <conditionalFormatting sqref="U497">
    <cfRule type="cellIs" operator="equal" dxfId="3645" priority="3645">
      <formula>"Novo"</formula>
    </cfRule>
  </conditionalFormatting>
  <conditionalFormatting sqref="W497">
    <cfRule type="cellIs" operator="equal" dxfId="3646" priority="3646">
      <formula>"Mercado Envios grátis"</formula>
    </cfRule>
  </conditionalFormatting>
  <conditionalFormatting sqref="X497">
    <cfRule type="cellIs" operator="equal" dxfId="3647" priority="3647">
      <formula>"Aceita"</formula>
    </cfRule>
  </conditionalFormatting>
  <conditionalFormatting sqref="Y497">
    <cfRule type="cellIs" operator="equal" dxfId="3648" priority="3648">
      <formula>"Premium"</formula>
    </cfRule>
  </conditionalFormatting>
  <conditionalFormatting sqref="AA497">
    <cfRule type="cellIs" operator="equal" dxfId="3649" priority="3649">
      <formula>"Inativo"</formula>
    </cfRule>
  </conditionalFormatting>
  <conditionalFormatting sqref="AB497">
    <cfRule type="cellIs" operator="equal" dxfId="3650" priority="3650">
      <formula>"Garantia do vendedor"</formula>
    </cfRule>
  </conditionalFormatting>
  <conditionalFormatting sqref="AD497">
    <cfRule type="cellIs" operator="equal" dxfId="3651" priority="3651">
      <formula>"dias"</formula>
    </cfRule>
  </conditionalFormatting>
  <conditionalFormatting sqref="J498">
    <cfRule type="cellIs" operator="equal" dxfId="3652" priority="3652">
      <formula>"R$"</formula>
    </cfRule>
  </conditionalFormatting>
  <conditionalFormatting sqref="U498">
    <cfRule type="cellIs" operator="equal" dxfId="3653" priority="3653">
      <formula>"Novo"</formula>
    </cfRule>
  </conditionalFormatting>
  <conditionalFormatting sqref="W498">
    <cfRule type="cellIs" operator="equal" dxfId="3654" priority="3654">
      <formula>"Mercado Envios grátis"</formula>
    </cfRule>
  </conditionalFormatting>
  <conditionalFormatting sqref="X498">
    <cfRule type="cellIs" operator="equal" dxfId="3655" priority="3655">
      <formula>"Aceita"</formula>
    </cfRule>
  </conditionalFormatting>
  <conditionalFormatting sqref="Y498">
    <cfRule type="cellIs" operator="equal" dxfId="3656" priority="3656">
      <formula>"Premium"</formula>
    </cfRule>
  </conditionalFormatting>
  <conditionalFormatting sqref="AA498">
    <cfRule type="cellIs" operator="equal" dxfId="3657" priority="3657">
      <formula>"Inativo"</formula>
    </cfRule>
  </conditionalFormatting>
  <conditionalFormatting sqref="AB498">
    <cfRule type="cellIs" operator="equal" dxfId="3658" priority="3658">
      <formula>"Garantia do vendedor"</formula>
    </cfRule>
  </conditionalFormatting>
  <conditionalFormatting sqref="AD498">
    <cfRule type="cellIs" operator="equal" dxfId="3659" priority="3659">
      <formula>"dias"</formula>
    </cfRule>
  </conditionalFormatting>
  <conditionalFormatting sqref="J499">
    <cfRule type="cellIs" operator="equal" dxfId="3660" priority="3660">
      <formula>"R$"</formula>
    </cfRule>
  </conditionalFormatting>
  <conditionalFormatting sqref="U499">
    <cfRule type="cellIs" operator="equal" dxfId="3661" priority="3661">
      <formula>"Novo"</formula>
    </cfRule>
  </conditionalFormatting>
  <conditionalFormatting sqref="W499">
    <cfRule type="cellIs" operator="equal" dxfId="3662" priority="3662">
      <formula>"Mercado Envios grátis"</formula>
    </cfRule>
  </conditionalFormatting>
  <conditionalFormatting sqref="X499">
    <cfRule type="cellIs" operator="equal" dxfId="3663" priority="3663">
      <formula>"Aceita"</formula>
    </cfRule>
  </conditionalFormatting>
  <conditionalFormatting sqref="Y499">
    <cfRule type="cellIs" operator="equal" dxfId="3664" priority="3664">
      <formula>"Premium"</formula>
    </cfRule>
  </conditionalFormatting>
  <conditionalFormatting sqref="AA499">
    <cfRule type="cellIs" operator="equal" dxfId="3665" priority="3665">
      <formula>"Inativo"</formula>
    </cfRule>
  </conditionalFormatting>
  <conditionalFormatting sqref="AB499">
    <cfRule type="cellIs" operator="equal" dxfId="3666" priority="3666">
      <formula>"Garantia do vendedor"</formula>
    </cfRule>
  </conditionalFormatting>
  <conditionalFormatting sqref="AD499">
    <cfRule type="cellIs" operator="equal" dxfId="3667" priority="3667">
      <formula>"dias"</formula>
    </cfRule>
  </conditionalFormatting>
  <conditionalFormatting sqref="J500">
    <cfRule type="cellIs" operator="equal" dxfId="3668" priority="3668">
      <formula>"R$"</formula>
    </cfRule>
  </conditionalFormatting>
  <conditionalFormatting sqref="U500">
    <cfRule type="cellIs" operator="equal" dxfId="3669" priority="3669">
      <formula>"Novo"</formula>
    </cfRule>
  </conditionalFormatting>
  <conditionalFormatting sqref="W500">
    <cfRule type="cellIs" operator="equal" dxfId="3670" priority="3670">
      <formula>"Mercado Envios grátis"</formula>
    </cfRule>
  </conditionalFormatting>
  <conditionalFormatting sqref="X500">
    <cfRule type="cellIs" operator="equal" dxfId="3671" priority="3671">
      <formula>"Aceita"</formula>
    </cfRule>
  </conditionalFormatting>
  <conditionalFormatting sqref="Y500">
    <cfRule type="cellIs" operator="equal" dxfId="3672" priority="3672">
      <formula>"Premium"</formula>
    </cfRule>
  </conditionalFormatting>
  <conditionalFormatting sqref="AA500">
    <cfRule type="cellIs" operator="equal" dxfId="3673" priority="3673">
      <formula>"Inativo"</formula>
    </cfRule>
  </conditionalFormatting>
  <conditionalFormatting sqref="AB500">
    <cfRule type="cellIs" operator="equal" dxfId="3674" priority="3674">
      <formula>"Garantia do vendedor"</formula>
    </cfRule>
  </conditionalFormatting>
  <conditionalFormatting sqref="AD500">
    <cfRule type="cellIs" operator="equal" dxfId="3675" priority="3675">
      <formula>"dias"</formula>
    </cfRule>
  </conditionalFormatting>
  <dataValidations count="3675">
    <dataValidation type="list" sqref="J6" allowBlank="true" errorStyle="stop" showErrorMessage="true" showInputMessage="true">
      <formula1>"R$"</formula1>
    </dataValidation>
    <dataValidation type="list" sqref="W6" allowBlank="true" errorStyle="stop" showErrorMessage="true" showInputMessage="true">
      <formula1>"Mercado Envios por conta do comprador,Mercado Envios grátis"</formula1>
    </dataValidation>
    <dataValidation type="list" sqref="X6" allowBlank="true" errorStyle="stop" showErrorMessage="true" showInputMessage="true">
      <formula1>"Aceita,Não aceito"</formula1>
    </dataValidation>
    <dataValidation type="list" sqref="Y6" allowBlank="true" errorStyle="stop" showErrorMessage="true" showInputMessage="true">
      <formula1>"Clássico,Premium"</formula1>
    </dataValidation>
    <dataValidation type="list" sqref="AA6" allowBlank="true" errorStyle="stop" showErrorMessage="true" showInputMessage="true">
      <formula1>"Ativo,Inativo"</formula1>
    </dataValidation>
    <dataValidation type="list" sqref="AB6" allowBlank="true" errorStyle="stop" showErrorMessage="true" showInputMessage="true">
      <formula1>"Garantia do vendedor,Garantia de fábrica,Sem garantia"</formula1>
    </dataValidation>
    <dataValidation type="list" sqref="AD6" allowBlank="true" errorStyle="stop" showErrorMessage="true" showInputMessage="true">
      <formula1>"dias,meses,anos"</formula1>
    </dataValidation>
    <dataValidation type="list" sqref="J7" allowBlank="true" errorStyle="stop" showErrorMessage="true" showInputMessage="true">
      <formula1>"R$"</formula1>
    </dataValidation>
    <dataValidation type="list" sqref="U7" allowBlank="true" errorStyle="stop" showErrorMessage="true" showInputMessage="true">
      <formula1>"Usado,Novo"</formula1>
    </dataValidation>
    <dataValidation type="list" sqref="W7" allowBlank="true" errorStyle="stop" showErrorMessage="true" showInputMessage="true">
      <formula1>"Mercado Envios por conta do comprador,Mercado Envios grátis"</formula1>
    </dataValidation>
    <dataValidation type="list" sqref="X7" allowBlank="true" errorStyle="stop" showErrorMessage="true" showInputMessage="true">
      <formula1>"Aceita,Não aceito"</formula1>
    </dataValidation>
    <dataValidation type="list" sqref="Y7" allowBlank="true" errorStyle="stop" showErrorMessage="true" showInputMessage="true">
      <formula1>"Clássico,Premium"</formula1>
    </dataValidation>
    <dataValidation type="list" sqref="AA7" allowBlank="true" errorStyle="stop" showErrorMessage="true" showInputMessage="true">
      <formula1>"Ativo,Inativo"</formula1>
    </dataValidation>
    <dataValidation type="list" sqref="AB7" allowBlank="true" errorStyle="stop" showErrorMessage="true" showInputMessage="true">
      <formula1>"Garantia do vendedor,Garantia de fábrica,Sem garantia"</formula1>
    </dataValidation>
    <dataValidation type="list" sqref="AD7" allowBlank="true" errorStyle="stop" showErrorMessage="true" showInputMessage="true">
      <formula1>"dias,meses,anos"</formula1>
    </dataValidation>
    <dataValidation type="list" sqref="J8" allowBlank="true" errorStyle="stop" showErrorMessage="true" showInputMessage="true">
      <formula1>"R$"</formula1>
    </dataValidation>
    <dataValidation type="list" sqref="U8" allowBlank="true" errorStyle="stop" showErrorMessage="true" showInputMessage="true">
      <formula1>"Usado,Novo"</formula1>
    </dataValidation>
    <dataValidation type="list" sqref="W8" allowBlank="true" errorStyle="stop" showErrorMessage="true" showInputMessage="true">
      <formula1>"Mercado Envios por conta do comprador,Mercado Envios grátis"</formula1>
    </dataValidation>
    <dataValidation type="list" sqref="Y8" allowBlank="true" errorStyle="stop" showErrorMessage="true" showInputMessage="true">
      <formula1>"Clássico,Premium"</formula1>
    </dataValidation>
    <dataValidation type="list" sqref="AA8" allowBlank="true" errorStyle="stop" showErrorMessage="true" showInputMessage="true">
      <formula1>"Ativo,Inativo"</formula1>
    </dataValidation>
    <dataValidation type="list" sqref="AB8" allowBlank="true" errorStyle="stop" showErrorMessage="true" showInputMessage="true">
      <formula1>"Garantia do vendedor,Garantia de fábrica,Sem garantia"</formula1>
    </dataValidation>
    <dataValidation type="list" sqref="AD8" allowBlank="true" errorStyle="stop" showErrorMessage="true" showInputMessage="true">
      <formula1>"dias,meses,anos"</formula1>
    </dataValidation>
    <dataValidation type="list" sqref="J9" allowBlank="true" errorStyle="stop" showErrorMessage="true" showInputMessage="true">
      <formula1>"R$"</formula1>
    </dataValidation>
    <dataValidation type="list" sqref="U9" allowBlank="true" errorStyle="stop" showErrorMessage="true" showInputMessage="true">
      <formula1>"Usado,Novo"</formula1>
    </dataValidation>
    <dataValidation type="list" sqref="W9" allowBlank="true" errorStyle="stop" showErrorMessage="true" showInputMessage="true">
      <formula1>"Mercado Envios por conta do comprador,Mercado Envios grátis"</formula1>
    </dataValidation>
    <dataValidation type="list" sqref="X9" allowBlank="true" errorStyle="stop" showErrorMessage="true" showInputMessage="true">
      <formula1>"Aceita,Não aceito"</formula1>
    </dataValidation>
    <dataValidation type="list" sqref="Y9" allowBlank="true" errorStyle="stop" showErrorMessage="true" showInputMessage="true">
      <formula1>"Clássico,Premium"</formula1>
    </dataValidation>
    <dataValidation type="list" sqref="AA9" allowBlank="true" errorStyle="stop" showErrorMessage="true" showInputMessage="true">
      <formula1>"Ativo,Inativo"</formula1>
    </dataValidation>
    <dataValidation type="list" sqref="AB9" allowBlank="true" errorStyle="stop" showErrorMessage="true" showInputMessage="true">
      <formula1>"Garantia do vendedor,Garantia de fábrica,Sem garantia"</formula1>
    </dataValidation>
    <dataValidation type="list" sqref="AD9" allowBlank="true" errorStyle="stop" showErrorMessage="true" showInputMessage="true">
      <formula1>"dias,meses,anos"</formula1>
    </dataValidation>
    <dataValidation type="list" sqref="J10" allowBlank="true" errorStyle="stop" showErrorMessage="true" showInputMessage="true">
      <formula1>"R$"</formula1>
    </dataValidation>
    <dataValidation type="list" sqref="U10" allowBlank="true" errorStyle="stop" showErrorMessage="true" showInputMessage="true">
      <formula1>"Novo,Usado"</formula1>
    </dataValidation>
    <dataValidation type="list" sqref="W10" allowBlank="true" errorStyle="stop" showErrorMessage="true" showInputMessage="true">
      <formula1>"Mercado Envios por conta do comprador,Mercado Envios grátis"</formula1>
    </dataValidation>
    <dataValidation type="list" sqref="X10" allowBlank="true" errorStyle="stop" showErrorMessage="true" showInputMessage="true">
      <formula1>"Aceita,Não aceito"</formula1>
    </dataValidation>
    <dataValidation type="list" sqref="Y10" allowBlank="true" errorStyle="stop" showErrorMessage="true" showInputMessage="true">
      <formula1>"Clássico,Premium"</formula1>
    </dataValidation>
    <dataValidation type="list" sqref="AA10" allowBlank="true" errorStyle="stop" showErrorMessage="true" showInputMessage="true">
      <formula1>"Ativo,Inativo"</formula1>
    </dataValidation>
    <dataValidation type="list" sqref="AB10" allowBlank="true" errorStyle="stop" showErrorMessage="true" showInputMessage="true">
      <formula1>"Garantia do vendedor,Garantia de fábrica,Sem garantia"</formula1>
    </dataValidation>
    <dataValidation type="list" sqref="AD10" allowBlank="true" errorStyle="stop" showErrorMessage="true" showInputMessage="true">
      <formula1>"dias,meses,anos"</formula1>
    </dataValidation>
    <dataValidation type="list" sqref="J11" allowBlank="true" errorStyle="stop" showErrorMessage="true" showInputMessage="true">
      <formula1>"R$"</formula1>
    </dataValidation>
    <dataValidation type="list" sqref="U11" allowBlank="true" errorStyle="stop" showErrorMessage="true" showInputMessage="true">
      <formula1>"Usado,Novo"</formula1>
    </dataValidation>
    <dataValidation type="list" sqref="W11" allowBlank="true" errorStyle="stop" showErrorMessage="true" showInputMessage="true">
      <formula1>"Mercado Envios por conta do comprador,Mercado Envios grátis"</formula1>
    </dataValidation>
    <dataValidation type="list" sqref="X11" allowBlank="true" errorStyle="stop" showErrorMessage="true" showInputMessage="true">
      <formula1>"Aceita,Não aceito"</formula1>
    </dataValidation>
    <dataValidation type="list" sqref="Y11" allowBlank="true" errorStyle="stop" showErrorMessage="true" showInputMessage="true">
      <formula1>"Clássico,Premium"</formula1>
    </dataValidation>
    <dataValidation type="list" sqref="AA11" allowBlank="true" errorStyle="stop" showErrorMessage="true" showInputMessage="true">
      <formula1>"Ativo,Inativo"</formula1>
    </dataValidation>
    <dataValidation type="list" sqref="AB11" allowBlank="true" errorStyle="stop" showErrorMessage="true" showInputMessage="true">
      <formula1>"Garantia do vendedor,Garantia de fábrica,Sem garantia"</formula1>
    </dataValidation>
    <dataValidation type="list" sqref="AD11" allowBlank="true" errorStyle="stop" showErrorMessage="true" showInputMessage="true">
      <formula1>"dias,meses,anos"</formula1>
    </dataValidation>
    <dataValidation type="list" sqref="J12" allowBlank="true" errorStyle="stop" showErrorMessage="true" showInputMessage="true">
      <formula1>"R$"</formula1>
    </dataValidation>
    <dataValidation type="list" sqref="U12" allowBlank="true" errorStyle="stop" showErrorMessage="true" showInputMessage="true">
      <formula1>"Usado,Novo"</formula1>
    </dataValidation>
    <dataValidation type="list" sqref="W12" allowBlank="true" errorStyle="stop" showErrorMessage="true" showInputMessage="true">
      <formula1>"Mercado Envios por conta do comprador,Mercado Envios grátis"</formula1>
    </dataValidation>
    <dataValidation type="list" sqref="X12" allowBlank="true" errorStyle="stop" showErrorMessage="true" showInputMessage="true">
      <formula1>"Aceita,Não aceito"</formula1>
    </dataValidation>
    <dataValidation type="list" sqref="Y12" allowBlank="true" errorStyle="stop" showErrorMessage="true" showInputMessage="true">
      <formula1>"Clássico,Premium"</formula1>
    </dataValidation>
    <dataValidation type="list" sqref="AA12" allowBlank="true" errorStyle="stop" showErrorMessage="true" showInputMessage="true">
      <formula1>"Ativo,Inativo"</formula1>
    </dataValidation>
    <dataValidation type="list" sqref="AB12" allowBlank="true" errorStyle="stop" showErrorMessage="true" showInputMessage="true">
      <formula1>"Garantia do vendedor,Garantia de fábrica,Sem garantia"</formula1>
    </dataValidation>
    <dataValidation type="list" sqref="AD12" allowBlank="true" errorStyle="stop" showErrorMessage="true" showInputMessage="true">
      <formula1>"dias,meses,anos"</formula1>
    </dataValidation>
    <dataValidation type="list" sqref="J13" allowBlank="true" errorStyle="stop" showErrorMessage="true" showInputMessage="true">
      <formula1>"R$"</formula1>
    </dataValidation>
    <dataValidation type="list" sqref="U13" allowBlank="true" errorStyle="stop" showErrorMessage="true" showInputMessage="true">
      <formula1>"Novo,Usado"</formula1>
    </dataValidation>
    <dataValidation type="list" sqref="W13" allowBlank="true" errorStyle="stop" showErrorMessage="true" showInputMessage="true">
      <formula1>"Mercado Envios por conta do comprador,Mercado Envios grátis"</formula1>
    </dataValidation>
    <dataValidation type="list" sqref="X13" allowBlank="true" errorStyle="stop" showErrorMessage="true" showInputMessage="true">
      <formula1>"Aceita,Não aceito"</formula1>
    </dataValidation>
    <dataValidation type="list" sqref="Y13" allowBlank="true" errorStyle="stop" showErrorMessage="true" showInputMessage="true">
      <formula1>"Clássico,Premium"</formula1>
    </dataValidation>
    <dataValidation type="list" sqref="AA13" allowBlank="true" errorStyle="stop" showErrorMessage="true" showInputMessage="true">
      <formula1>"Ativo,Inativo"</formula1>
    </dataValidation>
    <dataValidation type="list" sqref="AB13" allowBlank="true" errorStyle="stop" showErrorMessage="true" showInputMessage="true">
      <formula1>"Garantia do vendedor,Garantia de fábrica,Sem garantia"</formula1>
    </dataValidation>
    <dataValidation type="list" sqref="AD13" allowBlank="true" errorStyle="stop" showErrorMessage="true" showInputMessage="true">
      <formula1>"dias,meses,anos"</formula1>
    </dataValidation>
    <dataValidation type="list" sqref="J14" allowBlank="true" errorStyle="stop" showErrorMessage="true" showInputMessage="true">
      <formula1>"R$"</formula1>
    </dataValidation>
    <dataValidation type="list" sqref="U14" allowBlank="true" errorStyle="stop" showErrorMessage="true" showInputMessage="true">
      <formula1>"Usado,Novo"</formula1>
    </dataValidation>
    <dataValidation type="list" sqref="W14" allowBlank="true" errorStyle="stop" showErrorMessage="true" showInputMessage="true">
      <formula1>"Mercado Envios por conta do comprador,Mercado Envios grátis"</formula1>
    </dataValidation>
    <dataValidation type="list" sqref="X14" allowBlank="true" errorStyle="stop" showErrorMessage="true" showInputMessage="true">
      <formula1>"Aceita,Não aceito"</formula1>
    </dataValidation>
    <dataValidation type="list" sqref="Y14" allowBlank="true" errorStyle="stop" showErrorMessage="true" showInputMessage="true">
      <formula1>"Clássico,Premium"</formula1>
    </dataValidation>
    <dataValidation type="list" sqref="AA14" allowBlank="true" errorStyle="stop" showErrorMessage="true" showInputMessage="true">
      <formula1>"Ativo,Inativo"</formula1>
    </dataValidation>
    <dataValidation type="list" sqref="AB14" allowBlank="true" errorStyle="stop" showErrorMessage="true" showInputMessage="true">
      <formula1>"Garantia do vendedor,Garantia de fábrica,Sem garantia"</formula1>
    </dataValidation>
    <dataValidation type="list" sqref="AD14" allowBlank="true" errorStyle="stop" showErrorMessage="true" showInputMessage="true">
      <formula1>"dias,meses,anos"</formula1>
    </dataValidation>
    <dataValidation type="list" sqref="J15" allowBlank="true" errorStyle="stop" showErrorMessage="true" showInputMessage="true">
      <formula1>"R$"</formula1>
    </dataValidation>
    <dataValidation type="list" sqref="U15" allowBlank="true" errorStyle="stop" showErrorMessage="true" showInputMessage="true">
      <formula1>"Novo,Usado"</formula1>
    </dataValidation>
    <dataValidation type="list" sqref="W15" allowBlank="true" errorStyle="stop" showErrorMessage="true" showInputMessage="true">
      <formula1>"Mercado Envios por conta do comprador,Mercado Envios grátis"</formula1>
    </dataValidation>
    <dataValidation type="list" sqref="X15" allowBlank="true" errorStyle="stop" showErrorMessage="true" showInputMessage="true">
      <formula1>"Aceita,Não aceito"</formula1>
    </dataValidation>
    <dataValidation type="list" sqref="Y15" allowBlank="true" errorStyle="stop" showErrorMessage="true" showInputMessage="true">
      <formula1>"Clássico,Premium"</formula1>
    </dataValidation>
    <dataValidation type="list" sqref="AA15" allowBlank="true" errorStyle="stop" showErrorMessage="true" showInputMessage="true">
      <formula1>"Ativo,Inativo"</formula1>
    </dataValidation>
    <dataValidation type="list" sqref="AB15" allowBlank="true" errorStyle="stop" showErrorMessage="true" showInputMessage="true">
      <formula1>"Garantia do vendedor,Garantia de fábrica,Sem garantia"</formula1>
    </dataValidation>
    <dataValidation type="list" sqref="AD15" allowBlank="true" errorStyle="stop" showErrorMessage="true" showInputMessage="true">
      <formula1>"dias,meses,anos"</formula1>
    </dataValidation>
    <dataValidation type="list" sqref="J16" allowBlank="true" errorStyle="stop" showErrorMessage="true" showInputMessage="true">
      <formula1>"R$"</formula1>
    </dataValidation>
    <dataValidation type="list" sqref="U16" allowBlank="true" errorStyle="stop" showErrorMessage="true" showInputMessage="true">
      <formula1>"Usado,Novo"</formula1>
    </dataValidation>
    <dataValidation type="list" sqref="W16" allowBlank="true" errorStyle="stop" showErrorMessage="true" showInputMessage="true">
      <formula1>"Mercado Envios por conta do comprador,Mercado Envios grátis"</formula1>
    </dataValidation>
    <dataValidation type="list" sqref="X16" allowBlank="true" errorStyle="stop" showErrorMessage="true" showInputMessage="true">
      <formula1>"Aceita,Não aceito"</formula1>
    </dataValidation>
    <dataValidation type="list" sqref="Y16" allowBlank="true" errorStyle="stop" showErrorMessage="true" showInputMessage="true">
      <formula1>"Clássico,Premium"</formula1>
    </dataValidation>
    <dataValidation type="list" sqref="AA16" allowBlank="true" errorStyle="stop" showErrorMessage="true" showInputMessage="true">
      <formula1>"Ativo,Inativo"</formula1>
    </dataValidation>
    <dataValidation type="list" sqref="AB16" allowBlank="true" errorStyle="stop" showErrorMessage="true" showInputMessage="true">
      <formula1>"Garantia do vendedor,Garantia de fábrica,Sem garantia"</formula1>
    </dataValidation>
    <dataValidation type="list" sqref="AD16" allowBlank="true" errorStyle="stop" showErrorMessage="true" showInputMessage="true">
      <formula1>"dias,meses,anos"</formula1>
    </dataValidation>
    <dataValidation type="list" sqref="J17" allowBlank="true" errorStyle="stop" showErrorMessage="true" showInputMessage="true">
      <formula1>"R$"</formula1>
    </dataValidation>
    <dataValidation type="list" sqref="U17" allowBlank="true" errorStyle="stop" showErrorMessage="true" showInputMessage="true">
      <formula1>"Usado,Novo"</formula1>
    </dataValidation>
    <dataValidation type="list" sqref="W17" allowBlank="true" errorStyle="stop" showErrorMessage="true" showInputMessage="true">
      <formula1>"Mercado Envios por conta do comprador,Mercado Envios grátis"</formula1>
    </dataValidation>
    <dataValidation type="list" sqref="X17" allowBlank="true" errorStyle="stop" showErrorMessage="true" showInputMessage="true">
      <formula1>"Aceita,Não aceito"</formula1>
    </dataValidation>
    <dataValidation type="list" sqref="Y17" allowBlank="true" errorStyle="stop" showErrorMessage="true" showInputMessage="true">
      <formula1>"Clássico,Premium"</formula1>
    </dataValidation>
    <dataValidation type="list" sqref="AA17" allowBlank="true" errorStyle="stop" showErrorMessage="true" showInputMessage="true">
      <formula1>"Ativo,Inativo"</formula1>
    </dataValidation>
    <dataValidation type="list" sqref="AB17" allowBlank="true" errorStyle="stop" showErrorMessage="true" showInputMessage="true">
      <formula1>"Garantia do vendedor,Garantia de fábrica,Sem garantia"</formula1>
    </dataValidation>
    <dataValidation type="list" sqref="AD17" allowBlank="true" errorStyle="stop" showErrorMessage="true" showInputMessage="true">
      <formula1>"dias,meses,anos"</formula1>
    </dataValidation>
    <dataValidation type="list" sqref="J18" allowBlank="true" errorStyle="stop" showErrorMessage="true" showInputMessage="true">
      <formula1>"R$"</formula1>
    </dataValidation>
    <dataValidation type="list" sqref="U18" allowBlank="true" errorStyle="stop" showErrorMessage="true" showInputMessage="true">
      <formula1>"Usado,Novo"</formula1>
    </dataValidation>
    <dataValidation type="list" sqref="W18" allowBlank="true" errorStyle="stop" showErrorMessage="true" showInputMessage="true">
      <formula1>"Mercado Envios por conta do comprador,Mercado Envios grátis"</formula1>
    </dataValidation>
    <dataValidation type="list" sqref="X18" allowBlank="true" errorStyle="stop" showErrorMessage="true" showInputMessage="true">
      <formula1>"Aceita,Não aceito"</formula1>
    </dataValidation>
    <dataValidation type="list" sqref="Y18" allowBlank="true" errorStyle="stop" showErrorMessage="true" showInputMessage="true">
      <formula1>"Clássico,Premium"</formula1>
    </dataValidation>
    <dataValidation type="list" sqref="AA18" allowBlank="true" errorStyle="stop" showErrorMessage="true" showInputMessage="true">
      <formula1>"Ativo,Inativo"</formula1>
    </dataValidation>
    <dataValidation type="list" sqref="AB18" allowBlank="true" errorStyle="stop" showErrorMessage="true" showInputMessage="true">
      <formula1>"Garantia do vendedor,Garantia de fábrica,Sem garantia"</formula1>
    </dataValidation>
    <dataValidation type="list" sqref="AD18" allowBlank="true" errorStyle="stop" showErrorMessage="true" showInputMessage="true">
      <formula1>"dias,meses,anos"</formula1>
    </dataValidation>
    <dataValidation type="list" sqref="J19" allowBlank="true" errorStyle="stop" showErrorMessage="true" showInputMessage="true">
      <formula1>"R$"</formula1>
    </dataValidation>
    <dataValidation type="list" sqref="U19" allowBlank="true" errorStyle="stop" showErrorMessage="true" showInputMessage="true">
      <formula1>"Novo,Usado"</formula1>
    </dataValidation>
    <dataValidation type="list" sqref="W19" allowBlank="true" errorStyle="stop" showErrorMessage="true" showInputMessage="true">
      <formula1>"Mercado Envios por conta do comprador,Mercado Envios grátis"</formula1>
    </dataValidation>
    <dataValidation type="list" sqref="X19" allowBlank="true" errorStyle="stop" showErrorMessage="true" showInputMessage="true">
      <formula1>"Aceita,Não aceito"</formula1>
    </dataValidation>
    <dataValidation type="list" sqref="Y19" allowBlank="true" errorStyle="stop" showErrorMessage="true" showInputMessage="true">
      <formula1>"Clássico,Premium"</formula1>
    </dataValidation>
    <dataValidation type="list" sqref="AA19" allowBlank="true" errorStyle="stop" showErrorMessage="true" showInputMessage="true">
      <formula1>"Ativo,Inativo"</formula1>
    </dataValidation>
    <dataValidation type="list" sqref="AB19" allowBlank="true" errorStyle="stop" showErrorMessage="true" showInputMessage="true">
      <formula1>"Garantia do vendedor,Garantia de fábrica,Sem garantia"</formula1>
    </dataValidation>
    <dataValidation type="list" sqref="AD19" allowBlank="true" errorStyle="stop" showErrorMessage="true" showInputMessage="true">
      <formula1>"dias,meses,anos"</formula1>
    </dataValidation>
    <dataValidation type="list" sqref="J20" allowBlank="true" errorStyle="stop" showErrorMessage="true" showInputMessage="true">
      <formula1>"R$"</formula1>
    </dataValidation>
    <dataValidation type="list" sqref="U20" allowBlank="true" errorStyle="stop" showErrorMessage="true" showInputMessage="true">
      <formula1>"Usado,Novo"</formula1>
    </dataValidation>
    <dataValidation type="list" sqref="W20" allowBlank="true" errorStyle="stop" showErrorMessage="true" showInputMessage="true">
      <formula1>"Mercado Envios por conta do comprador,Mercado Envios grátis"</formula1>
    </dataValidation>
    <dataValidation type="list" sqref="X20" allowBlank="true" errorStyle="stop" showErrorMessage="true" showInputMessage="true">
      <formula1>"Aceita,Não aceito"</formula1>
    </dataValidation>
    <dataValidation type="list" sqref="Y20" allowBlank="true" errorStyle="stop" showErrorMessage="true" showInputMessage="true">
      <formula1>"Clássico,Premium"</formula1>
    </dataValidation>
    <dataValidation type="list" sqref="AA20" allowBlank="true" errorStyle="stop" showErrorMessage="true" showInputMessage="true">
      <formula1>"Ativo,Inativo"</formula1>
    </dataValidation>
    <dataValidation type="list" sqref="AB20" allowBlank="true" errorStyle="stop" showErrorMessage="true" showInputMessage="true">
      <formula1>"Garantia do vendedor,Garantia de fábrica,Sem garantia"</formula1>
    </dataValidation>
    <dataValidation type="list" sqref="AD20" allowBlank="true" errorStyle="stop" showErrorMessage="true" showInputMessage="true">
      <formula1>"dias,meses,anos"</formula1>
    </dataValidation>
    <dataValidation type="list" sqref="J21" allowBlank="true" errorStyle="stop" showErrorMessage="true" showInputMessage="true">
      <formula1>"R$"</formula1>
    </dataValidation>
    <dataValidation type="list" sqref="U21" allowBlank="true" errorStyle="stop" showErrorMessage="true" showInputMessage="true">
      <formula1>"Usado,Novo"</formula1>
    </dataValidation>
    <dataValidation type="list" sqref="W21" allowBlank="true" errorStyle="stop" showErrorMessage="true" showInputMessage="true">
      <formula1>"Mercado Envios por conta do comprador,Mercado Envios grátis"</formula1>
    </dataValidation>
    <dataValidation type="list" sqref="X21" allowBlank="true" errorStyle="stop" showErrorMessage="true" showInputMessage="true">
      <formula1>"Aceita,Não aceito"</formula1>
    </dataValidation>
    <dataValidation type="list" sqref="Y21" allowBlank="true" errorStyle="stop" showErrorMessage="true" showInputMessage="true">
      <formula1>"Clássico,Premium"</formula1>
    </dataValidation>
    <dataValidation type="list" sqref="AA21" allowBlank="true" errorStyle="stop" showErrorMessage="true" showInputMessage="true">
      <formula1>"Ativo,Inativo"</formula1>
    </dataValidation>
    <dataValidation type="list" sqref="AB21" allowBlank="true" errorStyle="stop" showErrorMessage="true" showInputMessage="true">
      <formula1>"Garantia do vendedor,Garantia de fábrica,Sem garantia"</formula1>
    </dataValidation>
    <dataValidation type="list" sqref="AD21" allowBlank="true" errorStyle="stop" showErrorMessage="true" showInputMessage="true">
      <formula1>"dias,meses,anos"</formula1>
    </dataValidation>
    <dataValidation type="list" sqref="J22" allowBlank="true" errorStyle="stop" showErrorMessage="true" showInputMessage="true">
      <formula1>"R$"</formula1>
    </dataValidation>
    <dataValidation type="list" sqref="U22" allowBlank="true" errorStyle="stop" showErrorMessage="true" showInputMessage="true">
      <formula1>"Usado,Novo"</formula1>
    </dataValidation>
    <dataValidation type="list" sqref="W22" allowBlank="true" errorStyle="stop" showErrorMessage="true" showInputMessage="true">
      <formula1>"Mercado Envios por conta do comprador,Mercado Envios grátis"</formula1>
    </dataValidation>
    <dataValidation type="list" sqref="X22" allowBlank="true" errorStyle="stop" showErrorMessage="true" showInputMessage="true">
      <formula1>"Aceita,Não aceito"</formula1>
    </dataValidation>
    <dataValidation type="list" sqref="Y22" allowBlank="true" errorStyle="stop" showErrorMessage="true" showInputMessage="true">
      <formula1>"Clássico,Premium"</formula1>
    </dataValidation>
    <dataValidation type="list" sqref="AA22" allowBlank="true" errorStyle="stop" showErrorMessage="true" showInputMessage="true">
      <formula1>"Ativo,Inativo"</formula1>
    </dataValidation>
    <dataValidation type="list" sqref="AB22" allowBlank="true" errorStyle="stop" showErrorMessage="true" showInputMessage="true">
      <formula1>"Garantia do vendedor,Garantia de fábrica,Sem garantia"</formula1>
    </dataValidation>
    <dataValidation type="list" sqref="AD22" allowBlank="true" errorStyle="stop" showErrorMessage="true" showInputMessage="true">
      <formula1>"dias,meses,anos"</formula1>
    </dataValidation>
    <dataValidation type="list" sqref="J23" allowBlank="true" errorStyle="stop" showErrorMessage="true" showInputMessage="true">
      <formula1>"R$"</formula1>
    </dataValidation>
    <dataValidation type="list" sqref="U23" allowBlank="true" errorStyle="stop" showErrorMessage="true" showInputMessage="true">
      <formula1>"Usado,Novo"</formula1>
    </dataValidation>
    <dataValidation type="list" sqref="W23" allowBlank="true" errorStyle="stop" showErrorMessage="true" showInputMessage="true">
      <formula1>"Mercado Envios por conta do comprador,Mercado Envios grátis"</formula1>
    </dataValidation>
    <dataValidation type="list" sqref="X23" allowBlank="true" errorStyle="stop" showErrorMessage="true" showInputMessage="true">
      <formula1>"Aceita,Não aceito"</formula1>
    </dataValidation>
    <dataValidation type="list" sqref="Y23" allowBlank="true" errorStyle="stop" showErrorMessage="true" showInputMessage="true">
      <formula1>"Clássico,Premium"</formula1>
    </dataValidation>
    <dataValidation type="list" sqref="AA23" allowBlank="true" errorStyle="stop" showErrorMessage="true" showInputMessage="true">
      <formula1>"Ativo,Inativo"</formula1>
    </dataValidation>
    <dataValidation type="list" sqref="AB23" allowBlank="true" errorStyle="stop" showErrorMessage="true" showInputMessage="true">
      <formula1>"Garantia do vendedor,Garantia de fábrica,Sem garantia"</formula1>
    </dataValidation>
    <dataValidation type="list" sqref="AD23" allowBlank="true" errorStyle="stop" showErrorMessage="true" showInputMessage="true">
      <formula1>"dias,meses,anos"</formula1>
    </dataValidation>
    <dataValidation type="list" sqref="J24" allowBlank="true" errorStyle="stop" showErrorMessage="true" showInputMessage="true">
      <formula1>"R$"</formula1>
    </dataValidation>
    <dataValidation type="list" sqref="U24" allowBlank="true" errorStyle="stop" showErrorMessage="true" showInputMessage="true">
      <formula1>"Novo"</formula1>
    </dataValidation>
    <dataValidation type="list" sqref="W24" allowBlank="true" errorStyle="stop" showErrorMessage="true" showInputMessage="true">
      <formula1>"Mercado Envios por conta do comprador,Mercado Envios grátis"</formula1>
    </dataValidation>
    <dataValidation type="list" sqref="X24" allowBlank="true" errorStyle="stop" showErrorMessage="true" showInputMessage="true">
      <formula1>"Aceita,Não aceito"</formula1>
    </dataValidation>
    <dataValidation type="list" sqref="Y24" allowBlank="true" errorStyle="stop" showErrorMessage="true" showInputMessage="true">
      <formula1>"Clássico,Premium"</formula1>
    </dataValidation>
    <dataValidation type="list" sqref="AA24" allowBlank="true" errorStyle="stop" showErrorMessage="true" showInputMessage="true">
      <formula1>"Ativo,Inativo"</formula1>
    </dataValidation>
    <dataValidation type="list" sqref="AB24" allowBlank="true" errorStyle="stop" showErrorMessage="true" showInputMessage="true">
      <formula1>"Garantia do vendedor,Garantia de fábrica,Sem garantia"</formula1>
    </dataValidation>
    <dataValidation type="list" sqref="AD24" allowBlank="true" errorStyle="stop" showErrorMessage="true" showInputMessage="true">
      <formula1>"dias,meses,anos"</formula1>
    </dataValidation>
    <dataValidation type="list" sqref="J25" allowBlank="true" errorStyle="stop" showErrorMessage="true" showInputMessage="true">
      <formula1>"R$"</formula1>
    </dataValidation>
    <dataValidation type="list" sqref="U25" allowBlank="true" errorStyle="stop" showErrorMessage="true" showInputMessage="true">
      <formula1>"Usado,Novo"</formula1>
    </dataValidation>
    <dataValidation type="list" sqref="W25" allowBlank="true" errorStyle="stop" showErrorMessage="true" showInputMessage="true">
      <formula1>"Mercado Envios por conta do comprador,Mercado Envios grátis"</formula1>
    </dataValidation>
    <dataValidation type="list" sqref="X25" allowBlank="true" errorStyle="stop" showErrorMessage="true" showInputMessage="true">
      <formula1>"Aceita,Não aceito"</formula1>
    </dataValidation>
    <dataValidation type="list" sqref="Y25" allowBlank="true" errorStyle="stop" showErrorMessage="true" showInputMessage="true">
      <formula1>"Clássico,Premium"</formula1>
    </dataValidation>
    <dataValidation type="list" sqref="AA25" allowBlank="true" errorStyle="stop" showErrorMessage="true" showInputMessage="true">
      <formula1>"Ativo,Inativo"</formula1>
    </dataValidation>
    <dataValidation type="list" sqref="AB25" allowBlank="true" errorStyle="stop" showErrorMessage="true" showInputMessage="true">
      <formula1>"Garantia do vendedor,Garantia de fábrica,Sem garantia"</formula1>
    </dataValidation>
    <dataValidation type="list" sqref="AD25" allowBlank="true" errorStyle="stop" showErrorMessage="true" showInputMessage="true">
      <formula1>"dias,meses,anos"</formula1>
    </dataValidation>
    <dataValidation type="list" sqref="J26" allowBlank="true" errorStyle="stop" showErrorMessage="true" showInputMessage="true">
      <formula1>"R$"</formula1>
    </dataValidation>
    <dataValidation type="list" sqref="U26" allowBlank="true" errorStyle="stop" showErrorMessage="true" showInputMessage="true">
      <formula1>"Novo"</formula1>
    </dataValidation>
    <dataValidation type="list" sqref="W26" allowBlank="true" errorStyle="stop" showErrorMessage="true" showInputMessage="true">
      <formula1>"Mercado Envios por conta do comprador,Mercado Envios grátis"</formula1>
    </dataValidation>
    <dataValidation type="list" sqref="X26" allowBlank="true" errorStyle="stop" showErrorMessage="true" showInputMessage="true">
      <formula1>"Aceita,Não aceito"</formula1>
    </dataValidation>
    <dataValidation type="list" sqref="Y26" allowBlank="true" errorStyle="stop" showErrorMessage="true" showInputMessage="true">
      <formula1>"Clássico,Premium"</formula1>
    </dataValidation>
    <dataValidation type="list" sqref="AA26" allowBlank="true" errorStyle="stop" showErrorMessage="true" showInputMessage="true">
      <formula1>"Ativo,Inativo"</formula1>
    </dataValidation>
    <dataValidation type="list" sqref="AB26" allowBlank="true" errorStyle="stop" showErrorMessage="true" showInputMessage="true">
      <formula1>"Garantia do vendedor,Garantia de fábrica,Sem garantia"</formula1>
    </dataValidation>
    <dataValidation type="list" sqref="AD26" allowBlank="true" errorStyle="stop" showErrorMessage="true" showInputMessage="true">
      <formula1>"dias,meses,anos"</formula1>
    </dataValidation>
    <dataValidation type="list" sqref="J27" allowBlank="true" errorStyle="stop" showErrorMessage="true" showInputMessage="true">
      <formula1>"R$"</formula1>
    </dataValidation>
    <dataValidation type="list" sqref="U27" allowBlank="true" errorStyle="stop" showErrorMessage="true" showInputMessage="true">
      <formula1>"Usado,Novo"</formula1>
    </dataValidation>
    <dataValidation type="list" sqref="W27" allowBlank="true" errorStyle="stop" showErrorMessage="true" showInputMessage="true">
      <formula1>"Mercado Envios por conta do comprador,Mercado Envios grátis"</formula1>
    </dataValidation>
    <dataValidation type="list" sqref="X27" allowBlank="true" errorStyle="stop" showErrorMessage="true" showInputMessage="true">
      <formula1>"Aceita,Não aceito"</formula1>
    </dataValidation>
    <dataValidation type="list" sqref="Y27" allowBlank="true" errorStyle="stop" showErrorMessage="true" showInputMessage="true">
      <formula1>"Clássico,Premium"</formula1>
    </dataValidation>
    <dataValidation type="list" sqref="AA27" allowBlank="true" errorStyle="stop" showErrorMessage="true" showInputMessage="true">
      <formula1>"Ativo,Inativo"</formula1>
    </dataValidation>
    <dataValidation type="list" sqref="AB27" allowBlank="true" errorStyle="stop" showErrorMessage="true" showInputMessage="true">
      <formula1>"Garantia do vendedor,Garantia de fábrica,Sem garantia"</formula1>
    </dataValidation>
    <dataValidation type="list" sqref="AD27" allowBlank="true" errorStyle="stop" showErrorMessage="true" showInputMessage="true">
      <formula1>"dias,meses,anos"</formula1>
    </dataValidation>
    <dataValidation type="list" sqref="J28" allowBlank="true" errorStyle="stop" showErrorMessage="true" showInputMessage="true">
      <formula1>"R$"</formula1>
    </dataValidation>
    <dataValidation type="list" sqref="U28" allowBlank="true" errorStyle="stop" showErrorMessage="true" showInputMessage="true">
      <formula1>"Novo,Usado"</formula1>
    </dataValidation>
    <dataValidation type="list" sqref="W28" allowBlank="true" errorStyle="stop" showErrorMessage="true" showInputMessage="true">
      <formula1>"Mercado Envios por conta do comprador,Mercado Envios grátis"</formula1>
    </dataValidation>
    <dataValidation type="list" sqref="Y28" allowBlank="true" errorStyle="stop" showErrorMessage="true" showInputMessage="true">
      <formula1>"Clássico,Premium"</formula1>
    </dataValidation>
    <dataValidation type="list" sqref="AA28" allowBlank="true" errorStyle="stop" showErrorMessage="true" showInputMessage="true">
      <formula1>"Ativo,Inativo"</formula1>
    </dataValidation>
    <dataValidation type="list" sqref="AB28" allowBlank="true" errorStyle="stop" showErrorMessage="true" showInputMessage="true">
      <formula1>"Garantia do vendedor,Garantia de fábrica,Sem garantia"</formula1>
    </dataValidation>
    <dataValidation type="list" sqref="AD28" allowBlank="true" errorStyle="stop" showErrorMessage="true" showInputMessage="true">
      <formula1>"dias,meses,anos"</formula1>
    </dataValidation>
    <dataValidation type="list" sqref="J29" allowBlank="true" errorStyle="stop" showErrorMessage="true" showInputMessage="true">
      <formula1>"R$"</formula1>
    </dataValidation>
    <dataValidation type="list" sqref="U29" allowBlank="true" errorStyle="stop" showErrorMessage="true" showInputMessage="true">
      <formula1>"Novo,Usado"</formula1>
    </dataValidation>
    <dataValidation type="list" sqref="W29" allowBlank="true" errorStyle="stop" showErrorMessage="true" showInputMessage="true">
      <formula1>"Mercado Envios por conta do comprador,Mercado Envios grátis"</formula1>
    </dataValidation>
    <dataValidation type="list" sqref="X29" allowBlank="true" errorStyle="stop" showErrorMessage="true" showInputMessage="true">
      <formula1>"Aceita,Não aceito"</formula1>
    </dataValidation>
    <dataValidation type="list" sqref="Y29" allowBlank="true" errorStyle="stop" showErrorMessage="true" showInputMessage="true">
      <formula1>"Clássico,Premium"</formula1>
    </dataValidation>
    <dataValidation type="list" sqref="AA29" allowBlank="true" errorStyle="stop" showErrorMessage="true" showInputMessage="true">
      <formula1>"Ativo,Inativo"</formula1>
    </dataValidation>
    <dataValidation type="list" sqref="AB29" allowBlank="true" errorStyle="stop" showErrorMessage="true" showInputMessage="true">
      <formula1>"Garantia do vendedor,Garantia de fábrica,Sem garantia"</formula1>
    </dataValidation>
    <dataValidation type="list" sqref="AD29" allowBlank="true" errorStyle="stop" showErrorMessage="true" showInputMessage="true">
      <formula1>"dias,meses,anos"</formula1>
    </dataValidation>
    <dataValidation type="list" sqref="J30" allowBlank="true" errorStyle="stop" showErrorMessage="true" showInputMessage="true">
      <formula1>"R$"</formula1>
    </dataValidation>
    <dataValidation type="list" sqref="U30" allowBlank="true" errorStyle="stop" showErrorMessage="true" showInputMessage="true">
      <formula1>"Usado,Novo"</formula1>
    </dataValidation>
    <dataValidation type="list" sqref="W30" allowBlank="true" errorStyle="stop" showErrorMessage="true" showInputMessage="true">
      <formula1>"Mercado Envios por conta do comprador,Mercado Envios grátis"</formula1>
    </dataValidation>
    <dataValidation type="list" sqref="Y30" allowBlank="true" errorStyle="stop" showErrorMessage="true" showInputMessage="true">
      <formula1>"Clássico,Premium"</formula1>
    </dataValidation>
    <dataValidation type="list" sqref="AA30" allowBlank="true" errorStyle="stop" showErrorMessage="true" showInputMessage="true">
      <formula1>"Ativo,Inativo"</formula1>
    </dataValidation>
    <dataValidation type="list" sqref="AB30" allowBlank="true" errorStyle="stop" showErrorMessage="true" showInputMessage="true">
      <formula1>"Garantia do vendedor,Garantia de fábrica,Sem garantia"</formula1>
    </dataValidation>
    <dataValidation type="list" sqref="AD30" allowBlank="true" errorStyle="stop" showErrorMessage="true" showInputMessage="true">
      <formula1>"dias,meses,anos"</formula1>
    </dataValidation>
    <dataValidation type="list" sqref="J31" allowBlank="true" errorStyle="stop" showErrorMessage="true" showInputMessage="true">
      <formula1>"R$"</formula1>
    </dataValidation>
    <dataValidation type="list" sqref="U31" allowBlank="true" errorStyle="stop" showErrorMessage="true" showInputMessage="true">
      <formula1>"Usado,Novo"</formula1>
    </dataValidation>
    <dataValidation type="list" sqref="W31" allowBlank="true" errorStyle="stop" showErrorMessage="true" showInputMessage="true">
      <formula1>"Mercado Envios por conta do comprador,Mercado Envios grátis"</formula1>
    </dataValidation>
    <dataValidation type="list" sqref="X31" allowBlank="true" errorStyle="stop" showErrorMessage="true" showInputMessage="true">
      <formula1>"Aceita,Não aceito"</formula1>
    </dataValidation>
    <dataValidation type="list" sqref="Y31" allowBlank="true" errorStyle="stop" showErrorMessage="true" showInputMessage="true">
      <formula1>"Clássico,Premium"</formula1>
    </dataValidation>
    <dataValidation type="list" sqref="AA31" allowBlank="true" errorStyle="stop" showErrorMessage="true" showInputMessage="true">
      <formula1>"Ativo,Inativo"</formula1>
    </dataValidation>
    <dataValidation type="list" sqref="AB31" allowBlank="true" errorStyle="stop" showErrorMessage="true" showInputMessage="true">
      <formula1>"Garantia do vendedor,Garantia de fábrica,Sem garantia"</formula1>
    </dataValidation>
    <dataValidation type="list" sqref="AD31" allowBlank="true" errorStyle="stop" showErrorMessage="true" showInputMessage="true">
      <formula1>"dias,meses,anos"</formula1>
    </dataValidation>
    <dataValidation type="list" sqref="J32" allowBlank="true" errorStyle="stop" showErrorMessage="true" showInputMessage="true">
      <formula1>"R$"</formula1>
    </dataValidation>
    <dataValidation type="list" sqref="U32" allowBlank="true" errorStyle="stop" showErrorMessage="true" showInputMessage="true">
      <formula1>"Usado,Novo"</formula1>
    </dataValidation>
    <dataValidation type="list" sqref="W32" allowBlank="true" errorStyle="stop" showErrorMessage="true" showInputMessage="true">
      <formula1>"Mercado Envios por conta do comprador,Mercado Envios grátis"</formula1>
    </dataValidation>
    <dataValidation type="list" sqref="X32" allowBlank="true" errorStyle="stop" showErrorMessage="true" showInputMessage="true">
      <formula1>"Aceita,Não aceito"</formula1>
    </dataValidation>
    <dataValidation type="list" sqref="Y32" allowBlank="true" errorStyle="stop" showErrorMessage="true" showInputMessage="true">
      <formula1>"Clássico,Premium"</formula1>
    </dataValidation>
    <dataValidation type="list" sqref="AA32" allowBlank="true" errorStyle="stop" showErrorMessage="true" showInputMessage="true">
      <formula1>"Ativo,Inativo"</formula1>
    </dataValidation>
    <dataValidation type="list" sqref="AB32" allowBlank="true" errorStyle="stop" showErrorMessage="true" showInputMessage="true">
      <formula1>"Garantia do vendedor,Garantia de fábrica,Sem garantia"</formula1>
    </dataValidation>
    <dataValidation type="list" sqref="AD32" allowBlank="true" errorStyle="stop" showErrorMessage="true" showInputMessage="true">
      <formula1>"dias,meses,anos"</formula1>
    </dataValidation>
    <dataValidation type="list" sqref="J33" allowBlank="true" errorStyle="stop" showErrorMessage="true" showInputMessage="true">
      <formula1>"R$"</formula1>
    </dataValidation>
    <dataValidation type="list" sqref="W33" allowBlank="true" errorStyle="stop" showErrorMessage="true" showInputMessage="true">
      <formula1>"Mercado Envios por conta do comprador,Mercado Envios grátis"</formula1>
    </dataValidation>
    <dataValidation type="list" sqref="X33" allowBlank="true" errorStyle="stop" showErrorMessage="true" showInputMessage="true">
      <formula1>"Aceita,Não aceito"</formula1>
    </dataValidation>
    <dataValidation type="list" sqref="Y33" allowBlank="true" errorStyle="stop" showErrorMessage="true" showInputMessage="true">
      <formula1>"Clássico,Premium"</formula1>
    </dataValidation>
    <dataValidation type="list" sqref="AA33" allowBlank="true" errorStyle="stop" showErrorMessage="true" showInputMessage="true">
      <formula1>"Ativo,Inativo"</formula1>
    </dataValidation>
    <dataValidation type="list" sqref="AB33" allowBlank="true" errorStyle="stop" showErrorMessage="true" showInputMessage="true">
      <formula1>"Garantia do vendedor,Garantia de fábrica,Sem garantia"</formula1>
    </dataValidation>
    <dataValidation type="list" sqref="AD33" allowBlank="true" errorStyle="stop" showErrorMessage="true" showInputMessage="true">
      <formula1>"dias,meses,anos"</formula1>
    </dataValidation>
    <dataValidation type="list" sqref="J34" allowBlank="true" errorStyle="stop" showErrorMessage="true" showInputMessage="true">
      <formula1>"R$"</formula1>
    </dataValidation>
    <dataValidation type="list" sqref="W34" allowBlank="true" errorStyle="stop" showErrorMessage="true" showInputMessage="true">
      <formula1>"Mercado Envios por conta do comprador,Mercado Envios grátis"</formula1>
    </dataValidation>
    <dataValidation type="list" sqref="Y34" allowBlank="true" errorStyle="stop" showErrorMessage="true" showInputMessage="true">
      <formula1>"Clássico,Premium"</formula1>
    </dataValidation>
    <dataValidation type="list" sqref="AA34" allowBlank="true" errorStyle="stop" showErrorMessage="true" showInputMessage="true">
      <formula1>"Ativo,Inativo"</formula1>
    </dataValidation>
    <dataValidation type="list" sqref="AB34" allowBlank="true" errorStyle="stop" showErrorMessage="true" showInputMessage="true">
      <formula1>"Garantia do vendedor,Garantia de fábrica,Sem garantia"</formula1>
    </dataValidation>
    <dataValidation type="list" sqref="AD34" allowBlank="true" errorStyle="stop" showErrorMessage="true" showInputMessage="true">
      <formula1>"dias,meses,anos"</formula1>
    </dataValidation>
    <dataValidation type="list" sqref="J35" allowBlank="true" errorStyle="stop" showErrorMessage="true" showInputMessage="true">
      <formula1>"R$"</formula1>
    </dataValidation>
    <dataValidation type="list" sqref="U35" allowBlank="true" errorStyle="stop" showErrorMessage="true" showInputMessage="true">
      <formula1>"Novo,Usado"</formula1>
    </dataValidation>
    <dataValidation type="list" sqref="W35" allowBlank="true" errorStyle="stop" showErrorMessage="true" showInputMessage="true">
      <formula1>"Mercado Envios por conta do comprador,Mercado Envios grátis"</formula1>
    </dataValidation>
    <dataValidation type="list" sqref="X35" allowBlank="true" errorStyle="stop" showErrorMessage="true" showInputMessage="true">
      <formula1>"Aceita,Não aceito"</formula1>
    </dataValidation>
    <dataValidation type="list" sqref="Y35" allowBlank="true" errorStyle="stop" showErrorMessage="true" showInputMessage="true">
      <formula1>"Clássico,Premium"</formula1>
    </dataValidation>
    <dataValidation type="list" sqref="AA35" allowBlank="true" errorStyle="stop" showErrorMessage="true" showInputMessage="true">
      <formula1>"Ativo,Inativo"</formula1>
    </dataValidation>
    <dataValidation type="list" sqref="AB35" allowBlank="true" errorStyle="stop" showErrorMessage="true" showInputMessage="true">
      <formula1>"Garantia do vendedor,Garantia de fábrica,Sem garantia"</formula1>
    </dataValidation>
    <dataValidation type="list" sqref="AD35" allowBlank="true" errorStyle="stop" showErrorMessage="true" showInputMessage="true">
      <formula1>"dias,meses,anos"</formula1>
    </dataValidation>
    <dataValidation type="list" sqref="J36" allowBlank="true" errorStyle="stop" showErrorMessage="true" showInputMessage="true">
      <formula1>"R$"</formula1>
    </dataValidation>
    <dataValidation type="list" sqref="U36" allowBlank="true" errorStyle="stop" showErrorMessage="true" showInputMessage="true">
      <formula1>"Usado,Novo"</formula1>
    </dataValidation>
    <dataValidation type="list" sqref="W36" allowBlank="true" errorStyle="stop" showErrorMessage="true" showInputMessage="true">
      <formula1>"Mercado Envios por conta do comprador,Mercado Envios grátis"</formula1>
    </dataValidation>
    <dataValidation type="list" sqref="X36" allowBlank="true" errorStyle="stop" showErrorMessage="true" showInputMessage="true">
      <formula1>"Aceita,Não aceito"</formula1>
    </dataValidation>
    <dataValidation type="list" sqref="Y36" allowBlank="true" errorStyle="stop" showErrorMessage="true" showInputMessage="true">
      <formula1>"Clássico,Premium"</formula1>
    </dataValidation>
    <dataValidation type="list" sqref="AA36" allowBlank="true" errorStyle="stop" showErrorMessage="true" showInputMessage="true">
      <formula1>"Ativo,Inativo"</formula1>
    </dataValidation>
    <dataValidation type="list" sqref="AB36" allowBlank="true" errorStyle="stop" showErrorMessage="true" showInputMessage="true">
      <formula1>"Garantia do vendedor,Garantia de fábrica,Sem garantia"</formula1>
    </dataValidation>
    <dataValidation type="list" sqref="AD36" allowBlank="true" errorStyle="stop" showErrorMessage="true" showInputMessage="true">
      <formula1>"dias,meses,anos"</formula1>
    </dataValidation>
    <dataValidation type="list" sqref="J37" allowBlank="true" errorStyle="stop" showErrorMessage="true" showInputMessage="true">
      <formula1>"R$"</formula1>
    </dataValidation>
    <dataValidation type="list" sqref="U37" allowBlank="true" errorStyle="stop" showErrorMessage="true" showInputMessage="true">
      <formula1>"Novo,Usado"</formula1>
    </dataValidation>
    <dataValidation type="list" sqref="W37" allowBlank="true" errorStyle="stop" showErrorMessage="true" showInputMessage="true">
      <formula1>"Mercado Envios por conta do comprador,Mercado Envios grátis"</formula1>
    </dataValidation>
    <dataValidation type="list" sqref="X37" allowBlank="true" errorStyle="stop" showErrorMessage="true" showInputMessage="true">
      <formula1>"Aceita,Não aceito"</formula1>
    </dataValidation>
    <dataValidation type="list" sqref="Y37" allowBlank="true" errorStyle="stop" showErrorMessage="true" showInputMessage="true">
      <formula1>"Clássico,Premium"</formula1>
    </dataValidation>
    <dataValidation type="list" sqref="AA37" allowBlank="true" errorStyle="stop" showErrorMessage="true" showInputMessage="true">
      <formula1>"Ativo,Inativo"</formula1>
    </dataValidation>
    <dataValidation type="list" sqref="AB37" allowBlank="true" errorStyle="stop" showErrorMessage="true" showInputMessage="true">
      <formula1>"Garantia do vendedor,Garantia de fábrica,Sem garantia"</formula1>
    </dataValidation>
    <dataValidation type="list" sqref="AD37" allowBlank="true" errorStyle="stop" showErrorMessage="true" showInputMessage="true">
      <formula1>"dias,meses,anos"</formula1>
    </dataValidation>
    <dataValidation type="list" sqref="J38" allowBlank="true" errorStyle="stop" showErrorMessage="true" showInputMessage="true">
      <formula1>"R$"</formula1>
    </dataValidation>
    <dataValidation type="list" sqref="U38" allowBlank="true" errorStyle="stop" showErrorMessage="true" showInputMessage="true">
      <formula1>"Usado,Novo"</formula1>
    </dataValidation>
    <dataValidation type="list" sqref="W38" allowBlank="true" errorStyle="stop" showErrorMessage="true" showInputMessage="true">
      <formula1>"Mercado Envios por conta do comprador,Mercado Envios grátis"</formula1>
    </dataValidation>
    <dataValidation type="list" sqref="X38" allowBlank="true" errorStyle="stop" showErrorMessage="true" showInputMessage="true">
      <formula1>"Aceita,Não aceito"</formula1>
    </dataValidation>
    <dataValidation type="list" sqref="Y38" allowBlank="true" errorStyle="stop" showErrorMessage="true" showInputMessage="true">
      <formula1>"Clássico,Premium"</formula1>
    </dataValidation>
    <dataValidation type="list" sqref="AA38" allowBlank="true" errorStyle="stop" showErrorMessage="true" showInputMessage="true">
      <formula1>"Ativo,Inativo"</formula1>
    </dataValidation>
    <dataValidation type="list" sqref="AB38" allowBlank="true" errorStyle="stop" showErrorMessage="true" showInputMessage="true">
      <formula1>"Garantia do vendedor,Garantia de fábrica,Sem garantia"</formula1>
    </dataValidation>
    <dataValidation type="list" sqref="AD38" allowBlank="true" errorStyle="stop" showErrorMessage="true" showInputMessage="true">
      <formula1>"dias,meses,anos"</formula1>
    </dataValidation>
    <dataValidation type="list" sqref="J39" allowBlank="true" errorStyle="stop" showErrorMessage="true" showInputMessage="true">
      <formula1>"R$"</formula1>
    </dataValidation>
    <dataValidation type="list" sqref="U39" allowBlank="true" errorStyle="stop" showErrorMessage="true" showInputMessage="true">
      <formula1>"Novo,Usado"</formula1>
    </dataValidation>
    <dataValidation type="list" sqref="W39" allowBlank="true" errorStyle="stop" showErrorMessage="true" showInputMessage="true">
      <formula1>"Mercado Envios por conta do comprador,Mercado Envios grátis"</formula1>
    </dataValidation>
    <dataValidation type="list" sqref="X39" allowBlank="true" errorStyle="stop" showErrorMessage="true" showInputMessage="true">
      <formula1>"Aceita,Não aceito"</formula1>
    </dataValidation>
    <dataValidation type="list" sqref="Y39" allowBlank="true" errorStyle="stop" showErrorMessage="true" showInputMessage="true">
      <formula1>"Clássico,Premium"</formula1>
    </dataValidation>
    <dataValidation type="list" sqref="AA39" allowBlank="true" errorStyle="stop" showErrorMessage="true" showInputMessage="true">
      <formula1>"Ativo,Inativo"</formula1>
    </dataValidation>
    <dataValidation type="list" sqref="AB39" allowBlank="true" errorStyle="stop" showErrorMessage="true" showInputMessage="true">
      <formula1>"Garantia do vendedor,Garantia de fábrica,Sem garantia"</formula1>
    </dataValidation>
    <dataValidation type="list" sqref="AD39" allowBlank="true" errorStyle="stop" showErrorMessage="true" showInputMessage="true">
      <formula1>"dias,meses,anos"</formula1>
    </dataValidation>
    <dataValidation type="list" sqref="J40" allowBlank="true" errorStyle="stop" showErrorMessage="true" showInputMessage="true">
      <formula1>"R$"</formula1>
    </dataValidation>
    <dataValidation type="list" sqref="U40" allowBlank="true" errorStyle="stop" showErrorMessage="true" showInputMessage="true">
      <formula1>"Usado,Novo"</formula1>
    </dataValidation>
    <dataValidation type="list" sqref="W40" allowBlank="true" errorStyle="stop" showErrorMessage="true" showInputMessage="true">
      <formula1>"Mercado Envios por conta do comprador,Mercado Envios grátis"</formula1>
    </dataValidation>
    <dataValidation type="list" sqref="X40" allowBlank="true" errorStyle="stop" showErrorMessage="true" showInputMessage="true">
      <formula1>"Aceita,Não aceito"</formula1>
    </dataValidation>
    <dataValidation type="list" sqref="Y40" allowBlank="true" errorStyle="stop" showErrorMessage="true" showInputMessage="true">
      <formula1>"Clássico,Premium"</formula1>
    </dataValidation>
    <dataValidation type="list" sqref="AA40" allowBlank="true" errorStyle="stop" showErrorMessage="true" showInputMessage="true">
      <formula1>"Ativo,Inativo"</formula1>
    </dataValidation>
    <dataValidation type="list" sqref="AB40" allowBlank="true" errorStyle="stop" showErrorMessage="true" showInputMessage="true">
      <formula1>"Garantia do vendedor,Garantia de fábrica,Sem garantia"</formula1>
    </dataValidation>
    <dataValidation type="list" sqref="AD40" allowBlank="true" errorStyle="stop" showErrorMessage="true" showInputMessage="true">
      <formula1>"dias,meses,anos"</formula1>
    </dataValidation>
    <dataValidation type="list" sqref="J41" allowBlank="true" errorStyle="stop" showErrorMessage="true" showInputMessage="true">
      <formula1>"R$"</formula1>
    </dataValidation>
    <dataValidation type="list" sqref="U41" allowBlank="true" errorStyle="stop" showErrorMessage="true" showInputMessage="true">
      <formula1>"Novo,Usado"</formula1>
    </dataValidation>
    <dataValidation type="list" sqref="W41" allowBlank="true" errorStyle="stop" showErrorMessage="true" showInputMessage="true">
      <formula1>"Mercado Envios por conta do comprador,Mercado Envios grátis"</formula1>
    </dataValidation>
    <dataValidation type="list" sqref="X41" allowBlank="true" errorStyle="stop" showErrorMessage="true" showInputMessage="true">
      <formula1>"Aceita,Não aceito"</formula1>
    </dataValidation>
    <dataValidation type="list" sqref="Y41" allowBlank="true" errorStyle="stop" showErrorMessage="true" showInputMessage="true">
      <formula1>"Clássico,Premium"</formula1>
    </dataValidation>
    <dataValidation type="list" sqref="AA41" allowBlank="true" errorStyle="stop" showErrorMessage="true" showInputMessage="true">
      <formula1>"Ativo,Inativo"</formula1>
    </dataValidation>
    <dataValidation type="list" sqref="AB41" allowBlank="true" errorStyle="stop" showErrorMessage="true" showInputMessage="true">
      <formula1>"Garantia do vendedor,Garantia de fábrica,Sem garantia"</formula1>
    </dataValidation>
    <dataValidation type="list" sqref="AD41" allowBlank="true" errorStyle="stop" showErrorMessage="true" showInputMessage="true">
      <formula1>"dias,meses,anos"</formula1>
    </dataValidation>
    <dataValidation type="list" sqref="J42" allowBlank="true" errorStyle="stop" showErrorMessage="true" showInputMessage="true">
      <formula1>"R$"</formula1>
    </dataValidation>
    <dataValidation type="list" sqref="U42" allowBlank="true" errorStyle="stop" showErrorMessage="true" showInputMessage="true">
      <formula1>"Usado,Novo"</formula1>
    </dataValidation>
    <dataValidation type="list" sqref="W42" allowBlank="true" errorStyle="stop" showErrorMessage="true" showInputMessage="true">
      <formula1>"Mercado Envios por conta do comprador,Mercado Envios grátis"</formula1>
    </dataValidation>
    <dataValidation type="list" sqref="X42" allowBlank="true" errorStyle="stop" showErrorMessage="true" showInputMessage="true">
      <formula1>"Aceita,Não aceito"</formula1>
    </dataValidation>
    <dataValidation type="list" sqref="Y42" allowBlank="true" errorStyle="stop" showErrorMessage="true" showInputMessage="true">
      <formula1>"Clássico,Premium"</formula1>
    </dataValidation>
    <dataValidation type="list" sqref="AA42" allowBlank="true" errorStyle="stop" showErrorMessage="true" showInputMessage="true">
      <formula1>"Ativo,Inativo"</formula1>
    </dataValidation>
    <dataValidation type="list" sqref="AB42" allowBlank="true" errorStyle="stop" showErrorMessage="true" showInputMessage="true">
      <formula1>"Garantia do vendedor,Garantia de fábrica,Sem garantia"</formula1>
    </dataValidation>
    <dataValidation type="list" sqref="AD42" allowBlank="true" errorStyle="stop" showErrorMessage="true" showInputMessage="true">
      <formula1>"dias,meses,anos"</formula1>
    </dataValidation>
    <dataValidation type="list" sqref="J43" allowBlank="true" errorStyle="stop" showErrorMessage="true" showInputMessage="true">
      <formula1>"R$"</formula1>
    </dataValidation>
    <dataValidation type="list" sqref="U43" allowBlank="true" errorStyle="stop" showErrorMessage="true" showInputMessage="true">
      <formula1>"Novo,Usado"</formula1>
    </dataValidation>
    <dataValidation type="list" sqref="W43" allowBlank="true" errorStyle="stop" showErrorMessage="true" showInputMessage="true">
      <formula1>"Mercado Envios por conta do comprador,Mercado Envios grátis"</formula1>
    </dataValidation>
    <dataValidation type="list" sqref="X43" allowBlank="true" errorStyle="stop" showErrorMessage="true" showInputMessage="true">
      <formula1>"Aceita,Não aceito"</formula1>
    </dataValidation>
    <dataValidation type="list" sqref="Y43" allowBlank="true" errorStyle="stop" showErrorMessage="true" showInputMessage="true">
      <formula1>"Clássico,Premium"</formula1>
    </dataValidation>
    <dataValidation type="list" sqref="AA43" allowBlank="true" errorStyle="stop" showErrorMessage="true" showInputMessage="true">
      <formula1>"Ativo,Inativo"</formula1>
    </dataValidation>
    <dataValidation type="list" sqref="AB43" allowBlank="true" errorStyle="stop" showErrorMessage="true" showInputMessage="true">
      <formula1>"Garantia do vendedor,Garantia de fábrica,Sem garantia"</formula1>
    </dataValidation>
    <dataValidation type="list" sqref="AD43" allowBlank="true" errorStyle="stop" showErrorMessage="true" showInputMessage="true">
      <formula1>"dias,meses,anos"</formula1>
    </dataValidation>
    <dataValidation type="list" sqref="J44" allowBlank="true" errorStyle="stop" showErrorMessage="true" showInputMessage="true">
      <formula1>"R$"</formula1>
    </dataValidation>
    <dataValidation type="list" sqref="U44" allowBlank="true" errorStyle="stop" showErrorMessage="true" showInputMessage="true">
      <formula1>"Usado,Novo"</formula1>
    </dataValidation>
    <dataValidation type="list" sqref="W44" allowBlank="true" errorStyle="stop" showErrorMessage="true" showInputMessage="true">
      <formula1>"Mercado Envios por conta do comprador,Mercado Envios grátis"</formula1>
    </dataValidation>
    <dataValidation type="list" sqref="X44" allowBlank="true" errorStyle="stop" showErrorMessage="true" showInputMessage="true">
      <formula1>"Aceita,Não aceito"</formula1>
    </dataValidation>
    <dataValidation type="list" sqref="Y44" allowBlank="true" errorStyle="stop" showErrorMessage="true" showInputMessage="true">
      <formula1>"Clássico,Premium"</formula1>
    </dataValidation>
    <dataValidation type="list" sqref="AA44" allowBlank="true" errorStyle="stop" showErrorMessage="true" showInputMessage="true">
      <formula1>"Ativo,Inativo"</formula1>
    </dataValidation>
    <dataValidation type="list" sqref="AB44" allowBlank="true" errorStyle="stop" showErrorMessage="true" showInputMessage="true">
      <formula1>"Garantia do vendedor,Garantia de fábrica,Sem garantia"</formula1>
    </dataValidation>
    <dataValidation type="list" sqref="AD44" allowBlank="true" errorStyle="stop" showErrorMessage="true" showInputMessage="true">
      <formula1>"dias,meses,anos"</formula1>
    </dataValidation>
    <dataValidation type="list" sqref="J45" allowBlank="true" errorStyle="stop" showErrorMessage="true" showInputMessage="true">
      <formula1>"R$"</formula1>
    </dataValidation>
    <dataValidation type="list" sqref="U45" allowBlank="true" errorStyle="stop" showErrorMessage="true" showInputMessage="true">
      <formula1>"Novo,Usado"</formula1>
    </dataValidation>
    <dataValidation type="list" sqref="W45" allowBlank="true" errorStyle="stop" showErrorMessage="true" showInputMessage="true">
      <formula1>"Mercado Envios por conta do comprador,Mercado Envios grátis"</formula1>
    </dataValidation>
    <dataValidation type="list" sqref="X45" allowBlank="true" errorStyle="stop" showErrorMessage="true" showInputMessage="true">
      <formula1>"Aceita,Não aceito"</formula1>
    </dataValidation>
    <dataValidation type="list" sqref="Y45" allowBlank="true" errorStyle="stop" showErrorMessage="true" showInputMessage="true">
      <formula1>"Clássico,Premium"</formula1>
    </dataValidation>
    <dataValidation type="list" sqref="AA45" allowBlank="true" errorStyle="stop" showErrorMessage="true" showInputMessage="true">
      <formula1>"Ativo,Inativo"</formula1>
    </dataValidation>
    <dataValidation type="list" sqref="AB45" allowBlank="true" errorStyle="stop" showErrorMessage="true" showInputMessage="true">
      <formula1>"Garantia do vendedor,Garantia de fábrica,Sem garantia"</formula1>
    </dataValidation>
    <dataValidation type="list" sqref="AD45" allowBlank="true" errorStyle="stop" showErrorMessage="true" showInputMessage="true">
      <formula1>"dias,meses,anos"</formula1>
    </dataValidation>
    <dataValidation type="list" sqref="J46" allowBlank="true" errorStyle="stop" showErrorMessage="true" showInputMessage="true">
      <formula1>"R$"</formula1>
    </dataValidation>
    <dataValidation type="list" sqref="U46" allowBlank="true" errorStyle="stop" showErrorMessage="true" showInputMessage="true">
      <formula1>"Usado,Novo"</formula1>
    </dataValidation>
    <dataValidation type="list" sqref="W46" allowBlank="true" errorStyle="stop" showErrorMessage="true" showInputMessage="true">
      <formula1>"Mercado Envios por conta do comprador,Mercado Envios grátis"</formula1>
    </dataValidation>
    <dataValidation type="list" sqref="X46" allowBlank="true" errorStyle="stop" showErrorMessage="true" showInputMessage="true">
      <formula1>"Aceita,Não aceito"</formula1>
    </dataValidation>
    <dataValidation type="list" sqref="Y46" allowBlank="true" errorStyle="stop" showErrorMessage="true" showInputMessage="true">
      <formula1>"Clássico,Premium"</formula1>
    </dataValidation>
    <dataValidation type="list" sqref="AA46" allowBlank="true" errorStyle="stop" showErrorMessage="true" showInputMessage="true">
      <formula1>"Ativo,Inativo"</formula1>
    </dataValidation>
    <dataValidation type="list" sqref="AB46" allowBlank="true" errorStyle="stop" showErrorMessage="true" showInputMessage="true">
      <formula1>"Garantia do vendedor,Garantia de fábrica,Sem garantia"</formula1>
    </dataValidation>
    <dataValidation type="list" sqref="AD46" allowBlank="true" errorStyle="stop" showErrorMessage="true" showInputMessage="true">
      <formula1>"dias,meses,anos"</formula1>
    </dataValidation>
    <dataValidation type="list" sqref="J47" allowBlank="true" errorStyle="stop" showErrorMessage="true" showInputMessage="true">
      <formula1>"R$"</formula1>
    </dataValidation>
    <dataValidation type="list" sqref="U47" allowBlank="true" errorStyle="stop" showErrorMessage="true" showInputMessage="true">
      <formula1>"Usado,Novo,Recondicionado"</formula1>
    </dataValidation>
    <dataValidation type="list" sqref="W47" allowBlank="true" errorStyle="stop" showErrorMessage="true" showInputMessage="true">
      <formula1>"Mercado Envios por conta do comprador,Mercado Envios grátis"</formula1>
    </dataValidation>
    <dataValidation type="list" sqref="X47" allowBlank="true" errorStyle="stop" showErrorMessage="true" showInputMessage="true">
      <formula1>"Aceita,Não aceito"</formula1>
    </dataValidation>
    <dataValidation type="list" sqref="Y47" allowBlank="true" errorStyle="stop" showErrorMessage="true" showInputMessage="true">
      <formula1>"Clássico,Premium"</formula1>
    </dataValidation>
    <dataValidation type="list" sqref="AA47" allowBlank="true" errorStyle="stop" showErrorMessage="true" showInputMessage="true">
      <formula1>"Ativo,Inativo"</formula1>
    </dataValidation>
    <dataValidation type="list" sqref="AB47" allowBlank="true" errorStyle="stop" showErrorMessage="true" showInputMessage="true">
      <formula1>"Garantia do vendedor,Garantia de fábrica,Sem garantia"</formula1>
    </dataValidation>
    <dataValidation type="list" sqref="AD47" allowBlank="true" errorStyle="stop" showErrorMessage="true" showInputMessage="true">
      <formula1>"dias,meses,anos"</formula1>
    </dataValidation>
    <dataValidation type="list" sqref="J48" allowBlank="true" errorStyle="stop" showErrorMessage="true" showInputMessage="true">
      <formula1>"R$"</formula1>
    </dataValidation>
    <dataValidation type="list" sqref="U48" allowBlank="true" errorStyle="stop" showErrorMessage="true" showInputMessage="true">
      <formula1>"Novo,Usado"</formula1>
    </dataValidation>
    <dataValidation type="list" sqref="W48" allowBlank="true" errorStyle="stop" showErrorMessage="true" showInputMessage="true">
      <formula1>"Mercado Envios por conta do comprador,Mercado Envios grátis"</formula1>
    </dataValidation>
    <dataValidation type="list" sqref="X48" allowBlank="true" errorStyle="stop" showErrorMessage="true" showInputMessage="true">
      <formula1>"Aceita,Não aceito"</formula1>
    </dataValidation>
    <dataValidation type="list" sqref="Y48" allowBlank="true" errorStyle="stop" showErrorMessage="true" showInputMessage="true">
      <formula1>"Clássico,Premium"</formula1>
    </dataValidation>
    <dataValidation type="list" sqref="AA48" allowBlank="true" errorStyle="stop" showErrorMessage="true" showInputMessage="true">
      <formula1>"Ativo,Inativo"</formula1>
    </dataValidation>
    <dataValidation type="list" sqref="AB48" allowBlank="true" errorStyle="stop" showErrorMessage="true" showInputMessage="true">
      <formula1>"Garantia do vendedor,Garantia de fábrica,Sem garantia"</formula1>
    </dataValidation>
    <dataValidation type="list" sqref="AD48" allowBlank="true" errorStyle="stop" showErrorMessage="true" showInputMessage="true">
      <formula1>"dias,meses,anos"</formula1>
    </dataValidation>
    <dataValidation type="list" sqref="J49" allowBlank="true" errorStyle="stop" showErrorMessage="true" showInputMessage="true">
      <formula1>"R$"</formula1>
    </dataValidation>
    <dataValidation type="list" sqref="U49" allowBlank="true" errorStyle="stop" showErrorMessage="true" showInputMessage="true">
      <formula1>"Usado,Novo"</formula1>
    </dataValidation>
    <dataValidation type="list" sqref="W49" allowBlank="true" errorStyle="stop" showErrorMessage="true" showInputMessage="true">
      <formula1>"Mercado Envios por conta do comprador,Mercado Envios grátis"</formula1>
    </dataValidation>
    <dataValidation type="list" sqref="X49" allowBlank="true" errorStyle="stop" showErrorMessage="true" showInputMessage="true">
      <formula1>"Aceita,Não aceito"</formula1>
    </dataValidation>
    <dataValidation type="list" sqref="Y49" allowBlank="true" errorStyle="stop" showErrorMessage="true" showInputMessage="true">
      <formula1>"Clássico,Premium"</formula1>
    </dataValidation>
    <dataValidation type="list" sqref="AA49" allowBlank="true" errorStyle="stop" showErrorMessage="true" showInputMessage="true">
      <formula1>"Ativo,Inativo"</formula1>
    </dataValidation>
    <dataValidation type="list" sqref="AB49" allowBlank="true" errorStyle="stop" showErrorMessage="true" showInputMessage="true">
      <formula1>"Garantia do vendedor,Garantia de fábrica,Sem garantia"</formula1>
    </dataValidation>
    <dataValidation type="list" sqref="AD49" allowBlank="true" errorStyle="stop" showErrorMessage="true" showInputMessage="true">
      <formula1>"dias,meses,anos"</formula1>
    </dataValidation>
    <dataValidation type="list" sqref="J50" allowBlank="true" errorStyle="stop" showErrorMessage="true" showInputMessage="true">
      <formula1>"R$"</formula1>
    </dataValidation>
    <dataValidation type="list" sqref="U50" allowBlank="true" errorStyle="stop" showErrorMessage="true" showInputMessage="true">
      <formula1>"Usado,Novo"</formula1>
    </dataValidation>
    <dataValidation type="list" sqref="W50" allowBlank="true" errorStyle="stop" showErrorMessage="true" showInputMessage="true">
      <formula1>"Mercado Envios por conta do comprador,Mercado Envios grátis"</formula1>
    </dataValidation>
    <dataValidation type="list" sqref="X50" allowBlank="true" errorStyle="stop" showErrorMessage="true" showInputMessage="true">
      <formula1>"Aceita,Não aceito"</formula1>
    </dataValidation>
    <dataValidation type="list" sqref="Y50" allowBlank="true" errorStyle="stop" showErrorMessage="true" showInputMessage="true">
      <formula1>"Clássico,Premium"</formula1>
    </dataValidation>
    <dataValidation type="list" sqref="AA50" allowBlank="true" errorStyle="stop" showErrorMessage="true" showInputMessage="true">
      <formula1>"Ativo,Inativo"</formula1>
    </dataValidation>
    <dataValidation type="list" sqref="AB50" allowBlank="true" errorStyle="stop" showErrorMessage="true" showInputMessage="true">
      <formula1>"Garantia do vendedor,Garantia de fábrica,Sem garantia"</formula1>
    </dataValidation>
    <dataValidation type="list" sqref="AD50" allowBlank="true" errorStyle="stop" showErrorMessage="true" showInputMessage="true">
      <formula1>"dias,meses,anos"</formula1>
    </dataValidation>
    <dataValidation type="list" sqref="J51" allowBlank="true" errorStyle="stop" showErrorMessage="true" showInputMessage="true">
      <formula1>"R$"</formula1>
    </dataValidation>
    <dataValidation type="list" sqref="U51" allowBlank="true" errorStyle="stop" showErrorMessage="true" showInputMessage="true">
      <formula1>"Usado,Novo"</formula1>
    </dataValidation>
    <dataValidation type="list" sqref="W51" allowBlank="true" errorStyle="stop" showErrorMessage="true" showInputMessage="true">
      <formula1>"Mercado Envios por conta do comprador,Mercado Envios grátis"</formula1>
    </dataValidation>
    <dataValidation type="list" sqref="X51" allowBlank="true" errorStyle="stop" showErrorMessage="true" showInputMessage="true">
      <formula1>"Aceita,Não aceito"</formula1>
    </dataValidation>
    <dataValidation type="list" sqref="Y51" allowBlank="true" errorStyle="stop" showErrorMessage="true" showInputMessage="true">
      <formula1>"Clássico,Premium"</formula1>
    </dataValidation>
    <dataValidation type="list" sqref="AA51" allowBlank="true" errorStyle="stop" showErrorMessage="true" showInputMessage="true">
      <formula1>"Ativo,Inativo"</formula1>
    </dataValidation>
    <dataValidation type="list" sqref="AB51" allowBlank="true" errorStyle="stop" showErrorMessage="true" showInputMessage="true">
      <formula1>"Garantia do vendedor,Garantia de fábrica,Sem garantia"</formula1>
    </dataValidation>
    <dataValidation type="list" sqref="AD51" allowBlank="true" errorStyle="stop" showErrorMessage="true" showInputMessage="true">
      <formula1>"dias,meses,anos"</formula1>
    </dataValidation>
    <dataValidation type="list" sqref="J52" allowBlank="true" errorStyle="stop" showErrorMessage="true" showInputMessage="true">
      <formula1>"R$"</formula1>
    </dataValidation>
    <dataValidation type="list" sqref="U52" allowBlank="true" errorStyle="stop" showErrorMessage="true" showInputMessage="true">
      <formula1>"Usado,Novo"</formula1>
    </dataValidation>
    <dataValidation type="list" sqref="W52" allowBlank="true" errorStyle="stop" showErrorMessage="true" showInputMessage="true">
      <formula1>"Mercado Envios por conta do comprador,Mercado Envios grátis"</formula1>
    </dataValidation>
    <dataValidation type="list" sqref="X52" allowBlank="true" errorStyle="stop" showErrorMessage="true" showInputMessage="true">
      <formula1>"Aceita,Não aceito"</formula1>
    </dataValidation>
    <dataValidation type="list" sqref="Y52" allowBlank="true" errorStyle="stop" showErrorMessage="true" showInputMessage="true">
      <formula1>"Clássico,Premium"</formula1>
    </dataValidation>
    <dataValidation type="list" sqref="AA52" allowBlank="true" errorStyle="stop" showErrorMessage="true" showInputMessage="true">
      <formula1>"Ativo,Inativo"</formula1>
    </dataValidation>
    <dataValidation type="list" sqref="AB52" allowBlank="true" errorStyle="stop" showErrorMessage="true" showInputMessage="true">
      <formula1>"Garantia do vendedor,Garantia de fábrica,Sem garantia"</formula1>
    </dataValidation>
    <dataValidation type="list" sqref="AD52" allowBlank="true" errorStyle="stop" showErrorMessage="true" showInputMessage="true">
      <formula1>"dias,meses,anos"</formula1>
    </dataValidation>
    <dataValidation type="list" sqref="J53" allowBlank="true" errorStyle="stop" showErrorMessage="true" showInputMessage="true">
      <formula1>"R$"</formula1>
    </dataValidation>
    <dataValidation type="list" sqref="U53" allowBlank="true" errorStyle="stop" showErrorMessage="true" showInputMessage="true">
      <formula1>"Usado,Novo"</formula1>
    </dataValidation>
    <dataValidation type="list" sqref="W53" allowBlank="true" errorStyle="stop" showErrorMessage="true" showInputMessage="true">
      <formula1>"Mercado Envios por conta do comprador,Mercado Envios grátis"</formula1>
    </dataValidation>
    <dataValidation type="list" sqref="X53" allowBlank="true" errorStyle="stop" showErrorMessage="true" showInputMessage="true">
      <formula1>"Aceita,Não aceito"</formula1>
    </dataValidation>
    <dataValidation type="list" sqref="Y53" allowBlank="true" errorStyle="stop" showErrorMessage="true" showInputMessage="true">
      <formula1>"Clássico,Premium"</formula1>
    </dataValidation>
    <dataValidation type="list" sqref="AA53" allowBlank="true" errorStyle="stop" showErrorMessage="true" showInputMessage="true">
      <formula1>"Ativo,Inativo"</formula1>
    </dataValidation>
    <dataValidation type="list" sqref="AB53" allowBlank="true" errorStyle="stop" showErrorMessage="true" showInputMessage="true">
      <formula1>"Garantia do vendedor,Garantia de fábrica,Sem garantia"</formula1>
    </dataValidation>
    <dataValidation type="list" sqref="AD53" allowBlank="true" errorStyle="stop" showErrorMessage="true" showInputMessage="true">
      <formula1>"dias,meses,anos"</formula1>
    </dataValidation>
    <dataValidation type="list" sqref="J54" allowBlank="true" errorStyle="stop" showErrorMessage="true" showInputMessage="true">
      <formula1>"R$"</formula1>
    </dataValidation>
    <dataValidation type="list" sqref="U54" allowBlank="true" errorStyle="stop" showErrorMessage="true" showInputMessage="true">
      <formula1>"Novo"</formula1>
    </dataValidation>
    <dataValidation type="list" sqref="W54" allowBlank="true" errorStyle="stop" showErrorMessage="true" showInputMessage="true">
      <formula1>"Mercado Envios por conta do comprador,Mercado Envios grátis"</formula1>
    </dataValidation>
    <dataValidation type="list" sqref="X54" allowBlank="true" errorStyle="stop" showErrorMessage="true" showInputMessage="true">
      <formula1>"Aceita,Não aceito"</formula1>
    </dataValidation>
    <dataValidation type="list" sqref="Y54" allowBlank="true" errorStyle="stop" showErrorMessage="true" showInputMessage="true">
      <formula1>"Clássico,Premium"</formula1>
    </dataValidation>
    <dataValidation type="list" sqref="AA54" allowBlank="true" errorStyle="stop" showErrorMessage="true" showInputMessage="true">
      <formula1>"Ativo,Inativo"</formula1>
    </dataValidation>
    <dataValidation type="list" sqref="AB54" allowBlank="true" errorStyle="stop" showErrorMessage="true" showInputMessage="true">
      <formula1>"Garantia do vendedor,Garantia de fábrica,Sem garantia"</formula1>
    </dataValidation>
    <dataValidation type="list" sqref="AD54" allowBlank="true" errorStyle="stop" showErrorMessage="true" showInputMessage="true">
      <formula1>"dias,meses,anos"</formula1>
    </dataValidation>
    <dataValidation type="list" sqref="J55" allowBlank="true" errorStyle="stop" showErrorMessage="true" showInputMessage="true">
      <formula1>"R$"</formula1>
    </dataValidation>
    <dataValidation type="list" sqref="U55" allowBlank="true" errorStyle="stop" showErrorMessage="true" showInputMessage="true">
      <formula1>"Usado,Novo"</formula1>
    </dataValidation>
    <dataValidation type="list" sqref="W55" allowBlank="true" errorStyle="stop" showErrorMessage="true" showInputMessage="true">
      <formula1>"Mercado Envios por conta do comprador,Mercado Envios grátis"</formula1>
    </dataValidation>
    <dataValidation type="list" sqref="X55" allowBlank="true" errorStyle="stop" showErrorMessage="true" showInputMessage="true">
      <formula1>"Aceita,Não aceito"</formula1>
    </dataValidation>
    <dataValidation type="list" sqref="Y55" allowBlank="true" errorStyle="stop" showErrorMessage="true" showInputMessage="true">
      <formula1>"Clássico,Premium"</formula1>
    </dataValidation>
    <dataValidation type="list" sqref="AA55" allowBlank="true" errorStyle="stop" showErrorMessage="true" showInputMessage="true">
      <formula1>"Ativo,Inativo"</formula1>
    </dataValidation>
    <dataValidation type="list" sqref="AB55" allowBlank="true" errorStyle="stop" showErrorMessage="true" showInputMessage="true">
      <formula1>"Garantia do vendedor,Garantia de fábrica,Sem garantia"</formula1>
    </dataValidation>
    <dataValidation type="list" sqref="AD55" allowBlank="true" errorStyle="stop" showErrorMessage="true" showInputMessage="true">
      <formula1>"dias,meses,anos"</formula1>
    </dataValidation>
    <dataValidation type="list" sqref="J56" allowBlank="true" errorStyle="stop" showErrorMessage="true" showInputMessage="true">
      <formula1>"R$"</formula1>
    </dataValidation>
    <dataValidation type="list" sqref="U56" allowBlank="true" errorStyle="stop" showErrorMessage="true" showInputMessage="true">
      <formula1>"Usado,Novo"</formula1>
    </dataValidation>
    <dataValidation type="list" sqref="W56" allowBlank="true" errorStyle="stop" showErrorMessage="true" showInputMessage="true">
      <formula1>"Mercado Envios por conta do comprador,Mercado Envios grátis"</formula1>
    </dataValidation>
    <dataValidation type="list" sqref="X56" allowBlank="true" errorStyle="stop" showErrorMessage="true" showInputMessage="true">
      <formula1>"Aceita,Não aceito"</formula1>
    </dataValidation>
    <dataValidation type="list" sqref="Y56" allowBlank="true" errorStyle="stop" showErrorMessage="true" showInputMessage="true">
      <formula1>"Clássico,Premium"</formula1>
    </dataValidation>
    <dataValidation type="list" sqref="AA56" allowBlank="true" errorStyle="stop" showErrorMessage="true" showInputMessage="true">
      <formula1>"Ativo,Inativo"</formula1>
    </dataValidation>
    <dataValidation type="list" sqref="AB56" allowBlank="true" errorStyle="stop" showErrorMessage="true" showInputMessage="true">
      <formula1>"Garantia do vendedor,Garantia de fábrica,Sem garantia"</formula1>
    </dataValidation>
    <dataValidation type="list" sqref="AD56" allowBlank="true" errorStyle="stop" showErrorMessage="true" showInputMessage="true">
      <formula1>"dias,meses,anos"</formula1>
    </dataValidation>
    <dataValidation type="list" sqref="J57" allowBlank="true" errorStyle="stop" showErrorMessage="true" showInputMessage="true">
      <formula1>"R$"</formula1>
    </dataValidation>
    <dataValidation type="list" sqref="U57" allowBlank="true" errorStyle="stop" showErrorMessage="true" showInputMessage="true">
      <formula1>"Usado,Novo"</formula1>
    </dataValidation>
    <dataValidation type="list" sqref="X57" allowBlank="true" errorStyle="stop" showErrorMessage="true" showInputMessage="true">
      <formula1>"Aceita,Não aceito"</formula1>
    </dataValidation>
    <dataValidation type="list" sqref="Y57" allowBlank="true" errorStyle="stop" showErrorMessage="true" showInputMessage="true">
      <formula1>"Clássico,Premium"</formula1>
    </dataValidation>
    <dataValidation type="list" sqref="AA57" allowBlank="true" errorStyle="stop" showErrorMessage="true" showInputMessage="true">
      <formula1>"Ativo,Inativo"</formula1>
    </dataValidation>
    <dataValidation type="list" sqref="AB57" allowBlank="true" errorStyle="stop" showErrorMessage="true" showInputMessage="true">
      <formula1>"Garantia do vendedor,Garantia de fábrica,Sem garantia"</formula1>
    </dataValidation>
    <dataValidation type="list" sqref="AD57" allowBlank="true" errorStyle="stop" showErrorMessage="true" showInputMessage="true">
      <formula1>"dias,meses,anos"</formula1>
    </dataValidation>
    <dataValidation type="list" sqref="J58" allowBlank="true" errorStyle="stop" showErrorMessage="true" showInputMessage="true">
      <formula1>"R$"</formula1>
    </dataValidation>
    <dataValidation type="list" sqref="U58" allowBlank="true" errorStyle="stop" showErrorMessage="true" showInputMessage="true">
      <formula1>"Novo,Usado"</formula1>
    </dataValidation>
    <dataValidation type="list" sqref="W58" allowBlank="true" errorStyle="stop" showErrorMessage="true" showInputMessage="true">
      <formula1>"Mercado Envios por conta do comprador,Mercado Envios grátis"</formula1>
    </dataValidation>
    <dataValidation type="list" sqref="X58" allowBlank="true" errorStyle="stop" showErrorMessage="true" showInputMessage="true">
      <formula1>"Aceita,Não aceito"</formula1>
    </dataValidation>
    <dataValidation type="list" sqref="Y58" allowBlank="true" errorStyle="stop" showErrorMessage="true" showInputMessage="true">
      <formula1>"Clássico,Premium"</formula1>
    </dataValidation>
    <dataValidation type="list" sqref="AA58" allowBlank="true" errorStyle="stop" showErrorMessage="true" showInputMessage="true">
      <formula1>"Ativo,Inativo"</formula1>
    </dataValidation>
    <dataValidation type="list" sqref="AB58" allowBlank="true" errorStyle="stop" showErrorMessage="true" showInputMessage="true">
      <formula1>"Garantia do vendedor,Garantia de fábrica,Sem garantia"</formula1>
    </dataValidation>
    <dataValidation type="list" sqref="AD58" allowBlank="true" errorStyle="stop" showErrorMessage="true" showInputMessage="true">
      <formula1>"dias,meses,anos"</formula1>
    </dataValidation>
    <dataValidation type="list" sqref="J59" allowBlank="true" errorStyle="stop" showErrorMessage="true" showInputMessage="true">
      <formula1>"R$"</formula1>
    </dataValidation>
    <dataValidation type="list" sqref="U59" allowBlank="true" errorStyle="stop" showErrorMessage="true" showInputMessage="true">
      <formula1>"Usado,Novo"</formula1>
    </dataValidation>
    <dataValidation type="list" sqref="W59" allowBlank="true" errorStyle="stop" showErrorMessage="true" showInputMessage="true">
      <formula1>"Mercado Envios por conta do comprador,Mercado Envios grátis"</formula1>
    </dataValidation>
    <dataValidation type="list" sqref="X59" allowBlank="true" errorStyle="stop" showErrorMessage="true" showInputMessage="true">
      <formula1>"Aceita,Não aceito"</formula1>
    </dataValidation>
    <dataValidation type="list" sqref="Y59" allowBlank="true" errorStyle="stop" showErrorMessage="true" showInputMessage="true">
      <formula1>"Clássico,Premium"</formula1>
    </dataValidation>
    <dataValidation type="list" sqref="AA59" allowBlank="true" errorStyle="stop" showErrorMessage="true" showInputMessage="true">
      <formula1>"Ativo,Inativo"</formula1>
    </dataValidation>
    <dataValidation type="list" sqref="AB59" allowBlank="true" errorStyle="stop" showErrorMessage="true" showInputMessage="true">
      <formula1>"Garantia do vendedor,Garantia de fábrica,Sem garantia"</formula1>
    </dataValidation>
    <dataValidation type="list" sqref="AD59" allowBlank="true" errorStyle="stop" showErrorMessage="true" showInputMessage="true">
      <formula1>"dias,meses,anos"</formula1>
    </dataValidation>
    <dataValidation type="list" sqref="J60" allowBlank="true" errorStyle="stop" showErrorMessage="true" showInputMessage="true">
      <formula1>"R$"</formula1>
    </dataValidation>
    <dataValidation type="list" sqref="U60" allowBlank="true" errorStyle="stop" showErrorMessage="true" showInputMessage="true">
      <formula1>"Usado,Novo"</formula1>
    </dataValidation>
    <dataValidation type="list" sqref="W60" allowBlank="true" errorStyle="stop" showErrorMessage="true" showInputMessage="true">
      <formula1>"Mercado Envios por conta do comprador,Mercado Envios grátis"</formula1>
    </dataValidation>
    <dataValidation type="list" sqref="X60" allowBlank="true" errorStyle="stop" showErrorMessage="true" showInputMessage="true">
      <formula1>"Aceita,Não aceito"</formula1>
    </dataValidation>
    <dataValidation type="list" sqref="Y60" allowBlank="true" errorStyle="stop" showErrorMessage="true" showInputMessage="true">
      <formula1>"Clássico,Premium"</formula1>
    </dataValidation>
    <dataValidation type="list" sqref="AA60" allowBlank="true" errorStyle="stop" showErrorMessage="true" showInputMessage="true">
      <formula1>"Ativo,Inativo"</formula1>
    </dataValidation>
    <dataValidation type="list" sqref="AB60" allowBlank="true" errorStyle="stop" showErrorMessage="true" showInputMessage="true">
      <formula1>"Garantia do vendedor,Garantia de fábrica,Sem garantia"</formula1>
    </dataValidation>
    <dataValidation type="list" sqref="AD60" allowBlank="true" errorStyle="stop" showErrorMessage="true" showInputMessage="true">
      <formula1>"dias,meses,anos"</formula1>
    </dataValidation>
    <dataValidation type="list" sqref="J61" allowBlank="true" errorStyle="stop" showErrorMessage="true" showInputMessage="true">
      <formula1>"R$"</formula1>
    </dataValidation>
    <dataValidation type="list" sqref="W61" allowBlank="true" errorStyle="stop" showErrorMessage="true" showInputMessage="true">
      <formula1>"Mercado Envios por conta do comprador,Mercado Envios grátis"</formula1>
    </dataValidation>
    <dataValidation type="list" sqref="X61" allowBlank="true" errorStyle="stop" showErrorMessage="true" showInputMessage="true">
      <formula1>"Aceita,Não aceito"</formula1>
    </dataValidation>
    <dataValidation type="list" sqref="Y61" allowBlank="true" errorStyle="stop" showErrorMessage="true" showInputMessage="true">
      <formula1>"Clássico,Premium"</formula1>
    </dataValidation>
    <dataValidation type="list" sqref="AA61" allowBlank="true" errorStyle="stop" showErrorMessage="true" showInputMessage="true">
      <formula1>"Ativo,Inativo"</formula1>
    </dataValidation>
    <dataValidation type="list" sqref="AB61" allowBlank="true" errorStyle="stop" showErrorMessage="true" showInputMessage="true">
      <formula1>"Garantia do vendedor,Garantia de fábrica,Sem garantia"</formula1>
    </dataValidation>
    <dataValidation type="list" sqref="AD61" allowBlank="true" errorStyle="stop" showErrorMessage="true" showInputMessage="true">
      <formula1>"dias,meses,anos"</formula1>
    </dataValidation>
    <dataValidation type="list" sqref="J62" allowBlank="true" errorStyle="stop" showErrorMessage="true" showInputMessage="true">
      <formula1>"R$"</formula1>
    </dataValidation>
    <dataValidation type="list" sqref="U62" allowBlank="true" errorStyle="stop" showErrorMessage="true" showInputMessage="true">
      <formula1>"Novo,Usado"</formula1>
    </dataValidation>
    <dataValidation type="list" sqref="W62" allowBlank="true" errorStyle="stop" showErrorMessage="true" showInputMessage="true">
      <formula1>"Mercado Envios por conta do comprador,Mercado Envios grátis"</formula1>
    </dataValidation>
    <dataValidation type="list" sqref="X62" allowBlank="true" errorStyle="stop" showErrorMessage="true" showInputMessage="true">
      <formula1>"Aceita,Não aceito"</formula1>
    </dataValidation>
    <dataValidation type="list" sqref="Y62" allowBlank="true" errorStyle="stop" showErrorMessage="true" showInputMessage="true">
      <formula1>"Clássico,Premium"</formula1>
    </dataValidation>
    <dataValidation type="list" sqref="AA62" allowBlank="true" errorStyle="stop" showErrorMessage="true" showInputMessage="true">
      <formula1>"Ativo,Inativo"</formula1>
    </dataValidation>
    <dataValidation type="list" sqref="AB62" allowBlank="true" errorStyle="stop" showErrorMessage="true" showInputMessage="true">
      <formula1>"Garantia do vendedor,Garantia de fábrica,Sem garantia"</formula1>
    </dataValidation>
    <dataValidation type="list" sqref="AD62" allowBlank="true" errorStyle="stop" showErrorMessage="true" showInputMessage="true">
      <formula1>"dias,meses,anos"</formula1>
    </dataValidation>
    <dataValidation type="list" sqref="J63" allowBlank="true" errorStyle="stop" showErrorMessage="true" showInputMessage="true">
      <formula1>"R$"</formula1>
    </dataValidation>
    <dataValidation type="list" sqref="U63" allowBlank="true" errorStyle="stop" showErrorMessage="true" showInputMessage="true">
      <formula1>"Usado,Novo"</formula1>
    </dataValidation>
    <dataValidation type="list" sqref="W63" allowBlank="true" errorStyle="stop" showErrorMessage="true" showInputMessage="true">
      <formula1>"Mercado Envios por conta do comprador,Mercado Envios grátis"</formula1>
    </dataValidation>
    <dataValidation type="list" sqref="X63" allowBlank="true" errorStyle="stop" showErrorMessage="true" showInputMessage="true">
      <formula1>"Aceita,Não aceito"</formula1>
    </dataValidation>
    <dataValidation type="list" sqref="Y63" allowBlank="true" errorStyle="stop" showErrorMessage="true" showInputMessage="true">
      <formula1>"Clássico,Premium"</formula1>
    </dataValidation>
    <dataValidation type="list" sqref="AA63" allowBlank="true" errorStyle="stop" showErrorMessage="true" showInputMessage="true">
      <formula1>"Ativo,Inativo"</formula1>
    </dataValidation>
    <dataValidation type="list" sqref="AB63" allowBlank="true" errorStyle="stop" showErrorMessage="true" showInputMessage="true">
      <formula1>"Garantia do vendedor,Garantia de fábrica,Sem garantia"</formula1>
    </dataValidation>
    <dataValidation type="list" sqref="AD63" allowBlank="true" errorStyle="stop" showErrorMessage="true" showInputMessage="true">
      <formula1>"dias,meses,anos"</formula1>
    </dataValidation>
    <dataValidation type="list" sqref="J64" allowBlank="true" errorStyle="stop" showErrorMessage="true" showInputMessage="true">
      <formula1>"R$"</formula1>
    </dataValidation>
    <dataValidation type="list" sqref="U64" allowBlank="true" errorStyle="stop" showErrorMessage="true" showInputMessage="true">
      <formula1>"Novo,Usado"</formula1>
    </dataValidation>
    <dataValidation type="list" sqref="W64" allowBlank="true" errorStyle="stop" showErrorMessage="true" showInputMessage="true">
      <formula1>"Mercado Envios por conta do comprador,Mercado Envios grátis"</formula1>
    </dataValidation>
    <dataValidation type="list" sqref="X64" allowBlank="true" errorStyle="stop" showErrorMessage="true" showInputMessage="true">
      <formula1>"Aceita,Não aceito"</formula1>
    </dataValidation>
    <dataValidation type="list" sqref="Y64" allowBlank="true" errorStyle="stop" showErrorMessage="true" showInputMessage="true">
      <formula1>"Clássico,Premium"</formula1>
    </dataValidation>
    <dataValidation type="list" sqref="AA64" allowBlank="true" errorStyle="stop" showErrorMessage="true" showInputMessage="true">
      <formula1>"Ativo,Inativo"</formula1>
    </dataValidation>
    <dataValidation type="list" sqref="AB64" allowBlank="true" errorStyle="stop" showErrorMessage="true" showInputMessage="true">
      <formula1>"Garantia do vendedor,Garantia de fábrica,Sem garantia"</formula1>
    </dataValidation>
    <dataValidation type="list" sqref="AD64" allowBlank="true" errorStyle="stop" showErrorMessage="true" showInputMessage="true">
      <formula1>"dias,meses,anos"</formula1>
    </dataValidation>
    <dataValidation type="list" sqref="J65" allowBlank="true" errorStyle="stop" showErrorMessage="true" showInputMessage="true">
      <formula1>"R$"</formula1>
    </dataValidation>
    <dataValidation type="list" sqref="U65" allowBlank="true" errorStyle="stop" showErrorMessage="true" showInputMessage="true">
      <formula1>"Novo,Usado"</formula1>
    </dataValidation>
    <dataValidation type="list" sqref="W65" allowBlank="true" errorStyle="stop" showErrorMessage="true" showInputMessage="true">
      <formula1>"Mercado Envios por conta do comprador,Mercado Envios grátis"</formula1>
    </dataValidation>
    <dataValidation type="list" sqref="X65" allowBlank="true" errorStyle="stop" showErrorMessage="true" showInputMessage="true">
      <formula1>"Aceita,Não aceito"</formula1>
    </dataValidation>
    <dataValidation type="list" sqref="Y65" allowBlank="true" errorStyle="stop" showErrorMessage="true" showInputMessage="true">
      <formula1>"Clássico,Premium"</formula1>
    </dataValidation>
    <dataValidation type="list" sqref="AA65" allowBlank="true" errorStyle="stop" showErrorMessage="true" showInputMessage="true">
      <formula1>"Ativo,Inativo"</formula1>
    </dataValidation>
    <dataValidation type="list" sqref="AB65" allowBlank="true" errorStyle="stop" showErrorMessage="true" showInputMessage="true">
      <formula1>"Garantia do vendedor,Garantia de fábrica,Sem garantia"</formula1>
    </dataValidation>
    <dataValidation type="list" sqref="AD65" allowBlank="true" errorStyle="stop" showErrorMessage="true" showInputMessage="true">
      <formula1>"dias,meses,anos"</formula1>
    </dataValidation>
    <dataValidation type="list" sqref="J66" allowBlank="true" errorStyle="stop" showErrorMessage="true" showInputMessage="true">
      <formula1>"R$"</formula1>
    </dataValidation>
    <dataValidation type="list" sqref="U66" allowBlank="true" errorStyle="stop" showErrorMessage="true" showInputMessage="true">
      <formula1>"Usado,Novo"</formula1>
    </dataValidation>
    <dataValidation type="list" sqref="W66" allowBlank="true" errorStyle="stop" showErrorMessage="true" showInputMessage="true">
      <formula1>"Mercado Envios por conta do comprador,Mercado Envios grátis"</formula1>
    </dataValidation>
    <dataValidation type="list" sqref="X66" allowBlank="true" errorStyle="stop" showErrorMessage="true" showInputMessage="true">
      <formula1>"Aceita,Não aceito"</formula1>
    </dataValidation>
    <dataValidation type="list" sqref="Y66" allowBlank="true" errorStyle="stop" showErrorMessage="true" showInputMessage="true">
      <formula1>"Clássico,Premium"</formula1>
    </dataValidation>
    <dataValidation type="list" sqref="AA66" allowBlank="true" errorStyle="stop" showErrorMessage="true" showInputMessage="true">
      <formula1>"Ativo,Inativo"</formula1>
    </dataValidation>
    <dataValidation type="list" sqref="AB66" allowBlank="true" errorStyle="stop" showErrorMessage="true" showInputMessage="true">
      <formula1>"Garantia do vendedor,Garantia de fábrica,Sem garantia"</formula1>
    </dataValidation>
    <dataValidation type="list" sqref="AD66" allowBlank="true" errorStyle="stop" showErrorMessage="true" showInputMessage="true">
      <formula1>"dias,meses,anos"</formula1>
    </dataValidation>
    <dataValidation type="list" sqref="J67" allowBlank="true" errorStyle="stop" showErrorMessage="true" showInputMessage="true">
      <formula1>"R$"</formula1>
    </dataValidation>
    <dataValidation type="list" sqref="U67" allowBlank="true" errorStyle="stop" showErrorMessage="true" showInputMessage="true">
      <formula1>"Usado,Novo"</formula1>
    </dataValidation>
    <dataValidation type="list" sqref="W67" allowBlank="true" errorStyle="stop" showErrorMessage="true" showInputMessage="true">
      <formula1>"Mercado Envios por conta do comprador,Mercado Envios grátis"</formula1>
    </dataValidation>
    <dataValidation type="list" sqref="X67" allowBlank="true" errorStyle="stop" showErrorMessage="true" showInputMessage="true">
      <formula1>"Aceita,Não aceito"</formula1>
    </dataValidation>
    <dataValidation type="list" sqref="Y67" allowBlank="true" errorStyle="stop" showErrorMessage="true" showInputMessage="true">
      <formula1>"Clássico,Premium"</formula1>
    </dataValidation>
    <dataValidation type="list" sqref="AA67" allowBlank="true" errorStyle="stop" showErrorMessage="true" showInputMessage="true">
      <formula1>"Ativo,Inativo"</formula1>
    </dataValidation>
    <dataValidation type="list" sqref="AB67" allowBlank="true" errorStyle="stop" showErrorMessage="true" showInputMessage="true">
      <formula1>"Garantia do vendedor,Garantia de fábrica,Sem garantia"</formula1>
    </dataValidation>
    <dataValidation type="list" sqref="AD67" allowBlank="true" errorStyle="stop" showErrorMessage="true" showInputMessage="true">
      <formula1>"dias,meses,anos"</formula1>
    </dataValidation>
    <dataValidation type="list" sqref="J68" allowBlank="true" errorStyle="stop" showErrorMessage="true" showInputMessage="true">
      <formula1>"R$"</formula1>
    </dataValidation>
    <dataValidation type="list" sqref="U68" allowBlank="true" errorStyle="stop" showErrorMessage="true" showInputMessage="true">
      <formula1>"Novo,Usado"</formula1>
    </dataValidation>
    <dataValidation type="list" sqref="W68" allowBlank="true" errorStyle="stop" showErrorMessage="true" showInputMessage="true">
      <formula1>"Mercado Envios por conta do comprador,Mercado Envios grátis"</formula1>
    </dataValidation>
    <dataValidation type="list" sqref="X68" allowBlank="true" errorStyle="stop" showErrorMessage="true" showInputMessage="true">
      <formula1>"Aceita,Não aceito"</formula1>
    </dataValidation>
    <dataValidation type="list" sqref="Y68" allowBlank="true" errorStyle="stop" showErrorMessage="true" showInputMessage="true">
      <formula1>"Clássico,Premium"</formula1>
    </dataValidation>
    <dataValidation type="list" sqref="AA68" allowBlank="true" errorStyle="stop" showErrorMessage="true" showInputMessage="true">
      <formula1>"Ativo,Inativo"</formula1>
    </dataValidation>
    <dataValidation type="list" sqref="AB68" allowBlank="true" errorStyle="stop" showErrorMessage="true" showInputMessage="true">
      <formula1>"Garantia do vendedor,Garantia de fábrica,Sem garantia"</formula1>
    </dataValidation>
    <dataValidation type="list" sqref="AD68" allowBlank="true" errorStyle="stop" showErrorMessage="true" showInputMessage="true">
      <formula1>"dias,meses,anos"</formula1>
    </dataValidation>
    <dataValidation type="list" sqref="J69" allowBlank="true" errorStyle="stop" showErrorMessage="true" showInputMessage="true">
      <formula1>"R$"</formula1>
    </dataValidation>
    <dataValidation type="list" sqref="U69" allowBlank="true" errorStyle="stop" showErrorMessage="true" showInputMessage="true">
      <formula1>"Usado,Novo"</formula1>
    </dataValidation>
    <dataValidation type="list" sqref="W69" allowBlank="true" errorStyle="stop" showErrorMessage="true" showInputMessage="true">
      <formula1>"Mercado Envios por conta do comprador,Mercado Envios grátis"</formula1>
    </dataValidation>
    <dataValidation type="list" sqref="X69" allowBlank="true" errorStyle="stop" showErrorMessage="true" showInputMessage="true">
      <formula1>"Aceita,Não aceito"</formula1>
    </dataValidation>
    <dataValidation type="list" sqref="Y69" allowBlank="true" errorStyle="stop" showErrorMessage="true" showInputMessage="true">
      <formula1>"Clássico,Premium"</formula1>
    </dataValidation>
    <dataValidation type="list" sqref="AA69" allowBlank="true" errorStyle="stop" showErrorMessage="true" showInputMessage="true">
      <formula1>"Ativo,Inativo"</formula1>
    </dataValidation>
    <dataValidation type="list" sqref="AB69" allowBlank="true" errorStyle="stop" showErrorMessage="true" showInputMessage="true">
      <formula1>"Garantia do vendedor,Garantia de fábrica,Sem garantia"</formula1>
    </dataValidation>
    <dataValidation type="list" sqref="AD69" allowBlank="true" errorStyle="stop" showErrorMessage="true" showInputMessage="true">
      <formula1>"dias,meses,anos"</formula1>
    </dataValidation>
    <dataValidation type="list" sqref="J70" allowBlank="true" errorStyle="stop" showErrorMessage="true" showInputMessage="true">
      <formula1>"R$"</formula1>
    </dataValidation>
    <dataValidation type="list" sqref="U70" allowBlank="true" errorStyle="stop" showErrorMessage="true" showInputMessage="true">
      <formula1>"Novo,Usado"</formula1>
    </dataValidation>
    <dataValidation type="list" sqref="W70" allowBlank="true" errorStyle="stop" showErrorMessage="true" showInputMessage="true">
      <formula1>"Mercado Envios por conta do comprador,Mercado Envios grátis"</formula1>
    </dataValidation>
    <dataValidation type="list" sqref="X70" allowBlank="true" errorStyle="stop" showErrorMessage="true" showInputMessage="true">
      <formula1>"Aceita,Não aceito"</formula1>
    </dataValidation>
    <dataValidation type="list" sqref="Y70" allowBlank="true" errorStyle="stop" showErrorMessage="true" showInputMessage="true">
      <formula1>"Clássico,Premium"</formula1>
    </dataValidation>
    <dataValidation type="list" sqref="AA70" allowBlank="true" errorStyle="stop" showErrorMessage="true" showInputMessage="true">
      <formula1>"Ativo,Inativo"</formula1>
    </dataValidation>
    <dataValidation type="list" sqref="AB70" allowBlank="true" errorStyle="stop" showErrorMessage="true" showInputMessage="true">
      <formula1>"Garantia do vendedor,Garantia de fábrica,Sem garantia"</formula1>
    </dataValidation>
    <dataValidation type="list" sqref="AD70" allowBlank="true" errorStyle="stop" showErrorMessage="true" showInputMessage="true">
      <formula1>"dias,meses,anos"</formula1>
    </dataValidation>
    <dataValidation type="list" sqref="J71" allowBlank="true" errorStyle="stop" showErrorMessage="true" showInputMessage="true">
      <formula1>"R$"</formula1>
    </dataValidation>
    <dataValidation type="list" sqref="U71" allowBlank="true" errorStyle="stop" showErrorMessage="true" showInputMessage="true">
      <formula1>"Usado,Novo"</formula1>
    </dataValidation>
    <dataValidation type="list" sqref="W71" allowBlank="true" errorStyle="stop" showErrorMessage="true" showInputMessage="true">
      <formula1>"Mercado Envios por conta do comprador,Mercado Envios grátis"</formula1>
    </dataValidation>
    <dataValidation type="list" sqref="X71" allowBlank="true" errorStyle="stop" showErrorMessage="true" showInputMessage="true">
      <formula1>"Aceita,Não aceito"</formula1>
    </dataValidation>
    <dataValidation type="list" sqref="Y71" allowBlank="true" errorStyle="stop" showErrorMessage="true" showInputMessage="true">
      <formula1>"Clássico,Premium"</formula1>
    </dataValidation>
    <dataValidation type="list" sqref="AA71" allowBlank="true" errorStyle="stop" showErrorMessage="true" showInputMessage="true">
      <formula1>"Ativo,Inativo"</formula1>
    </dataValidation>
    <dataValidation type="list" sqref="AB71" allowBlank="true" errorStyle="stop" showErrorMessage="true" showInputMessage="true">
      <formula1>"Garantia do vendedor,Garantia de fábrica,Sem garantia"</formula1>
    </dataValidation>
    <dataValidation type="list" sqref="AD71" allowBlank="true" errorStyle="stop" showErrorMessage="true" showInputMessage="true">
      <formula1>"dias,meses,anos"</formula1>
    </dataValidation>
    <dataValidation type="list" sqref="J72" allowBlank="true" errorStyle="stop" showErrorMessage="true" showInputMessage="true">
      <formula1>"R$"</formula1>
    </dataValidation>
    <dataValidation type="list" sqref="U72" allowBlank="true" errorStyle="stop" showErrorMessage="true" showInputMessage="true">
      <formula1>"Novo"</formula1>
    </dataValidation>
    <dataValidation type="list" sqref="W72" allowBlank="true" errorStyle="stop" showErrorMessage="true" showInputMessage="true">
      <formula1>"Mercado Envios por conta do comprador,Mercado Envios grátis"</formula1>
    </dataValidation>
    <dataValidation type="list" sqref="X72" allowBlank="true" errorStyle="stop" showErrorMessage="true" showInputMessage="true">
      <formula1>"Aceita,Não aceito"</formula1>
    </dataValidation>
    <dataValidation type="list" sqref="Y72" allowBlank="true" errorStyle="stop" showErrorMessage="true" showInputMessage="true">
      <formula1>"Clássico,Premium"</formula1>
    </dataValidation>
    <dataValidation type="list" sqref="AA72" allowBlank="true" errorStyle="stop" showErrorMessage="true" showInputMessage="true">
      <formula1>"Ativo,Inativo"</formula1>
    </dataValidation>
    <dataValidation type="list" sqref="AB72" allowBlank="true" errorStyle="stop" showErrorMessage="true" showInputMessage="true">
      <formula1>"Garantia do vendedor,Garantia de fábrica,Sem garantia"</formula1>
    </dataValidation>
    <dataValidation type="list" sqref="AD72" allowBlank="true" errorStyle="stop" showErrorMessage="true" showInputMessage="true">
      <formula1>"dias,meses,anos"</formula1>
    </dataValidation>
    <dataValidation type="list" sqref="J73" allowBlank="true" errorStyle="stop" showErrorMessage="true" showInputMessage="true">
      <formula1>"R$"</formula1>
    </dataValidation>
    <dataValidation type="list" sqref="U73" allowBlank="true" errorStyle="stop" showErrorMessage="true" showInputMessage="true">
      <formula1>"Usado,Novo"</formula1>
    </dataValidation>
    <dataValidation type="list" sqref="W73" allowBlank="true" errorStyle="stop" showErrorMessage="true" showInputMessage="true">
      <formula1>"Mercado Envios por conta do comprador,Mercado Envios grátis"</formula1>
    </dataValidation>
    <dataValidation type="list" sqref="X73" allowBlank="true" errorStyle="stop" showErrorMessage="true" showInputMessage="true">
      <formula1>"Aceita,Não aceito"</formula1>
    </dataValidation>
    <dataValidation type="list" sqref="Y73" allowBlank="true" errorStyle="stop" showErrorMessage="true" showInputMessage="true">
      <formula1>"Clássico,Premium"</formula1>
    </dataValidation>
    <dataValidation type="list" sqref="AA73" allowBlank="true" errorStyle="stop" showErrorMessage="true" showInputMessage="true">
      <formula1>"Ativo,Inativo"</formula1>
    </dataValidation>
    <dataValidation type="list" sqref="AB73" allowBlank="true" errorStyle="stop" showErrorMessage="true" showInputMessage="true">
      <formula1>"Garantia do vendedor,Garantia de fábrica,Sem garantia"</formula1>
    </dataValidation>
    <dataValidation type="list" sqref="AD73" allowBlank="true" errorStyle="stop" showErrorMessage="true" showInputMessage="true">
      <formula1>"dias,meses,anos"</formula1>
    </dataValidation>
    <dataValidation type="list" sqref="J74" allowBlank="true" errorStyle="stop" showErrorMessage="true" showInputMessage="true">
      <formula1>"R$"</formula1>
    </dataValidation>
    <dataValidation type="list" sqref="U74" allowBlank="true" errorStyle="stop" showErrorMessage="true" showInputMessage="true">
      <formula1>"Usado,Novo"</formula1>
    </dataValidation>
    <dataValidation type="list" sqref="W74" allowBlank="true" errorStyle="stop" showErrorMessage="true" showInputMessage="true">
      <formula1>"Mercado Envios por conta do comprador,Mercado Envios grátis"</formula1>
    </dataValidation>
    <dataValidation type="list" sqref="X74" allowBlank="true" errorStyle="stop" showErrorMessage="true" showInputMessage="true">
      <formula1>"Aceita,Não aceito"</formula1>
    </dataValidation>
    <dataValidation type="list" sqref="Y74" allowBlank="true" errorStyle="stop" showErrorMessage="true" showInputMessage="true">
      <formula1>"Clássico,Premium"</formula1>
    </dataValidation>
    <dataValidation type="list" sqref="AA74" allowBlank="true" errorStyle="stop" showErrorMessage="true" showInputMessage="true">
      <formula1>"Ativo,Inativo"</formula1>
    </dataValidation>
    <dataValidation type="list" sqref="AB74" allowBlank="true" errorStyle="stop" showErrorMessage="true" showInputMessage="true">
      <formula1>"Garantia do vendedor,Garantia de fábrica,Sem garantia"</formula1>
    </dataValidation>
    <dataValidation type="list" sqref="AD74" allowBlank="true" errorStyle="stop" showErrorMessage="true" showInputMessage="true">
      <formula1>"dias,meses,anos"</formula1>
    </dataValidation>
    <dataValidation type="list" sqref="J75" allowBlank="true" errorStyle="stop" showErrorMessage="true" showInputMessage="true">
      <formula1>"R$"</formula1>
    </dataValidation>
    <dataValidation type="list" sqref="U75" allowBlank="true" errorStyle="stop" showErrorMessage="true" showInputMessage="true">
      <formula1>"Usado,Novo"</formula1>
    </dataValidation>
    <dataValidation type="list" sqref="W75" allowBlank="true" errorStyle="stop" showErrorMessage="true" showInputMessage="true">
      <formula1>"Mercado Envios por conta do comprador,Mercado Envios grátis"</formula1>
    </dataValidation>
    <dataValidation type="list" sqref="X75" allowBlank="true" errorStyle="stop" showErrorMessage="true" showInputMessage="true">
      <formula1>"Aceita,Não aceito"</formula1>
    </dataValidation>
    <dataValidation type="list" sqref="Y75" allowBlank="true" errorStyle="stop" showErrorMessage="true" showInputMessage="true">
      <formula1>"Clássico,Premium"</formula1>
    </dataValidation>
    <dataValidation type="list" sqref="AA75" allowBlank="true" errorStyle="stop" showErrorMessage="true" showInputMessage="true">
      <formula1>"Ativo,Inativo"</formula1>
    </dataValidation>
    <dataValidation type="list" sqref="AB75" allowBlank="true" errorStyle="stop" showErrorMessage="true" showInputMessage="true">
      <formula1>"Garantia do vendedor,Garantia de fábrica,Sem garantia"</formula1>
    </dataValidation>
    <dataValidation type="list" sqref="AD75" allowBlank="true" errorStyle="stop" showErrorMessage="true" showInputMessage="true">
      <formula1>"dias,meses,anos"</formula1>
    </dataValidation>
    <dataValidation type="list" sqref="J76" allowBlank="true" errorStyle="stop" showErrorMessage="true" showInputMessage="true">
      <formula1>"R$"</formula1>
    </dataValidation>
    <dataValidation type="list" sqref="U76" allowBlank="true" errorStyle="stop" showErrorMessage="true" showInputMessage="true">
      <formula1>"Usado,Novo"</formula1>
    </dataValidation>
    <dataValidation type="list" sqref="W76" allowBlank="true" errorStyle="stop" showErrorMessage="true" showInputMessage="true">
      <formula1>"Mercado Envios por conta do comprador,Mercado Envios grátis"</formula1>
    </dataValidation>
    <dataValidation type="list" sqref="X76" allowBlank="true" errorStyle="stop" showErrorMessage="true" showInputMessage="true">
      <formula1>"Aceita,Não aceito"</formula1>
    </dataValidation>
    <dataValidation type="list" sqref="Y76" allowBlank="true" errorStyle="stop" showErrorMessage="true" showInputMessage="true">
      <formula1>"Clássico,Premium"</formula1>
    </dataValidation>
    <dataValidation type="list" sqref="AA76" allowBlank="true" errorStyle="stop" showErrorMessage="true" showInputMessage="true">
      <formula1>"Ativo,Inativo"</formula1>
    </dataValidation>
    <dataValidation type="list" sqref="AB76" allowBlank="true" errorStyle="stop" showErrorMessage="true" showInputMessage="true">
      <formula1>"Garantia do vendedor,Garantia de fábrica,Sem garantia"</formula1>
    </dataValidation>
    <dataValidation type="list" sqref="AD76" allowBlank="true" errorStyle="stop" showErrorMessage="true" showInputMessage="true">
      <formula1>"dias,meses,anos"</formula1>
    </dataValidation>
    <dataValidation type="list" sqref="J77" allowBlank="true" errorStyle="stop" showErrorMessage="true" showInputMessage="true">
      <formula1>"R$"</formula1>
    </dataValidation>
    <dataValidation type="list" sqref="U77" allowBlank="true" errorStyle="stop" showErrorMessage="true" showInputMessage="true">
      <formula1>"Novo,Usado"</formula1>
    </dataValidation>
    <dataValidation type="list" sqref="W77" allowBlank="true" errorStyle="stop" showErrorMessage="true" showInputMessage="true">
      <formula1>"Mercado Envios por conta do comprador,Mercado Envios grátis"</formula1>
    </dataValidation>
    <dataValidation type="list" sqref="X77" allowBlank="true" errorStyle="stop" showErrorMessage="true" showInputMessage="true">
      <formula1>"Aceita,Não aceito"</formula1>
    </dataValidation>
    <dataValidation type="list" sqref="Y77" allowBlank="true" errorStyle="stop" showErrorMessage="true" showInputMessage="true">
      <formula1>"Clássico,Premium"</formula1>
    </dataValidation>
    <dataValidation type="list" sqref="AA77" allowBlank="true" errorStyle="stop" showErrorMessage="true" showInputMessage="true">
      <formula1>"Ativo,Inativo"</formula1>
    </dataValidation>
    <dataValidation type="list" sqref="AB77" allowBlank="true" errorStyle="stop" showErrorMessage="true" showInputMessage="true">
      <formula1>"Garantia do vendedor,Garantia de fábrica,Sem garantia"</formula1>
    </dataValidation>
    <dataValidation type="list" sqref="AD77" allowBlank="true" errorStyle="stop" showErrorMessage="true" showInputMessage="true">
      <formula1>"dias,meses,anos"</formula1>
    </dataValidation>
    <dataValidation type="list" sqref="J78" allowBlank="true" errorStyle="stop" showErrorMessage="true" showInputMessage="true">
      <formula1>"R$"</formula1>
    </dataValidation>
    <dataValidation type="list" sqref="U78" allowBlank="true" errorStyle="stop" showErrorMessage="true" showInputMessage="true">
      <formula1>"Novo,Usado"</formula1>
    </dataValidation>
    <dataValidation type="list" sqref="W78" allowBlank="true" errorStyle="stop" showErrorMessage="true" showInputMessage="true">
      <formula1>"Mercado Envios por conta do comprador,Mercado Envios grátis"</formula1>
    </dataValidation>
    <dataValidation type="list" sqref="X78" allowBlank="true" errorStyle="stop" showErrorMessage="true" showInputMessage="true">
      <formula1>"Aceita,Não aceito"</formula1>
    </dataValidation>
    <dataValidation type="list" sqref="Y78" allowBlank="true" errorStyle="stop" showErrorMessage="true" showInputMessage="true">
      <formula1>"Clássico,Premium"</formula1>
    </dataValidation>
    <dataValidation type="list" sqref="AA78" allowBlank="true" errorStyle="stop" showErrorMessage="true" showInputMessage="true">
      <formula1>"Ativo,Inativo"</formula1>
    </dataValidation>
    <dataValidation type="list" sqref="AB78" allowBlank="true" errorStyle="stop" showErrorMessage="true" showInputMessage="true">
      <formula1>"Garantia do vendedor,Garantia de fábrica,Sem garantia"</formula1>
    </dataValidation>
    <dataValidation type="list" sqref="AD78" allowBlank="true" errorStyle="stop" showErrorMessage="true" showInputMessage="true">
      <formula1>"dias,meses,anos"</formula1>
    </dataValidation>
    <dataValidation type="list" sqref="J79" allowBlank="true" errorStyle="stop" showErrorMessage="true" showInputMessage="true">
      <formula1>"R$"</formula1>
    </dataValidation>
    <dataValidation type="list" sqref="U79" allowBlank="true" errorStyle="stop" showErrorMessage="true" showInputMessage="true">
      <formula1>"Novo,Usado"</formula1>
    </dataValidation>
    <dataValidation type="list" sqref="W79" allowBlank="true" errorStyle="stop" showErrorMessage="true" showInputMessage="true">
      <formula1>"Mercado Envios por conta do comprador,Mercado Envios grátis"</formula1>
    </dataValidation>
    <dataValidation type="list" sqref="X79" allowBlank="true" errorStyle="stop" showErrorMessage="true" showInputMessage="true">
      <formula1>"Aceita,Não aceito"</formula1>
    </dataValidation>
    <dataValidation type="list" sqref="Y79" allowBlank="true" errorStyle="stop" showErrorMessage="true" showInputMessage="true">
      <formula1>"Clássico,Premium"</formula1>
    </dataValidation>
    <dataValidation type="list" sqref="AA79" allowBlank="true" errorStyle="stop" showErrorMessage="true" showInputMessage="true">
      <formula1>"Ativo,Inativo"</formula1>
    </dataValidation>
    <dataValidation type="list" sqref="AB79" allowBlank="true" errorStyle="stop" showErrorMessage="true" showInputMessage="true">
      <formula1>"Garantia do vendedor,Garantia de fábrica,Sem garantia"</formula1>
    </dataValidation>
    <dataValidation type="list" sqref="AD79" allowBlank="true" errorStyle="stop" showErrorMessage="true" showInputMessage="true">
      <formula1>"dias,meses,anos"</formula1>
    </dataValidation>
    <dataValidation type="list" sqref="J80" allowBlank="true" errorStyle="stop" showErrorMessage="true" showInputMessage="true">
      <formula1>"R$"</formula1>
    </dataValidation>
    <dataValidation type="list" sqref="U80" allowBlank="true" errorStyle="stop" showErrorMessage="true" showInputMessage="true">
      <formula1>"Usado,Novo"</formula1>
    </dataValidation>
    <dataValidation type="list" sqref="W80" allowBlank="true" errorStyle="stop" showErrorMessage="true" showInputMessage="true">
      <formula1>"Mercado Envios por conta do comprador,Mercado Envios grátis"</formula1>
    </dataValidation>
    <dataValidation type="list" sqref="X80" allowBlank="true" errorStyle="stop" showErrorMessage="true" showInputMessage="true">
      <formula1>"Aceita,Não aceito"</formula1>
    </dataValidation>
    <dataValidation type="list" sqref="Y80" allowBlank="true" errorStyle="stop" showErrorMessage="true" showInputMessage="true">
      <formula1>"Clássico,Premium"</formula1>
    </dataValidation>
    <dataValidation type="list" sqref="AA80" allowBlank="true" errorStyle="stop" showErrorMessage="true" showInputMessage="true">
      <formula1>"Ativo,Inativo"</formula1>
    </dataValidation>
    <dataValidation type="list" sqref="AB80" allowBlank="true" errorStyle="stop" showErrorMessage="true" showInputMessage="true">
      <formula1>"Garantia do vendedor,Garantia de fábrica,Sem garantia"</formula1>
    </dataValidation>
    <dataValidation type="list" sqref="AD80" allowBlank="true" errorStyle="stop" showErrorMessage="true" showInputMessage="true">
      <formula1>"dias,meses,anos"</formula1>
    </dataValidation>
    <dataValidation type="list" sqref="J81" allowBlank="true" errorStyle="stop" showErrorMessage="true" showInputMessage="true">
      <formula1>"R$"</formula1>
    </dataValidation>
    <dataValidation type="list" sqref="U81" allowBlank="true" errorStyle="stop" showErrorMessage="true" showInputMessage="true">
      <formula1>"Novo,Usado"</formula1>
    </dataValidation>
    <dataValidation type="list" sqref="W81" allowBlank="true" errorStyle="stop" showErrorMessage="true" showInputMessage="true">
      <formula1>"Mercado Envios por conta do comprador,Mercado Envios grátis"</formula1>
    </dataValidation>
    <dataValidation type="list" sqref="X81" allowBlank="true" errorStyle="stop" showErrorMessage="true" showInputMessage="true">
      <formula1>"Aceita,Não aceito"</formula1>
    </dataValidation>
    <dataValidation type="list" sqref="Y81" allowBlank="true" errorStyle="stop" showErrorMessage="true" showInputMessage="true">
      <formula1>"Clássico,Premium"</formula1>
    </dataValidation>
    <dataValidation type="list" sqref="AA81" allowBlank="true" errorStyle="stop" showErrorMessage="true" showInputMessage="true">
      <formula1>"Ativo,Inativo"</formula1>
    </dataValidation>
    <dataValidation type="list" sqref="AB81" allowBlank="true" errorStyle="stop" showErrorMessage="true" showInputMessage="true">
      <formula1>"Garantia do vendedor,Garantia de fábrica,Sem garantia"</formula1>
    </dataValidation>
    <dataValidation type="list" sqref="AD81" allowBlank="true" errorStyle="stop" showErrorMessage="true" showInputMessage="true">
      <formula1>"dias,meses,anos"</formula1>
    </dataValidation>
    <dataValidation type="list" sqref="J82" allowBlank="true" errorStyle="stop" showErrorMessage="true" showInputMessage="true">
      <formula1>"R$"</formula1>
    </dataValidation>
    <dataValidation type="list" sqref="U82" allowBlank="true" errorStyle="stop" showErrorMessage="true" showInputMessage="true">
      <formula1>"Novo,Usado"</formula1>
    </dataValidation>
    <dataValidation type="list" sqref="W82" allowBlank="true" errorStyle="stop" showErrorMessage="true" showInputMessage="true">
      <formula1>"Mercado Envios por conta do comprador,Mercado Envios grátis"</formula1>
    </dataValidation>
    <dataValidation type="list" sqref="X82" allowBlank="true" errorStyle="stop" showErrorMessage="true" showInputMessage="true">
      <formula1>"Aceita,Não aceito"</formula1>
    </dataValidation>
    <dataValidation type="list" sqref="Y82" allowBlank="true" errorStyle="stop" showErrorMessage="true" showInputMessage="true">
      <formula1>"Clássico,Premium"</formula1>
    </dataValidation>
    <dataValidation type="list" sqref="AA82" allowBlank="true" errorStyle="stop" showErrorMessage="true" showInputMessage="true">
      <formula1>"Ativo,Inativo"</formula1>
    </dataValidation>
    <dataValidation type="list" sqref="AB82" allowBlank="true" errorStyle="stop" showErrorMessage="true" showInputMessage="true">
      <formula1>"Garantia do vendedor,Garantia de fábrica,Sem garantia"</formula1>
    </dataValidation>
    <dataValidation type="list" sqref="AD82" allowBlank="true" errorStyle="stop" showErrorMessage="true" showInputMessage="true">
      <formula1>"dias,meses,anos"</formula1>
    </dataValidation>
    <dataValidation type="list" sqref="J83" allowBlank="true" errorStyle="stop" showErrorMessage="true" showInputMessage="true">
      <formula1>"R$"</formula1>
    </dataValidation>
    <dataValidation type="list" sqref="U83" allowBlank="true" errorStyle="stop" showErrorMessage="true" showInputMessage="true">
      <formula1>"Novo,Usado,Recondicionado"</formula1>
    </dataValidation>
    <dataValidation type="list" sqref="W83" allowBlank="true" errorStyle="stop" showErrorMessage="true" showInputMessage="true">
      <formula1>"Mercado Envios por conta do comprador,Mercado Envios grátis"</formula1>
    </dataValidation>
    <dataValidation type="list" sqref="X83" allowBlank="true" errorStyle="stop" showErrorMessage="true" showInputMessage="true">
      <formula1>"Aceita,Não aceito"</formula1>
    </dataValidation>
    <dataValidation type="list" sqref="Y83" allowBlank="true" errorStyle="stop" showErrorMessage="true" showInputMessage="true">
      <formula1>"Clássico,Premium"</formula1>
    </dataValidation>
    <dataValidation type="list" sqref="AA83" allowBlank="true" errorStyle="stop" showErrorMessage="true" showInputMessage="true">
      <formula1>"Ativo,Inativo"</formula1>
    </dataValidation>
    <dataValidation type="list" sqref="AB83" allowBlank="true" errorStyle="stop" showErrorMessage="true" showInputMessage="true">
      <formula1>"Garantia do vendedor,Garantia de fábrica,Sem garantia"</formula1>
    </dataValidation>
    <dataValidation type="list" sqref="AD83" allowBlank="true" errorStyle="stop" showErrorMessage="true" showInputMessage="true">
      <formula1>"dias,meses,anos"</formula1>
    </dataValidation>
    <dataValidation type="list" sqref="J84" allowBlank="true" errorStyle="stop" showErrorMessage="true" showInputMessage="true">
      <formula1>"R$"</formula1>
    </dataValidation>
    <dataValidation type="list" sqref="U84" allowBlank="true" errorStyle="stop" showErrorMessage="true" showInputMessage="true">
      <formula1>"Usado,Novo"</formula1>
    </dataValidation>
    <dataValidation type="list" sqref="W84" allowBlank="true" errorStyle="stop" showErrorMessage="true" showInputMessage="true">
      <formula1>"Mercado Envios por conta do comprador,Mercado Envios grátis"</formula1>
    </dataValidation>
    <dataValidation type="list" sqref="X84" allowBlank="true" errorStyle="stop" showErrorMessage="true" showInputMessage="true">
      <formula1>"Aceita,Não aceito"</formula1>
    </dataValidation>
    <dataValidation type="list" sqref="Y84" allowBlank="true" errorStyle="stop" showErrorMessage="true" showInputMessage="true">
      <formula1>"Clássico,Premium"</formula1>
    </dataValidation>
    <dataValidation type="list" sqref="AA84" allowBlank="true" errorStyle="stop" showErrorMessage="true" showInputMessage="true">
      <formula1>"Ativo,Inativo"</formula1>
    </dataValidation>
    <dataValidation type="list" sqref="AB84" allowBlank="true" errorStyle="stop" showErrorMessage="true" showInputMessage="true">
      <formula1>"Garantia do vendedor,Garantia de fábrica,Sem garantia"</formula1>
    </dataValidation>
    <dataValidation type="list" sqref="AD84" allowBlank="true" errorStyle="stop" showErrorMessage="true" showInputMessage="true">
      <formula1>"dias,meses,anos"</formula1>
    </dataValidation>
    <dataValidation type="list" sqref="J85" allowBlank="true" errorStyle="stop" showErrorMessage="true" showInputMessage="true">
      <formula1>"R$"</formula1>
    </dataValidation>
    <dataValidation type="list" sqref="U85" allowBlank="true" errorStyle="stop" showErrorMessage="true" showInputMessage="true">
      <formula1>"Usado,Novo,Recondicionado"</formula1>
    </dataValidation>
    <dataValidation type="list" sqref="W85" allowBlank="true" errorStyle="stop" showErrorMessage="true" showInputMessage="true">
      <formula1>"Mercado Envios por conta do comprador,Mercado Envios grátis"</formula1>
    </dataValidation>
    <dataValidation type="list" sqref="X85" allowBlank="true" errorStyle="stop" showErrorMessage="true" showInputMessage="true">
      <formula1>"Aceita,Não aceito"</formula1>
    </dataValidation>
    <dataValidation type="list" sqref="Y85" allowBlank="true" errorStyle="stop" showErrorMessage="true" showInputMessage="true">
      <formula1>"Clássico,Premium"</formula1>
    </dataValidation>
    <dataValidation type="list" sqref="AA85" allowBlank="true" errorStyle="stop" showErrorMessage="true" showInputMessage="true">
      <formula1>"Ativo,Inativo"</formula1>
    </dataValidation>
    <dataValidation type="list" sqref="AB85" allowBlank="true" errorStyle="stop" showErrorMessage="true" showInputMessage="true">
      <formula1>"Garantia do vendedor,Garantia de fábrica,Sem garantia"</formula1>
    </dataValidation>
    <dataValidation type="list" sqref="AD85" allowBlank="true" errorStyle="stop" showErrorMessage="true" showInputMessage="true">
      <formula1>"dias,meses,anos"</formula1>
    </dataValidation>
    <dataValidation type="list" sqref="J86" allowBlank="true" errorStyle="stop" showErrorMessage="true" showInputMessage="true">
      <formula1>"R$"</formula1>
    </dataValidation>
    <dataValidation type="list" sqref="U86" allowBlank="true" errorStyle="stop" showErrorMessage="true" showInputMessage="true">
      <formula1>"Novo,Usado"</formula1>
    </dataValidation>
    <dataValidation type="list" sqref="W86" allowBlank="true" errorStyle="stop" showErrorMessage="true" showInputMessage="true">
      <formula1>"Mercado Envios por conta do comprador,Mercado Envios grátis"</formula1>
    </dataValidation>
    <dataValidation type="list" sqref="X86" allowBlank="true" errorStyle="stop" showErrorMessage="true" showInputMessage="true">
      <formula1>"Aceita,Não aceito"</formula1>
    </dataValidation>
    <dataValidation type="list" sqref="Y86" allowBlank="true" errorStyle="stop" showErrorMessage="true" showInputMessage="true">
      <formula1>"Clássico,Premium"</formula1>
    </dataValidation>
    <dataValidation type="list" sqref="AA86" allowBlank="true" errorStyle="stop" showErrorMessage="true" showInputMessage="true">
      <formula1>"Ativo,Inativo"</formula1>
    </dataValidation>
    <dataValidation type="list" sqref="AB86" allowBlank="true" errorStyle="stop" showErrorMessage="true" showInputMessage="true">
      <formula1>"Garantia do vendedor,Garantia de fábrica,Sem garantia"</formula1>
    </dataValidation>
    <dataValidation type="list" sqref="AD86" allowBlank="true" errorStyle="stop" showErrorMessage="true" showInputMessage="true">
      <formula1>"dias,meses,anos"</formula1>
    </dataValidation>
    <dataValidation type="list" sqref="J87" allowBlank="true" errorStyle="stop" showErrorMessage="true" showInputMessage="true">
      <formula1>"R$"</formula1>
    </dataValidation>
    <dataValidation type="list" sqref="U87" allowBlank="true" errorStyle="stop" showErrorMessage="true" showInputMessage="true">
      <formula1>"Novo,Usado"</formula1>
    </dataValidation>
    <dataValidation type="list" sqref="W87" allowBlank="true" errorStyle="stop" showErrorMessage="true" showInputMessage="true">
      <formula1>"Mercado Envios por conta do comprador,Mercado Envios grátis"</formula1>
    </dataValidation>
    <dataValidation type="list" sqref="X87" allowBlank="true" errorStyle="stop" showErrorMessage="true" showInputMessage="true">
      <formula1>"Aceita,Não aceito"</formula1>
    </dataValidation>
    <dataValidation type="list" sqref="Y87" allowBlank="true" errorStyle="stop" showErrorMessage="true" showInputMessage="true">
      <formula1>"Clássico,Premium"</formula1>
    </dataValidation>
    <dataValidation type="list" sqref="AA87" allowBlank="true" errorStyle="stop" showErrorMessage="true" showInputMessage="true">
      <formula1>"Ativo,Inativo"</formula1>
    </dataValidation>
    <dataValidation type="list" sqref="AB87" allowBlank="true" errorStyle="stop" showErrorMessage="true" showInputMessage="true">
      <formula1>"Garantia do vendedor,Garantia de fábrica,Sem garantia"</formula1>
    </dataValidation>
    <dataValidation type="list" sqref="AD87" allowBlank="true" errorStyle="stop" showErrorMessage="true" showInputMessage="true">
      <formula1>"dias,meses,anos"</formula1>
    </dataValidation>
    <dataValidation type="list" sqref="J88" allowBlank="true" errorStyle="stop" showErrorMessage="true" showInputMessage="true">
      <formula1>"R$"</formula1>
    </dataValidation>
    <dataValidation type="list" sqref="U88" allowBlank="true" errorStyle="stop" showErrorMessage="true" showInputMessage="true">
      <formula1>"Usado,Novo"</formula1>
    </dataValidation>
    <dataValidation type="list" sqref="W88" allowBlank="true" errorStyle="stop" showErrorMessage="true" showInputMessage="true">
      <formula1>"Mercado Envios por conta do comprador,Mercado Envios grátis"</formula1>
    </dataValidation>
    <dataValidation type="list" sqref="X88" allowBlank="true" errorStyle="stop" showErrorMessage="true" showInputMessage="true">
      <formula1>"Aceita,Não aceito"</formula1>
    </dataValidation>
    <dataValidation type="list" sqref="Y88" allowBlank="true" errorStyle="stop" showErrorMessage="true" showInputMessage="true">
      <formula1>"Clássico,Premium"</formula1>
    </dataValidation>
    <dataValidation type="list" sqref="AA88" allowBlank="true" errorStyle="stop" showErrorMessage="true" showInputMessage="true">
      <formula1>"Ativo,Inativo"</formula1>
    </dataValidation>
    <dataValidation type="list" sqref="AB88" allowBlank="true" errorStyle="stop" showErrorMessage="true" showInputMessage="true">
      <formula1>"Garantia do vendedor,Garantia de fábrica,Sem garantia"</formula1>
    </dataValidation>
    <dataValidation type="list" sqref="AD88" allowBlank="true" errorStyle="stop" showErrorMessage="true" showInputMessage="true">
      <formula1>"dias,meses,anos"</formula1>
    </dataValidation>
    <dataValidation type="list" sqref="J89" allowBlank="true" errorStyle="stop" showErrorMessage="true" showInputMessage="true">
      <formula1>"R$"</formula1>
    </dataValidation>
    <dataValidation type="list" sqref="U89" allowBlank="true" errorStyle="stop" showErrorMessage="true" showInputMessage="true">
      <formula1>"Usado,Novo"</formula1>
    </dataValidation>
    <dataValidation type="list" sqref="W89" allowBlank="true" errorStyle="stop" showErrorMessage="true" showInputMessage="true">
      <formula1>"Mercado Envios por conta do comprador,Mercado Envios grátis"</formula1>
    </dataValidation>
    <dataValidation type="list" sqref="X89" allowBlank="true" errorStyle="stop" showErrorMessage="true" showInputMessage="true">
      <formula1>"Aceita,Não aceito"</formula1>
    </dataValidation>
    <dataValidation type="list" sqref="Y89" allowBlank="true" errorStyle="stop" showErrorMessage="true" showInputMessage="true">
      <formula1>"Clássico,Premium"</formula1>
    </dataValidation>
    <dataValidation type="list" sqref="AA89" allowBlank="true" errorStyle="stop" showErrorMessage="true" showInputMessage="true">
      <formula1>"Ativo,Inativo"</formula1>
    </dataValidation>
    <dataValidation type="list" sqref="AB89" allowBlank="true" errorStyle="stop" showErrorMessage="true" showInputMessage="true">
      <formula1>"Garantia do vendedor,Garantia de fábrica,Sem garantia"</formula1>
    </dataValidation>
    <dataValidation type="list" sqref="AD89" allowBlank="true" errorStyle="stop" showErrorMessage="true" showInputMessage="true">
      <formula1>"dias,meses,anos"</formula1>
    </dataValidation>
    <dataValidation type="list" sqref="J90" allowBlank="true" errorStyle="stop" showErrorMessage="true" showInputMessage="true">
      <formula1>"R$"</formula1>
    </dataValidation>
    <dataValidation type="list" sqref="U90" allowBlank="true" errorStyle="stop" showErrorMessage="true" showInputMessage="true">
      <formula1>"Usado,Novo,Recondicionado"</formula1>
    </dataValidation>
    <dataValidation type="list" sqref="W90" allowBlank="true" errorStyle="stop" showErrorMessage="true" showInputMessage="true">
      <formula1>"Mercado Envios por conta do comprador,Mercado Envios grátis"</formula1>
    </dataValidation>
    <dataValidation type="list" sqref="X90" allowBlank="true" errorStyle="stop" showErrorMessage="true" showInputMessage="true">
      <formula1>"Aceita,Não aceito"</formula1>
    </dataValidation>
    <dataValidation type="list" sqref="Y90" allowBlank="true" errorStyle="stop" showErrorMessage="true" showInputMessage="true">
      <formula1>"Clássico,Premium"</formula1>
    </dataValidation>
    <dataValidation type="list" sqref="AA90" allowBlank="true" errorStyle="stop" showErrorMessage="true" showInputMessage="true">
      <formula1>"Ativo,Inativo"</formula1>
    </dataValidation>
    <dataValidation type="list" sqref="AB90" allowBlank="true" errorStyle="stop" showErrorMessage="true" showInputMessage="true">
      <formula1>"Garantia do vendedor,Garantia de fábrica,Sem garantia"</formula1>
    </dataValidation>
    <dataValidation type="list" sqref="AD90" allowBlank="true" errorStyle="stop" showErrorMessage="true" showInputMessage="true">
      <formula1>"dias,meses,anos"</formula1>
    </dataValidation>
    <dataValidation type="list" sqref="J91" allowBlank="true" errorStyle="stop" showErrorMessage="true" showInputMessage="true">
      <formula1>"R$"</formula1>
    </dataValidation>
    <dataValidation type="list" sqref="U91" allowBlank="true" errorStyle="stop" showErrorMessage="true" showInputMessage="true">
      <formula1>"Usado,Novo"</formula1>
    </dataValidation>
    <dataValidation type="list" sqref="W91" allowBlank="true" errorStyle="stop" showErrorMessage="true" showInputMessage="true">
      <formula1>"Mercado Envios por conta do comprador,Mercado Envios grátis"</formula1>
    </dataValidation>
    <dataValidation type="list" sqref="X91" allowBlank="true" errorStyle="stop" showErrorMessage="true" showInputMessage="true">
      <formula1>"Aceita,Não aceito"</formula1>
    </dataValidation>
    <dataValidation type="list" sqref="Y91" allowBlank="true" errorStyle="stop" showErrorMessage="true" showInputMessage="true">
      <formula1>"Clássico,Premium"</formula1>
    </dataValidation>
    <dataValidation type="list" sqref="AA91" allowBlank="true" errorStyle="stop" showErrorMessage="true" showInputMessage="true">
      <formula1>"Ativo,Inativo"</formula1>
    </dataValidation>
    <dataValidation type="list" sqref="AB91" allowBlank="true" errorStyle="stop" showErrorMessage="true" showInputMessage="true">
      <formula1>"Garantia do vendedor,Garantia de fábrica,Sem garantia"</formula1>
    </dataValidation>
    <dataValidation type="list" sqref="AD91" allowBlank="true" errorStyle="stop" showErrorMessage="true" showInputMessage="true">
      <formula1>"dias,meses,anos"</formula1>
    </dataValidation>
    <dataValidation type="list" sqref="J92" allowBlank="true" errorStyle="stop" showErrorMessage="true" showInputMessage="true">
      <formula1>"R$"</formula1>
    </dataValidation>
    <dataValidation type="list" sqref="U92" allowBlank="true" errorStyle="stop" showErrorMessage="true" showInputMessage="true">
      <formula1>"Novo,Usado"</formula1>
    </dataValidation>
    <dataValidation type="list" sqref="W92" allowBlank="true" errorStyle="stop" showErrorMessage="true" showInputMessage="true">
      <formula1>"Mercado Envios por conta do comprador,Mercado Envios grátis"</formula1>
    </dataValidation>
    <dataValidation type="list" sqref="X92" allowBlank="true" errorStyle="stop" showErrorMessage="true" showInputMessage="true">
      <formula1>"Aceita,Não aceito"</formula1>
    </dataValidation>
    <dataValidation type="list" sqref="Y92" allowBlank="true" errorStyle="stop" showErrorMessage="true" showInputMessage="true">
      <formula1>"Clássico,Premium"</formula1>
    </dataValidation>
    <dataValidation type="list" sqref="AA92" allowBlank="true" errorStyle="stop" showErrorMessage="true" showInputMessage="true">
      <formula1>"Ativo,Inativo"</formula1>
    </dataValidation>
    <dataValidation type="list" sqref="AB92" allowBlank="true" errorStyle="stop" showErrorMessage="true" showInputMessage="true">
      <formula1>"Garantia do vendedor,Garantia de fábrica,Sem garantia"</formula1>
    </dataValidation>
    <dataValidation type="list" sqref="AD92" allowBlank="true" errorStyle="stop" showErrorMessage="true" showInputMessage="true">
      <formula1>"dias,meses,anos"</formula1>
    </dataValidation>
    <dataValidation type="list" sqref="J93" allowBlank="true" errorStyle="stop" showErrorMessage="true" showInputMessage="true">
      <formula1>"R$"</formula1>
    </dataValidation>
    <dataValidation type="list" sqref="U93" allowBlank="true" errorStyle="stop" showErrorMessage="true" showInputMessage="true">
      <formula1>"Usado,Novo,Recondicionado"</formula1>
    </dataValidation>
    <dataValidation type="list" sqref="W93" allowBlank="true" errorStyle="stop" showErrorMessage="true" showInputMessage="true">
      <formula1>"Mercado Envios por conta do comprador,Mercado Envios grátis"</formula1>
    </dataValidation>
    <dataValidation type="list" sqref="X93" allowBlank="true" errorStyle="stop" showErrorMessage="true" showInputMessage="true">
      <formula1>"Aceita,Não aceito"</formula1>
    </dataValidation>
    <dataValidation type="list" sqref="Y93" allowBlank="true" errorStyle="stop" showErrorMessage="true" showInputMessage="true">
      <formula1>"Clássico,Premium"</formula1>
    </dataValidation>
    <dataValidation type="list" sqref="AA93" allowBlank="true" errorStyle="stop" showErrorMessage="true" showInputMessage="true">
      <formula1>"Ativo,Inativo"</formula1>
    </dataValidation>
    <dataValidation type="list" sqref="AB93" allowBlank="true" errorStyle="stop" showErrorMessage="true" showInputMessage="true">
      <formula1>"Garantia do vendedor,Garantia de fábrica,Sem garantia"</formula1>
    </dataValidation>
    <dataValidation type="list" sqref="AD93" allowBlank="true" errorStyle="stop" showErrorMessage="true" showInputMessage="true">
      <formula1>"dias,meses,anos"</formula1>
    </dataValidation>
    <dataValidation type="list" sqref="J94" allowBlank="true" errorStyle="stop" showErrorMessage="true" showInputMessage="true">
      <formula1>"R$"</formula1>
    </dataValidation>
    <dataValidation type="list" sqref="U94" allowBlank="true" errorStyle="stop" showErrorMessage="true" showInputMessage="true">
      <formula1>"Usado,Novo"</formula1>
    </dataValidation>
    <dataValidation type="list" sqref="W94" allowBlank="true" errorStyle="stop" showErrorMessage="true" showInputMessage="true">
      <formula1>"Mercado Envios por conta do comprador,Mercado Envios grátis"</formula1>
    </dataValidation>
    <dataValidation type="list" sqref="X94" allowBlank="true" errorStyle="stop" showErrorMessage="true" showInputMessage="true">
      <formula1>"Aceita,Não aceito"</formula1>
    </dataValidation>
    <dataValidation type="list" sqref="Y94" allowBlank="true" errorStyle="stop" showErrorMessage="true" showInputMessage="true">
      <formula1>"Clássico,Premium"</formula1>
    </dataValidation>
    <dataValidation type="list" sqref="AA94" allowBlank="true" errorStyle="stop" showErrorMessage="true" showInputMessage="true">
      <formula1>"Ativo,Inativo"</formula1>
    </dataValidation>
    <dataValidation type="list" sqref="AB94" allowBlank="true" errorStyle="stop" showErrorMessage="true" showInputMessage="true">
      <formula1>"Garantia do vendedor,Garantia de fábrica,Sem garantia"</formula1>
    </dataValidation>
    <dataValidation type="list" sqref="AD94" allowBlank="true" errorStyle="stop" showErrorMessage="true" showInputMessage="true">
      <formula1>"dias,meses,anos"</formula1>
    </dataValidation>
    <dataValidation type="list" sqref="J95" allowBlank="true" errorStyle="stop" showErrorMessage="true" showInputMessage="true">
      <formula1>"R$"</formula1>
    </dataValidation>
    <dataValidation type="list" sqref="W95" allowBlank="true" errorStyle="stop" showErrorMessage="true" showInputMessage="true">
      <formula1>"Mercado Envios por conta do comprador,Mercado Envios grátis"</formula1>
    </dataValidation>
    <dataValidation type="list" sqref="X95" allowBlank="true" errorStyle="stop" showErrorMessage="true" showInputMessage="true">
      <formula1>"Aceita,Não aceito"</formula1>
    </dataValidation>
    <dataValidation type="list" sqref="Y95" allowBlank="true" errorStyle="stop" showErrorMessage="true" showInputMessage="true">
      <formula1>"Clássico,Premium"</formula1>
    </dataValidation>
    <dataValidation type="list" sqref="AA95" allowBlank="true" errorStyle="stop" showErrorMessage="true" showInputMessage="true">
      <formula1>"Ativo,Inativo"</formula1>
    </dataValidation>
    <dataValidation type="list" sqref="AB95" allowBlank="true" errorStyle="stop" showErrorMessage="true" showInputMessage="true">
      <formula1>"Garantia do vendedor,Garantia de fábrica,Sem garantia"</formula1>
    </dataValidation>
    <dataValidation type="list" sqref="AD95" allowBlank="true" errorStyle="stop" showErrorMessage="true" showInputMessage="true">
      <formula1>"dias,meses,anos"</formula1>
    </dataValidation>
    <dataValidation type="list" sqref="J96" allowBlank="true" errorStyle="stop" showErrorMessage="true" showInputMessage="true">
      <formula1>"R$"</formula1>
    </dataValidation>
    <dataValidation type="list" sqref="U96" allowBlank="true" errorStyle="stop" showErrorMessage="true" showInputMessage="true">
      <formula1>"Usado,Novo"</formula1>
    </dataValidation>
    <dataValidation type="list" sqref="W96" allowBlank="true" errorStyle="stop" showErrorMessage="true" showInputMessage="true">
      <formula1>"Mercado Envios por conta do comprador,Mercado Envios grátis"</formula1>
    </dataValidation>
    <dataValidation type="list" sqref="X96" allowBlank="true" errorStyle="stop" showErrorMessage="true" showInputMessage="true">
      <formula1>"Aceita,Não aceito"</formula1>
    </dataValidation>
    <dataValidation type="list" sqref="Y96" allowBlank="true" errorStyle="stop" showErrorMessage="true" showInputMessage="true">
      <formula1>"Clássico,Premium"</formula1>
    </dataValidation>
    <dataValidation type="list" sqref="AA96" allowBlank="true" errorStyle="stop" showErrorMessage="true" showInputMessage="true">
      <formula1>"Ativo,Inativo"</formula1>
    </dataValidation>
    <dataValidation type="list" sqref="AB96" allowBlank="true" errorStyle="stop" showErrorMessage="true" showInputMessage="true">
      <formula1>"Garantia do vendedor,Garantia de fábrica,Sem garantia"</formula1>
    </dataValidation>
    <dataValidation type="list" sqref="AD96" allowBlank="true" errorStyle="stop" showErrorMessage="true" showInputMessage="true">
      <formula1>"dias,meses,anos"</formula1>
    </dataValidation>
    <dataValidation type="list" sqref="J97" allowBlank="true" errorStyle="stop" showErrorMessage="true" showInputMessage="true">
      <formula1>"R$"</formula1>
    </dataValidation>
    <dataValidation type="list" sqref="U97" allowBlank="true" errorStyle="stop" showErrorMessage="true" showInputMessage="true">
      <formula1>"Usado,Novo,Recondicionado"</formula1>
    </dataValidation>
    <dataValidation type="list" sqref="W97" allowBlank="true" errorStyle="stop" showErrorMessage="true" showInputMessage="true">
      <formula1>"Mercado Envios por conta do comprador,Mercado Envios grátis"</formula1>
    </dataValidation>
    <dataValidation type="list" sqref="X97" allowBlank="true" errorStyle="stop" showErrorMessage="true" showInputMessage="true">
      <formula1>"Aceita,Não aceito"</formula1>
    </dataValidation>
    <dataValidation type="list" sqref="Y97" allowBlank="true" errorStyle="stop" showErrorMessage="true" showInputMessage="true">
      <formula1>"Clássico,Premium"</formula1>
    </dataValidation>
    <dataValidation type="list" sqref="AA97" allowBlank="true" errorStyle="stop" showErrorMessage="true" showInputMessage="true">
      <formula1>"Ativo,Inativo"</formula1>
    </dataValidation>
    <dataValidation type="list" sqref="AB97" allowBlank="true" errorStyle="stop" showErrorMessage="true" showInputMessage="true">
      <formula1>"Garantia do vendedor,Garantia de fábrica,Sem garantia"</formula1>
    </dataValidation>
    <dataValidation type="list" sqref="AD97" allowBlank="true" errorStyle="stop" showErrorMessage="true" showInputMessage="true">
      <formula1>"dias,meses,anos"</formula1>
    </dataValidation>
    <dataValidation type="list" sqref="J98" allowBlank="true" errorStyle="stop" showErrorMessage="true" showInputMessage="true">
      <formula1>"R$"</formula1>
    </dataValidation>
    <dataValidation type="list" sqref="U98" allowBlank="true" errorStyle="stop" showErrorMessage="true" showInputMessage="true">
      <formula1>"Novo,Usado"</formula1>
    </dataValidation>
    <dataValidation type="list" sqref="W98" allowBlank="true" errorStyle="stop" showErrorMessage="true" showInputMessage="true">
      <formula1>"Mercado Envios por conta do comprador,Mercado Envios grátis"</formula1>
    </dataValidation>
    <dataValidation type="list" sqref="X98" allowBlank="true" errorStyle="stop" showErrorMessage="true" showInputMessage="true">
      <formula1>"Aceita,Não aceito"</formula1>
    </dataValidation>
    <dataValidation type="list" sqref="Y98" allowBlank="true" errorStyle="stop" showErrorMessage="true" showInputMessage="true">
      <formula1>"Clássico,Premium"</formula1>
    </dataValidation>
    <dataValidation type="list" sqref="AA98" allowBlank="true" errorStyle="stop" showErrorMessage="true" showInputMessage="true">
      <formula1>"Ativo,Inativo"</formula1>
    </dataValidation>
    <dataValidation type="list" sqref="AB98" allowBlank="true" errorStyle="stop" showErrorMessage="true" showInputMessage="true">
      <formula1>"Garantia do vendedor,Garantia de fábrica,Sem garantia"</formula1>
    </dataValidation>
    <dataValidation type="list" sqref="AD98" allowBlank="true" errorStyle="stop" showErrorMessage="true" showInputMessage="true">
      <formula1>"dias,meses,anos"</formula1>
    </dataValidation>
    <dataValidation type="list" sqref="J99" allowBlank="true" errorStyle="stop" showErrorMessage="true" showInputMessage="true">
      <formula1>"R$"</formula1>
    </dataValidation>
    <dataValidation type="list" sqref="U99" allowBlank="true" errorStyle="stop" showErrorMessage="true" showInputMessage="true">
      <formula1>"Novo,Usado"</formula1>
    </dataValidation>
    <dataValidation type="list" sqref="W99" allowBlank="true" errorStyle="stop" showErrorMessage="true" showInputMessage="true">
      <formula1>"Mercado Envios por conta do comprador,Mercado Envios grátis"</formula1>
    </dataValidation>
    <dataValidation type="list" sqref="X99" allowBlank="true" errorStyle="stop" showErrorMessage="true" showInputMessage="true">
      <formula1>"Aceita,Não aceito"</formula1>
    </dataValidation>
    <dataValidation type="list" sqref="Y99" allowBlank="true" errorStyle="stop" showErrorMessage="true" showInputMessage="true">
      <formula1>"Clássico,Premium"</formula1>
    </dataValidation>
    <dataValidation type="list" sqref="AA99" allowBlank="true" errorStyle="stop" showErrorMessage="true" showInputMessage="true">
      <formula1>"Ativo,Inativo"</formula1>
    </dataValidation>
    <dataValidation type="list" sqref="AB99" allowBlank="true" errorStyle="stop" showErrorMessage="true" showInputMessage="true">
      <formula1>"Garantia do vendedor,Garantia de fábrica,Sem garantia"</formula1>
    </dataValidation>
    <dataValidation type="list" sqref="AD99" allowBlank="true" errorStyle="stop" showErrorMessage="true" showInputMessage="true">
      <formula1>"dias,meses,anos"</formula1>
    </dataValidation>
    <dataValidation type="list" sqref="J100" allowBlank="true" errorStyle="stop" showErrorMessage="true" showInputMessage="true">
      <formula1>"R$"</formula1>
    </dataValidation>
    <dataValidation type="list" sqref="U100" allowBlank="true" errorStyle="stop" showErrorMessage="true" showInputMessage="true">
      <formula1>"Usado,Novo"</formula1>
    </dataValidation>
    <dataValidation type="list" sqref="W100" allowBlank="true" errorStyle="stop" showErrorMessage="true" showInputMessage="true">
      <formula1>"Mercado Envios por conta do comprador,Mercado Envios grátis"</formula1>
    </dataValidation>
    <dataValidation type="list" sqref="X100" allowBlank="true" errorStyle="stop" showErrorMessage="true" showInputMessage="true">
      <formula1>"Aceita,Não aceito"</formula1>
    </dataValidation>
    <dataValidation type="list" sqref="Y100" allowBlank="true" errorStyle="stop" showErrorMessage="true" showInputMessage="true">
      <formula1>"Clássico,Premium"</formula1>
    </dataValidation>
    <dataValidation type="list" sqref="AA100" allowBlank="true" errorStyle="stop" showErrorMessage="true" showInputMessage="true">
      <formula1>"Ativo,Inativo"</formula1>
    </dataValidation>
    <dataValidation type="list" sqref="AB100" allowBlank="true" errorStyle="stop" showErrorMessage="true" showInputMessage="true">
      <formula1>"Garantia do vendedor,Garantia de fábrica,Sem garantia"</formula1>
    </dataValidation>
    <dataValidation type="list" sqref="AD100" allowBlank="true" errorStyle="stop" showErrorMessage="true" showInputMessage="true">
      <formula1>"dias,meses,anos"</formula1>
    </dataValidation>
    <dataValidation type="list" sqref="J101" allowBlank="true" errorStyle="stop" showErrorMessage="true" showInputMessage="true">
      <formula1>"R$"</formula1>
    </dataValidation>
    <dataValidation type="list" sqref="U101" allowBlank="true" errorStyle="stop" showErrorMessage="true" showInputMessage="true">
      <formula1>"Usado,Novo"</formula1>
    </dataValidation>
    <dataValidation type="list" sqref="W101" allowBlank="true" errorStyle="stop" showErrorMessage="true" showInputMessage="true">
      <formula1>"Mercado Envios por conta do comprador,Mercado Envios grátis"</formula1>
    </dataValidation>
    <dataValidation type="list" sqref="X101" allowBlank="true" errorStyle="stop" showErrorMessage="true" showInputMessage="true">
      <formula1>"Aceita,Não aceito"</formula1>
    </dataValidation>
    <dataValidation type="list" sqref="Y101" allowBlank="true" errorStyle="stop" showErrorMessage="true" showInputMessage="true">
      <formula1>"Clássico,Premium"</formula1>
    </dataValidation>
    <dataValidation type="list" sqref="AA101" allowBlank="true" errorStyle="stop" showErrorMessage="true" showInputMessage="true">
      <formula1>"Ativo,Inativo"</formula1>
    </dataValidation>
    <dataValidation type="list" sqref="AB101" allowBlank="true" errorStyle="stop" showErrorMessage="true" showInputMessage="true">
      <formula1>"Garantia do vendedor,Garantia de fábrica,Sem garantia"</formula1>
    </dataValidation>
    <dataValidation type="list" sqref="AD101" allowBlank="true" errorStyle="stop" showErrorMessage="true" showInputMessage="true">
      <formula1>"dias,meses,anos"</formula1>
    </dataValidation>
    <dataValidation type="list" sqref="J102" allowBlank="true" errorStyle="stop" showErrorMessage="true" showInputMessage="true">
      <formula1>"R$"</formula1>
    </dataValidation>
    <dataValidation type="list" sqref="U102" allowBlank="true" errorStyle="stop" showErrorMessage="true" showInputMessage="true">
      <formula1>"Usado,Novo"</formula1>
    </dataValidation>
    <dataValidation type="list" sqref="W102" allowBlank="true" errorStyle="stop" showErrorMessage="true" showInputMessage="true">
      <formula1>"Mercado Envios por conta do comprador,Mercado Envios grátis"</formula1>
    </dataValidation>
    <dataValidation type="list" sqref="X102" allowBlank="true" errorStyle="stop" showErrorMessage="true" showInputMessage="true">
      <formula1>"Aceita,Não aceito"</formula1>
    </dataValidation>
    <dataValidation type="list" sqref="Y102" allowBlank="true" errorStyle="stop" showErrorMessage="true" showInputMessage="true">
      <formula1>"Clássico,Premium"</formula1>
    </dataValidation>
    <dataValidation type="list" sqref="AA102" allowBlank="true" errorStyle="stop" showErrorMessage="true" showInputMessage="true">
      <formula1>"Ativo,Inativo"</formula1>
    </dataValidation>
    <dataValidation type="list" sqref="AB102" allowBlank="true" errorStyle="stop" showErrorMessage="true" showInputMessage="true">
      <formula1>"Garantia do vendedor,Garantia de fábrica,Sem garantia"</formula1>
    </dataValidation>
    <dataValidation type="list" sqref="AD102" allowBlank="true" errorStyle="stop" showErrorMessage="true" showInputMessage="true">
      <formula1>"dias,meses,anos"</formula1>
    </dataValidation>
    <dataValidation type="list" sqref="J103" allowBlank="true" errorStyle="stop" showErrorMessage="true" showInputMessage="true">
      <formula1>"R$"</formula1>
    </dataValidation>
    <dataValidation type="list" sqref="U103" allowBlank="true" errorStyle="stop" showErrorMessage="true" showInputMessage="true">
      <formula1>"Usado,Novo"</formula1>
    </dataValidation>
    <dataValidation type="list" sqref="W103" allowBlank="true" errorStyle="stop" showErrorMessage="true" showInputMessage="true">
      <formula1>"Mercado Envios por conta do comprador,Mercado Envios grátis"</formula1>
    </dataValidation>
    <dataValidation type="list" sqref="X103" allowBlank="true" errorStyle="stop" showErrorMessage="true" showInputMessage="true">
      <formula1>"Aceita,Não aceito"</formula1>
    </dataValidation>
    <dataValidation type="list" sqref="Y103" allowBlank="true" errorStyle="stop" showErrorMessage="true" showInputMessage="true">
      <formula1>"Clássico,Premium"</formula1>
    </dataValidation>
    <dataValidation type="list" sqref="AA103" allowBlank="true" errorStyle="stop" showErrorMessage="true" showInputMessage="true">
      <formula1>"Ativo,Inativo"</formula1>
    </dataValidation>
    <dataValidation type="list" sqref="AB103" allowBlank="true" errorStyle="stop" showErrorMessage="true" showInputMessage="true">
      <formula1>"Garantia do vendedor,Garantia de fábrica,Sem garantia"</formula1>
    </dataValidation>
    <dataValidation type="list" sqref="AD103" allowBlank="true" errorStyle="stop" showErrorMessage="true" showInputMessage="true">
      <formula1>"dias,meses,anos"</formula1>
    </dataValidation>
    <dataValidation type="list" sqref="J104" allowBlank="true" errorStyle="stop" showErrorMessage="true" showInputMessage="true">
      <formula1>"R$"</formula1>
    </dataValidation>
    <dataValidation type="list" sqref="U104" allowBlank="true" errorStyle="stop" showErrorMessage="true" showInputMessage="true">
      <formula1>"Usado,Novo"</formula1>
    </dataValidation>
    <dataValidation type="list" sqref="W104" allowBlank="true" errorStyle="stop" showErrorMessage="true" showInputMessage="true">
      <formula1>"Mercado Envios por conta do comprador,Mercado Envios grátis"</formula1>
    </dataValidation>
    <dataValidation type="list" sqref="X104" allowBlank="true" errorStyle="stop" showErrorMessage="true" showInputMessage="true">
      <formula1>"Aceita,Não aceito"</formula1>
    </dataValidation>
    <dataValidation type="list" sqref="Y104" allowBlank="true" errorStyle="stop" showErrorMessage="true" showInputMessage="true">
      <formula1>"Clássico,Premium"</formula1>
    </dataValidation>
    <dataValidation type="list" sqref="AA104" allowBlank="true" errorStyle="stop" showErrorMessage="true" showInputMessage="true">
      <formula1>"Ativo,Inativo"</formula1>
    </dataValidation>
    <dataValidation type="list" sqref="AB104" allowBlank="true" errorStyle="stop" showErrorMessage="true" showInputMessage="true">
      <formula1>"Garantia do vendedor,Garantia de fábrica,Sem garantia"</formula1>
    </dataValidation>
    <dataValidation type="list" sqref="AD104" allowBlank="true" errorStyle="stop" showErrorMessage="true" showInputMessage="true">
      <formula1>"dias,meses,anos"</formula1>
    </dataValidation>
    <dataValidation type="list" sqref="J105" allowBlank="true" errorStyle="stop" showErrorMessage="true" showInputMessage="true">
      <formula1>"R$"</formula1>
    </dataValidation>
    <dataValidation type="list" sqref="U105" allowBlank="true" errorStyle="stop" showErrorMessage="true" showInputMessage="true">
      <formula1>"Usado,Novo"</formula1>
    </dataValidation>
    <dataValidation type="list" sqref="W105" allowBlank="true" errorStyle="stop" showErrorMessage="true" showInputMessage="true">
      <formula1>"Mercado Envios por conta do comprador,Mercado Envios grátis"</formula1>
    </dataValidation>
    <dataValidation type="list" sqref="X105" allowBlank="true" errorStyle="stop" showErrorMessage="true" showInputMessage="true">
      <formula1>"Aceita,Não aceito"</formula1>
    </dataValidation>
    <dataValidation type="list" sqref="Y105" allowBlank="true" errorStyle="stop" showErrorMessage="true" showInputMessage="true">
      <formula1>"Clássico,Premium"</formula1>
    </dataValidation>
    <dataValidation type="list" sqref="AA105" allowBlank="true" errorStyle="stop" showErrorMessage="true" showInputMessage="true">
      <formula1>"Ativo,Inativo"</formula1>
    </dataValidation>
    <dataValidation type="list" sqref="AB105" allowBlank="true" errorStyle="stop" showErrorMessage="true" showInputMessage="true">
      <formula1>"Garantia do vendedor,Garantia de fábrica,Sem garantia"</formula1>
    </dataValidation>
    <dataValidation type="list" sqref="AD105" allowBlank="true" errorStyle="stop" showErrorMessage="true" showInputMessage="true">
      <formula1>"dias,meses,anos"</formula1>
    </dataValidation>
    <dataValidation type="list" sqref="J106" allowBlank="true" errorStyle="stop" showErrorMessage="true" showInputMessage="true">
      <formula1>"R$"</formula1>
    </dataValidation>
    <dataValidation type="list" sqref="U106" allowBlank="true" errorStyle="stop" showErrorMessage="true" showInputMessage="true">
      <formula1>"Usado,Novo"</formula1>
    </dataValidation>
    <dataValidation type="list" sqref="W106" allowBlank="true" errorStyle="stop" showErrorMessage="true" showInputMessage="true">
      <formula1>"Mercado Envios por conta do comprador,Mercado Envios grátis"</formula1>
    </dataValidation>
    <dataValidation type="list" sqref="X106" allowBlank="true" errorStyle="stop" showErrorMessage="true" showInputMessage="true">
      <formula1>"Aceita,Não aceito"</formula1>
    </dataValidation>
    <dataValidation type="list" sqref="Y106" allowBlank="true" errorStyle="stop" showErrorMessage="true" showInputMessage="true">
      <formula1>"Clássico,Premium"</formula1>
    </dataValidation>
    <dataValidation type="list" sqref="AA106" allowBlank="true" errorStyle="stop" showErrorMessage="true" showInputMessage="true">
      <formula1>"Ativo,Inativo"</formula1>
    </dataValidation>
    <dataValidation type="list" sqref="AB106" allowBlank="true" errorStyle="stop" showErrorMessage="true" showInputMessage="true">
      <formula1>"Garantia do vendedor,Garantia de fábrica,Sem garantia"</formula1>
    </dataValidation>
    <dataValidation type="list" sqref="AD106" allowBlank="true" errorStyle="stop" showErrorMessage="true" showInputMessage="true">
      <formula1>"dias,meses,anos"</formula1>
    </dataValidation>
    <dataValidation type="list" sqref="J107" allowBlank="true" errorStyle="stop" showErrorMessage="true" showInputMessage="true">
      <formula1>"R$"</formula1>
    </dataValidation>
    <dataValidation type="list" sqref="U107" allowBlank="true" errorStyle="stop" showErrorMessage="true" showInputMessage="true">
      <formula1>"Usado,Novo,Recondicionado"</formula1>
    </dataValidation>
    <dataValidation type="list" sqref="W107" allowBlank="true" errorStyle="stop" showErrorMessage="true" showInputMessage="true">
      <formula1>"Mercado Envios por conta do comprador,Mercado Envios grátis"</formula1>
    </dataValidation>
    <dataValidation type="list" sqref="X107" allowBlank="true" errorStyle="stop" showErrorMessage="true" showInputMessage="true">
      <formula1>"Aceita,Não aceito"</formula1>
    </dataValidation>
    <dataValidation type="list" sqref="Y107" allowBlank="true" errorStyle="stop" showErrorMessage="true" showInputMessage="true">
      <formula1>"Clássico,Premium"</formula1>
    </dataValidation>
    <dataValidation type="list" sqref="AA107" allowBlank="true" errorStyle="stop" showErrorMessage="true" showInputMessage="true">
      <formula1>"Ativo,Inativo"</formula1>
    </dataValidation>
    <dataValidation type="list" sqref="AB107" allowBlank="true" errorStyle="stop" showErrorMessage="true" showInputMessage="true">
      <formula1>"Garantia do vendedor,Garantia de fábrica,Sem garantia"</formula1>
    </dataValidation>
    <dataValidation type="list" sqref="AD107" allowBlank="true" errorStyle="stop" showErrorMessage="true" showInputMessage="true">
      <formula1>"dias,meses,anos"</formula1>
    </dataValidation>
    <dataValidation type="list" sqref="J108" allowBlank="true" errorStyle="stop" showErrorMessage="true" showInputMessage="true">
      <formula1>"R$"</formula1>
    </dataValidation>
    <dataValidation type="list" sqref="U108" allowBlank="true" errorStyle="stop" showErrorMessage="true" showInputMessage="true">
      <formula1>"Usado,Novo,Recondicionado"</formula1>
    </dataValidation>
    <dataValidation type="list" sqref="W108" allowBlank="true" errorStyle="stop" showErrorMessage="true" showInputMessage="true">
      <formula1>"Mercado Envios por conta do comprador,Mercado Envios grátis"</formula1>
    </dataValidation>
    <dataValidation type="list" sqref="X108" allowBlank="true" errorStyle="stop" showErrorMessage="true" showInputMessage="true">
      <formula1>"Aceita,Não aceito"</formula1>
    </dataValidation>
    <dataValidation type="list" sqref="Y108" allowBlank="true" errorStyle="stop" showErrorMessage="true" showInputMessage="true">
      <formula1>"Clássico,Premium"</formula1>
    </dataValidation>
    <dataValidation type="list" sqref="AA108" allowBlank="true" errorStyle="stop" showErrorMessage="true" showInputMessage="true">
      <formula1>"Ativo,Inativo"</formula1>
    </dataValidation>
    <dataValidation type="list" sqref="AB108" allowBlank="true" errorStyle="stop" showErrorMessage="true" showInputMessage="true">
      <formula1>"Garantia do vendedor,Garantia de fábrica,Sem garantia"</formula1>
    </dataValidation>
    <dataValidation type="list" sqref="AD108" allowBlank="true" errorStyle="stop" showErrorMessage="true" showInputMessage="true">
      <formula1>"dias,meses,anos"</formula1>
    </dataValidation>
    <dataValidation type="list" sqref="J109" allowBlank="true" errorStyle="stop" showErrorMessage="true" showInputMessage="true">
      <formula1>"R$"</formula1>
    </dataValidation>
    <dataValidation type="list" sqref="U109" allowBlank="true" errorStyle="stop" showErrorMessage="true" showInputMessage="true">
      <formula1>"Usado,Novo"</formula1>
    </dataValidation>
    <dataValidation type="list" sqref="W109" allowBlank="true" errorStyle="stop" showErrorMessage="true" showInputMessage="true">
      <formula1>"Envios por minha conta a cargo do comprador,Frete grátis por conta própria,Não faço envios"</formula1>
    </dataValidation>
    <dataValidation type="list" sqref="X109" allowBlank="true" errorStyle="stop" showErrorMessage="true" showInputMessage="true">
      <formula1>"Aceita,Não aceito"</formula1>
    </dataValidation>
    <dataValidation type="list" sqref="Y109" allowBlank="true" errorStyle="stop" showErrorMessage="true" showInputMessage="true">
      <formula1>"Clássico,Premium"</formula1>
    </dataValidation>
    <dataValidation type="list" sqref="AA109" allowBlank="true" errorStyle="stop" showErrorMessage="true" showInputMessage="true">
      <formula1>"Ativo,Inativo"</formula1>
    </dataValidation>
    <dataValidation type="list" sqref="AB109" allowBlank="true" errorStyle="stop" showErrorMessage="true" showInputMessage="true">
      <formula1>"Garantia do vendedor,Garantia de fábrica,Sem garantia"</formula1>
    </dataValidation>
    <dataValidation type="list" sqref="AD109" allowBlank="true" errorStyle="stop" showErrorMessage="true" showInputMessage="true">
      <formula1>"dias,meses,anos"</formula1>
    </dataValidation>
    <dataValidation type="list" sqref="J110" allowBlank="true" errorStyle="stop" showErrorMessage="true" showInputMessage="true">
      <formula1>"R$"</formula1>
    </dataValidation>
    <dataValidation type="list" sqref="U110" allowBlank="true" errorStyle="stop" showErrorMessage="true" showInputMessage="true">
      <formula1>"Usado,Novo,Recondicionado"</formula1>
    </dataValidation>
    <dataValidation type="list" sqref="W110" allowBlank="true" errorStyle="stop" showErrorMessage="true" showInputMessage="true">
      <formula1>"Mercado Envios por conta do comprador,Mercado Envios grátis"</formula1>
    </dataValidation>
    <dataValidation type="list" sqref="X110" allowBlank="true" errorStyle="stop" showErrorMessage="true" showInputMessage="true">
      <formula1>"Aceita,Não aceito"</formula1>
    </dataValidation>
    <dataValidation type="list" sqref="Y110" allowBlank="true" errorStyle="stop" showErrorMessage="true" showInputMessage="true">
      <formula1>"Clássico,Premium"</formula1>
    </dataValidation>
    <dataValidation type="list" sqref="AA110" allowBlank="true" errorStyle="stop" showErrorMessage="true" showInputMessage="true">
      <formula1>"Ativo,Inativo"</formula1>
    </dataValidation>
    <dataValidation type="list" sqref="AB110" allowBlank="true" errorStyle="stop" showErrorMessage="true" showInputMessage="true">
      <formula1>"Garantia do vendedor,Garantia de fábrica,Sem garantia"</formula1>
    </dataValidation>
    <dataValidation type="list" sqref="AD110" allowBlank="true" errorStyle="stop" showErrorMessage="true" showInputMessage="true">
      <formula1>"dias,meses,anos"</formula1>
    </dataValidation>
    <dataValidation type="list" sqref="J111" allowBlank="true" errorStyle="stop" showErrorMessage="true" showInputMessage="true">
      <formula1>"R$"</formula1>
    </dataValidation>
    <dataValidation type="list" sqref="U111" allowBlank="true" errorStyle="stop" showErrorMessage="true" showInputMessage="true">
      <formula1>"Usado,Novo"</formula1>
    </dataValidation>
    <dataValidation type="list" sqref="W111" allowBlank="true" errorStyle="stop" showErrorMessage="true" showInputMessage="true">
      <formula1>"Mercado Envios por conta do comprador,Mercado Envios grátis"</formula1>
    </dataValidation>
    <dataValidation type="list" sqref="X111" allowBlank="true" errorStyle="stop" showErrorMessage="true" showInputMessage="true">
      <formula1>"Aceita,Não aceito"</formula1>
    </dataValidation>
    <dataValidation type="list" sqref="Y111" allowBlank="true" errorStyle="stop" showErrorMessage="true" showInputMessage="true">
      <formula1>"Clássico,Premium"</formula1>
    </dataValidation>
    <dataValidation type="list" sqref="AA111" allowBlank="true" errorStyle="stop" showErrorMessage="true" showInputMessage="true">
      <formula1>"Ativo,Inativo"</formula1>
    </dataValidation>
    <dataValidation type="list" sqref="AB111" allowBlank="true" errorStyle="stop" showErrorMessage="true" showInputMessage="true">
      <formula1>"Garantia do vendedor,Garantia de fábrica,Sem garantia"</formula1>
    </dataValidation>
    <dataValidation type="list" sqref="AD111" allowBlank="true" errorStyle="stop" showErrorMessage="true" showInputMessage="true">
      <formula1>"dias,meses,anos"</formula1>
    </dataValidation>
    <dataValidation type="list" sqref="J112" allowBlank="true" errorStyle="stop" showErrorMessage="true" showInputMessage="true">
      <formula1>"R$"</formula1>
    </dataValidation>
    <dataValidation type="list" sqref="U112" allowBlank="true" errorStyle="stop" showErrorMessage="true" showInputMessage="true">
      <formula1>"Usado,Novo"</formula1>
    </dataValidation>
    <dataValidation type="list" sqref="W112" allowBlank="true" errorStyle="stop" showErrorMessage="true" showInputMessage="true">
      <formula1>"Mercado Envios por conta do comprador,Mercado Envios grátis"</formula1>
    </dataValidation>
    <dataValidation type="list" sqref="X112" allowBlank="true" errorStyle="stop" showErrorMessage="true" showInputMessage="true">
      <formula1>"Aceita,Não aceito"</formula1>
    </dataValidation>
    <dataValidation type="list" sqref="Y112" allowBlank="true" errorStyle="stop" showErrorMessage="true" showInputMessage="true">
      <formula1>"Clássico,Premium"</formula1>
    </dataValidation>
    <dataValidation type="list" sqref="AA112" allowBlank="true" errorStyle="stop" showErrorMessage="true" showInputMessage="true">
      <formula1>"Ativo,Inativo"</formula1>
    </dataValidation>
    <dataValidation type="list" sqref="AB112" allowBlank="true" errorStyle="stop" showErrorMessage="true" showInputMessage="true">
      <formula1>"Garantia do vendedor,Garantia de fábrica,Sem garantia"</formula1>
    </dataValidation>
    <dataValidation type="list" sqref="AD112" allowBlank="true" errorStyle="stop" showErrorMessage="true" showInputMessage="true">
      <formula1>"dias,meses,anos"</formula1>
    </dataValidation>
    <dataValidation type="list" sqref="J113" allowBlank="true" errorStyle="stop" showErrorMessage="true" showInputMessage="true">
      <formula1>"R$"</formula1>
    </dataValidation>
    <dataValidation type="list" sqref="U113" allowBlank="true" errorStyle="stop" showErrorMessage="true" showInputMessage="true">
      <formula1>"Usado,Novo"</formula1>
    </dataValidation>
    <dataValidation type="list" sqref="W113" allowBlank="true" errorStyle="stop" showErrorMessage="true" showInputMessage="true">
      <formula1>"Mercado Envios por conta do comprador,Mercado Envios grátis"</formula1>
    </dataValidation>
    <dataValidation type="list" sqref="X113" allowBlank="true" errorStyle="stop" showErrorMessage="true" showInputMessage="true">
      <formula1>"Aceita,Não aceito"</formula1>
    </dataValidation>
    <dataValidation type="list" sqref="Y113" allowBlank="true" errorStyle="stop" showErrorMessage="true" showInputMessage="true">
      <formula1>"Clássico,Premium"</formula1>
    </dataValidation>
    <dataValidation type="list" sqref="AA113" allowBlank="true" errorStyle="stop" showErrorMessage="true" showInputMessage="true">
      <formula1>"Ativo,Inativo"</formula1>
    </dataValidation>
    <dataValidation type="list" sqref="AB113" allowBlank="true" errorStyle="stop" showErrorMessage="true" showInputMessage="true">
      <formula1>"Garantia do vendedor,Garantia de fábrica,Sem garantia"</formula1>
    </dataValidation>
    <dataValidation type="list" sqref="AD113" allowBlank="true" errorStyle="stop" showErrorMessage="true" showInputMessage="true">
      <formula1>"dias,meses,anos"</formula1>
    </dataValidation>
    <dataValidation type="list" sqref="J114" allowBlank="true" errorStyle="stop" showErrorMessage="true" showInputMessage="true">
      <formula1>"R$"</formula1>
    </dataValidation>
    <dataValidation type="list" sqref="U114" allowBlank="true" errorStyle="stop" showErrorMessage="true" showInputMessage="true">
      <formula1>"Usado,Novo,Recondicionado"</formula1>
    </dataValidation>
    <dataValidation type="list" sqref="W114" allowBlank="true" errorStyle="stop" showErrorMessage="true" showInputMessage="true">
      <formula1>"Mercado Envios por conta do comprador,Mercado Envios grátis"</formula1>
    </dataValidation>
    <dataValidation type="list" sqref="X114" allowBlank="true" errorStyle="stop" showErrorMessage="true" showInputMessage="true">
      <formula1>"Aceita,Não aceito"</formula1>
    </dataValidation>
    <dataValidation type="list" sqref="Y114" allowBlank="true" errorStyle="stop" showErrorMessage="true" showInputMessage="true">
      <formula1>"Clássico,Premium"</formula1>
    </dataValidation>
    <dataValidation type="list" sqref="AA114" allowBlank="true" errorStyle="stop" showErrorMessage="true" showInputMessage="true">
      <formula1>"Ativo,Inativo"</formula1>
    </dataValidation>
    <dataValidation type="list" sqref="AB114" allowBlank="true" errorStyle="stop" showErrorMessage="true" showInputMessage="true">
      <formula1>"Garantia do vendedor,Garantia de fábrica,Sem garantia"</formula1>
    </dataValidation>
    <dataValidation type="list" sqref="AD114" allowBlank="true" errorStyle="stop" showErrorMessage="true" showInputMessage="true">
      <formula1>"dias,meses,anos"</formula1>
    </dataValidation>
    <dataValidation type="list" sqref="J115" allowBlank="true" errorStyle="stop" showErrorMessage="true" showInputMessage="true">
      <formula1>"R$"</formula1>
    </dataValidation>
    <dataValidation type="list" sqref="U115" allowBlank="true" errorStyle="stop" showErrorMessage="true" showInputMessage="true">
      <formula1>"Usado,Novo"</formula1>
    </dataValidation>
    <dataValidation type="list" sqref="W115" allowBlank="true" errorStyle="stop" showErrorMessage="true" showInputMessage="true">
      <formula1>"Mercado Envios por conta do comprador,Mercado Envios grátis"</formula1>
    </dataValidation>
    <dataValidation type="list" sqref="X115" allowBlank="true" errorStyle="stop" showErrorMessage="true" showInputMessage="true">
      <formula1>"Aceita,Não aceito"</formula1>
    </dataValidation>
    <dataValidation type="list" sqref="Y115" allowBlank="true" errorStyle="stop" showErrorMessage="true" showInputMessage="true">
      <formula1>"Clássico,Premium"</formula1>
    </dataValidation>
    <dataValidation type="list" sqref="AA115" allowBlank="true" errorStyle="stop" showErrorMessage="true" showInputMessage="true">
      <formula1>"Ativo,Inativo"</formula1>
    </dataValidation>
    <dataValidation type="list" sqref="AB115" allowBlank="true" errorStyle="stop" showErrorMessage="true" showInputMessage="true">
      <formula1>"Garantia do vendedor,Garantia de fábrica,Sem garantia"</formula1>
    </dataValidation>
    <dataValidation type="list" sqref="AD115" allowBlank="true" errorStyle="stop" showErrorMessage="true" showInputMessage="true">
      <formula1>"dias,meses,anos"</formula1>
    </dataValidation>
    <dataValidation type="list" sqref="J116" allowBlank="true" errorStyle="stop" showErrorMessage="true" showInputMessage="true">
      <formula1>"R$"</formula1>
    </dataValidation>
    <dataValidation type="list" sqref="U116" allowBlank="true" errorStyle="stop" showErrorMessage="true" showInputMessage="true">
      <formula1>"Usado,Novo"</formula1>
    </dataValidation>
    <dataValidation type="list" sqref="W116" allowBlank="true" errorStyle="stop" showErrorMessage="true" showInputMessage="true">
      <formula1>"Mercado Envios por conta do comprador,Mercado Envios grátis"</formula1>
    </dataValidation>
    <dataValidation type="list" sqref="X116" allowBlank="true" errorStyle="stop" showErrorMessage="true" showInputMessage="true">
      <formula1>"Aceita,Não aceito"</formula1>
    </dataValidation>
    <dataValidation type="list" sqref="Y116" allowBlank="true" errorStyle="stop" showErrorMessage="true" showInputMessage="true">
      <formula1>"Clássico,Premium"</formula1>
    </dataValidation>
    <dataValidation type="list" sqref="AA116" allowBlank="true" errorStyle="stop" showErrorMessage="true" showInputMessage="true">
      <formula1>"Ativo,Inativo"</formula1>
    </dataValidation>
    <dataValidation type="list" sqref="AB116" allowBlank="true" errorStyle="stop" showErrorMessage="true" showInputMessage="true">
      <formula1>"Garantia do vendedor,Garantia de fábrica,Sem garantia"</formula1>
    </dataValidation>
    <dataValidation type="list" sqref="AD116" allowBlank="true" errorStyle="stop" showErrorMessage="true" showInputMessage="true">
      <formula1>"dias,meses,anos"</formula1>
    </dataValidation>
    <dataValidation type="list" sqref="J117" allowBlank="true" errorStyle="stop" showErrorMessage="true" showInputMessage="true">
      <formula1>"R$"</formula1>
    </dataValidation>
    <dataValidation type="list" sqref="U117" allowBlank="true" errorStyle="stop" showErrorMessage="true" showInputMessage="true">
      <formula1>"Usado,Novo,Recondicionado"</formula1>
    </dataValidation>
    <dataValidation type="list" sqref="W117" allowBlank="true" errorStyle="stop" showErrorMessage="true" showInputMessage="true">
      <formula1>"Mercado Envios por conta do comprador,Mercado Envios grátis"</formula1>
    </dataValidation>
    <dataValidation type="list" sqref="X117" allowBlank="true" errorStyle="stop" showErrorMessage="true" showInputMessage="true">
      <formula1>"Aceita,Não aceito"</formula1>
    </dataValidation>
    <dataValidation type="list" sqref="Y117" allowBlank="true" errorStyle="stop" showErrorMessage="true" showInputMessage="true">
      <formula1>"Clássico,Premium"</formula1>
    </dataValidation>
    <dataValidation type="list" sqref="AA117" allowBlank="true" errorStyle="stop" showErrorMessage="true" showInputMessage="true">
      <formula1>"Ativo,Inativo"</formula1>
    </dataValidation>
    <dataValidation type="list" sqref="AB117" allowBlank="true" errorStyle="stop" showErrorMessage="true" showInputMessage="true">
      <formula1>"Garantia do vendedor,Garantia de fábrica,Sem garantia"</formula1>
    </dataValidation>
    <dataValidation type="list" sqref="AD117" allowBlank="true" errorStyle="stop" showErrorMessage="true" showInputMessage="true">
      <formula1>"dias,meses,anos"</formula1>
    </dataValidation>
    <dataValidation type="list" sqref="J118" allowBlank="true" errorStyle="stop" showErrorMessage="true" showInputMessage="true">
      <formula1>"R$"</formula1>
    </dataValidation>
    <dataValidation type="list" sqref="U118" allowBlank="true" errorStyle="stop" showErrorMessage="true" showInputMessage="true">
      <formula1>"Usado,Novo"</formula1>
    </dataValidation>
    <dataValidation type="list" sqref="W118" allowBlank="true" errorStyle="stop" showErrorMessage="true" showInputMessage="true">
      <formula1>"Mercado Envios por conta do comprador,Mercado Envios grátis"</formula1>
    </dataValidation>
    <dataValidation type="list" sqref="X118" allowBlank="true" errorStyle="stop" showErrorMessage="true" showInputMessage="true">
      <formula1>"Aceita,Não aceito"</formula1>
    </dataValidation>
    <dataValidation type="list" sqref="Y118" allowBlank="true" errorStyle="stop" showErrorMessage="true" showInputMessage="true">
      <formula1>"Clássico,Premium"</formula1>
    </dataValidation>
    <dataValidation type="list" sqref="AA118" allowBlank="true" errorStyle="stop" showErrorMessage="true" showInputMessage="true">
      <formula1>"Ativo,Inativo"</formula1>
    </dataValidation>
    <dataValidation type="list" sqref="AB118" allowBlank="true" errorStyle="stop" showErrorMessage="true" showInputMessage="true">
      <formula1>"Garantia do vendedor,Garantia de fábrica,Sem garantia"</formula1>
    </dataValidation>
    <dataValidation type="list" sqref="AD118" allowBlank="true" errorStyle="stop" showErrorMessage="true" showInputMessage="true">
      <formula1>"dias,meses,anos"</formula1>
    </dataValidation>
    <dataValidation type="list" sqref="J119" allowBlank="true" errorStyle="stop" showErrorMessage="true" showInputMessage="true">
      <formula1>"R$"</formula1>
    </dataValidation>
    <dataValidation type="list" sqref="U119" allowBlank="true" errorStyle="stop" showErrorMessage="true" showInputMessage="true">
      <formula1>"Usado,Novo"</formula1>
    </dataValidation>
    <dataValidation type="list" sqref="W119" allowBlank="true" errorStyle="stop" showErrorMessage="true" showInputMessage="true">
      <formula1>"Mercado Envios por conta do comprador,Mercado Envios grátis"</formula1>
    </dataValidation>
    <dataValidation type="list" sqref="X119" allowBlank="true" errorStyle="stop" showErrorMessage="true" showInputMessage="true">
      <formula1>"Aceita,Não aceito"</formula1>
    </dataValidation>
    <dataValidation type="list" sqref="Y119" allowBlank="true" errorStyle="stop" showErrorMessage="true" showInputMessage="true">
      <formula1>"Clássico,Premium"</formula1>
    </dataValidation>
    <dataValidation type="list" sqref="AA119" allowBlank="true" errorStyle="stop" showErrorMessage="true" showInputMessage="true">
      <formula1>"Ativo,Inativo"</formula1>
    </dataValidation>
    <dataValidation type="list" sqref="AB119" allowBlank="true" errorStyle="stop" showErrorMessage="true" showInputMessage="true">
      <formula1>"Garantia do vendedor,Garantia de fábrica,Sem garantia"</formula1>
    </dataValidation>
    <dataValidation type="list" sqref="AD119" allowBlank="true" errorStyle="stop" showErrorMessage="true" showInputMessage="true">
      <formula1>"dias,meses,anos"</formula1>
    </dataValidation>
    <dataValidation type="list" sqref="J120" allowBlank="true" errorStyle="stop" showErrorMessage="true" showInputMessage="true">
      <formula1>"R$"</formula1>
    </dataValidation>
    <dataValidation type="list" sqref="U120" allowBlank="true" errorStyle="stop" showErrorMessage="true" showInputMessage="true">
      <formula1>"Usado,Novo"</formula1>
    </dataValidation>
    <dataValidation type="list" sqref="W120" allowBlank="true" errorStyle="stop" showErrorMessage="true" showInputMessage="true">
      <formula1>"Mercado Envios por conta do comprador,Mercado Envios grátis"</formula1>
    </dataValidation>
    <dataValidation type="list" sqref="X120" allowBlank="true" errorStyle="stop" showErrorMessage="true" showInputMessage="true">
      <formula1>"Aceita,Não aceito"</formula1>
    </dataValidation>
    <dataValidation type="list" sqref="Y120" allowBlank="true" errorStyle="stop" showErrorMessage="true" showInputMessage="true">
      <formula1>"Clássico,Premium"</formula1>
    </dataValidation>
    <dataValidation type="list" sqref="AA120" allowBlank="true" errorStyle="stop" showErrorMessage="true" showInputMessage="true">
      <formula1>"Ativo,Inativo"</formula1>
    </dataValidation>
    <dataValidation type="list" sqref="AB120" allowBlank="true" errorStyle="stop" showErrorMessage="true" showInputMessage="true">
      <formula1>"Garantia do vendedor,Garantia de fábrica,Sem garantia"</formula1>
    </dataValidation>
    <dataValidation type="list" sqref="AD120" allowBlank="true" errorStyle="stop" showErrorMessage="true" showInputMessage="true">
      <formula1>"dias,meses,anos"</formula1>
    </dataValidation>
    <dataValidation type="list" sqref="J121" allowBlank="true" errorStyle="stop" showErrorMessage="true" showInputMessage="true">
      <formula1>"R$"</formula1>
    </dataValidation>
    <dataValidation type="list" sqref="U121" allowBlank="true" errorStyle="stop" showErrorMessage="true" showInputMessage="true">
      <formula1>"Novo,Usado"</formula1>
    </dataValidation>
    <dataValidation type="list" sqref="W121" allowBlank="true" errorStyle="stop" showErrorMessage="true" showInputMessage="true">
      <formula1>"Mercado Envios por conta do comprador,Mercado Envios grátis"</formula1>
    </dataValidation>
    <dataValidation type="list" sqref="X121" allowBlank="true" errorStyle="stop" showErrorMessage="true" showInputMessage="true">
      <formula1>"Aceita,Não aceito"</formula1>
    </dataValidation>
    <dataValidation type="list" sqref="Y121" allowBlank="true" errorStyle="stop" showErrorMessage="true" showInputMessage="true">
      <formula1>"Clássico,Premium"</formula1>
    </dataValidation>
    <dataValidation type="list" sqref="AA121" allowBlank="true" errorStyle="stop" showErrorMessage="true" showInputMessage="true">
      <formula1>"Ativo,Inativo"</formula1>
    </dataValidation>
    <dataValidation type="list" sqref="AB121" allowBlank="true" errorStyle="stop" showErrorMessage="true" showInputMessage="true">
      <formula1>"Garantia do vendedor,Garantia de fábrica,Sem garantia"</formula1>
    </dataValidation>
    <dataValidation type="list" sqref="AD121" allowBlank="true" errorStyle="stop" showErrorMessage="true" showInputMessage="true">
      <formula1>"dias,meses,anos"</formula1>
    </dataValidation>
    <dataValidation type="list" sqref="J122" allowBlank="true" errorStyle="stop" showErrorMessage="true" showInputMessage="true">
      <formula1>"R$"</formula1>
    </dataValidation>
    <dataValidation type="list" sqref="U122" allowBlank="true" errorStyle="stop" showErrorMessage="true" showInputMessage="true">
      <formula1>"Novo,Usado"</formula1>
    </dataValidation>
    <dataValidation type="list" sqref="W122" allowBlank="true" errorStyle="stop" showErrorMessage="true" showInputMessage="true">
      <formula1>"Envios por minha conta a cargo do comprador,Frete grátis por conta própria,Não faço envios"</formula1>
    </dataValidation>
    <dataValidation type="list" sqref="X122" allowBlank="true" errorStyle="stop" showErrorMessage="true" showInputMessage="true">
      <formula1>"Aceita,Não aceito"</formula1>
    </dataValidation>
    <dataValidation type="list" sqref="Y122" allowBlank="true" errorStyle="stop" showErrorMessage="true" showInputMessage="true">
      <formula1>"Clássico,Premium"</formula1>
    </dataValidation>
    <dataValidation type="list" sqref="AA122" allowBlank="true" errorStyle="stop" showErrorMessage="true" showInputMessage="true">
      <formula1>"Ativo,Inativo"</formula1>
    </dataValidation>
    <dataValidation type="list" sqref="AB122" allowBlank="true" errorStyle="stop" showErrorMessage="true" showInputMessage="true">
      <formula1>"Garantia do vendedor,Garantia de fábrica,Sem garantia"</formula1>
    </dataValidation>
    <dataValidation type="list" sqref="AD122" allowBlank="true" errorStyle="stop" showErrorMessage="true" showInputMessage="true">
      <formula1>"dias,meses,anos"</formula1>
    </dataValidation>
    <dataValidation type="list" sqref="J123" allowBlank="true" errorStyle="stop" showErrorMessage="true" showInputMessage="true">
      <formula1>"R$"</formula1>
    </dataValidation>
    <dataValidation type="list" sqref="U123" allowBlank="true" errorStyle="stop" showErrorMessage="true" showInputMessage="true">
      <formula1>"Usado,Novo"</formula1>
    </dataValidation>
    <dataValidation type="list" sqref="W123" allowBlank="true" errorStyle="stop" showErrorMessage="true" showInputMessage="true">
      <formula1>"Mercado Envios por conta do comprador,Mercado Envios grátis"</formula1>
    </dataValidation>
    <dataValidation type="list" sqref="X123" allowBlank="true" errorStyle="stop" showErrorMessage="true" showInputMessage="true">
      <formula1>"Aceita,Não aceito"</formula1>
    </dataValidation>
    <dataValidation type="list" sqref="Y123" allowBlank="true" errorStyle="stop" showErrorMessage="true" showInputMessage="true">
      <formula1>"Clássico,Premium"</formula1>
    </dataValidation>
    <dataValidation type="list" sqref="AA123" allowBlank="true" errorStyle="stop" showErrorMessage="true" showInputMessage="true">
      <formula1>"Ativo,Inativo"</formula1>
    </dataValidation>
    <dataValidation type="list" sqref="AB123" allowBlank="true" errorStyle="stop" showErrorMessage="true" showInputMessage="true">
      <formula1>"Garantia do vendedor,Garantia de fábrica,Sem garantia"</formula1>
    </dataValidation>
    <dataValidation type="list" sqref="AD123" allowBlank="true" errorStyle="stop" showErrorMessage="true" showInputMessage="true">
      <formula1>"dias,meses,anos"</formula1>
    </dataValidation>
    <dataValidation type="list" sqref="J124" allowBlank="true" errorStyle="stop" showErrorMessage="true" showInputMessage="true">
      <formula1>"R$"</formula1>
    </dataValidation>
    <dataValidation type="list" sqref="U124" allowBlank="true" errorStyle="stop" showErrorMessage="true" showInputMessage="true">
      <formula1>"Usado,Novo"</formula1>
    </dataValidation>
    <dataValidation type="list" sqref="W124" allowBlank="true" errorStyle="stop" showErrorMessage="true" showInputMessage="true">
      <formula1>"Mercado Envios por conta do comprador,Mercado Envios grátis"</formula1>
    </dataValidation>
    <dataValidation type="list" sqref="X124" allowBlank="true" errorStyle="stop" showErrorMessage="true" showInputMessage="true">
      <formula1>"Aceita,Não aceito"</formula1>
    </dataValidation>
    <dataValidation type="list" sqref="Y124" allowBlank="true" errorStyle="stop" showErrorMessage="true" showInputMessage="true">
      <formula1>"Clássico,Premium"</formula1>
    </dataValidation>
    <dataValidation type="list" sqref="AA124" allowBlank="true" errorStyle="stop" showErrorMessage="true" showInputMessage="true">
      <formula1>"Ativo,Inativo"</formula1>
    </dataValidation>
    <dataValidation type="list" sqref="AB124" allowBlank="true" errorStyle="stop" showErrorMessage="true" showInputMessage="true">
      <formula1>"Garantia do vendedor,Garantia de fábrica,Sem garantia"</formula1>
    </dataValidation>
    <dataValidation type="list" sqref="AD124" allowBlank="true" errorStyle="stop" showErrorMessage="true" showInputMessage="true">
      <formula1>"dias,meses,anos"</formula1>
    </dataValidation>
    <dataValidation type="list" sqref="J125" allowBlank="true" errorStyle="stop" showErrorMessage="true" showInputMessage="true">
      <formula1>"R$"</formula1>
    </dataValidation>
    <dataValidation type="list" sqref="U125" allowBlank="true" errorStyle="stop" showErrorMessage="true" showInputMessage="true">
      <formula1>"Novo,Usado,Recondicionado"</formula1>
    </dataValidation>
    <dataValidation type="list" sqref="W125" allowBlank="true" errorStyle="stop" showErrorMessage="true" showInputMessage="true">
      <formula1>"Mercado Envios por conta do comprador,Mercado Envios grátis"</formula1>
    </dataValidation>
    <dataValidation type="list" sqref="X125" allowBlank="true" errorStyle="stop" showErrorMessage="true" showInputMessage="true">
      <formula1>"Aceita,Não aceito"</formula1>
    </dataValidation>
    <dataValidation type="list" sqref="Y125" allowBlank="true" errorStyle="stop" showErrorMessage="true" showInputMessage="true">
      <formula1>"Clássico,Premium"</formula1>
    </dataValidation>
    <dataValidation type="list" sqref="AA125" allowBlank="true" errorStyle="stop" showErrorMessage="true" showInputMessage="true">
      <formula1>"Ativo,Inativo"</formula1>
    </dataValidation>
    <dataValidation type="list" sqref="AB125" allowBlank="true" errorStyle="stop" showErrorMessage="true" showInputMessage="true">
      <formula1>"Garantia do vendedor,Garantia de fábrica,Sem garantia"</formula1>
    </dataValidation>
    <dataValidation type="list" sqref="AD125" allowBlank="true" errorStyle="stop" showErrorMessage="true" showInputMessage="true">
      <formula1>"dias,meses,anos"</formula1>
    </dataValidation>
    <dataValidation type="list" sqref="J126" allowBlank="true" errorStyle="stop" showErrorMessage="true" showInputMessage="true">
      <formula1>"R$"</formula1>
    </dataValidation>
    <dataValidation type="list" sqref="U126" allowBlank="true" errorStyle="stop" showErrorMessage="true" showInputMessage="true">
      <formula1>"Novo,Usado"</formula1>
    </dataValidation>
    <dataValidation type="list" sqref="W126" allowBlank="true" errorStyle="stop" showErrorMessage="true" showInputMessage="true">
      <formula1>"Mercado Envios por conta do comprador,Mercado Envios grátis"</formula1>
    </dataValidation>
    <dataValidation type="list" sqref="X126" allowBlank="true" errorStyle="stop" showErrorMessage="true" showInputMessage="true">
      <formula1>"Aceita,Não aceito"</formula1>
    </dataValidation>
    <dataValidation type="list" sqref="Y126" allowBlank="true" errorStyle="stop" showErrorMessage="true" showInputMessage="true">
      <formula1>"Clássico,Premium"</formula1>
    </dataValidation>
    <dataValidation type="list" sqref="AA126" allowBlank="true" errorStyle="stop" showErrorMessage="true" showInputMessage="true">
      <formula1>"Ativo,Inativo"</formula1>
    </dataValidation>
    <dataValidation type="list" sqref="AB126" allowBlank="true" errorStyle="stop" showErrorMessage="true" showInputMessage="true">
      <formula1>"Garantia do vendedor,Garantia de fábrica,Sem garantia"</formula1>
    </dataValidation>
    <dataValidation type="list" sqref="AD126" allowBlank="true" errorStyle="stop" showErrorMessage="true" showInputMessage="true">
      <formula1>"dias,meses,anos"</formula1>
    </dataValidation>
    <dataValidation type="list" sqref="J127" allowBlank="true" errorStyle="stop" showErrorMessage="true" showInputMessage="true">
      <formula1>"R$"</formula1>
    </dataValidation>
    <dataValidation type="list" sqref="U127" allowBlank="true" errorStyle="stop" showErrorMessage="true" showInputMessage="true">
      <formula1>"Novo,Usado"</formula1>
    </dataValidation>
    <dataValidation type="list" sqref="W127" allowBlank="true" errorStyle="stop" showErrorMessage="true" showInputMessage="true">
      <formula1>"Mercado Envios por conta do comprador,Mercado Envios grátis"</formula1>
    </dataValidation>
    <dataValidation type="list" sqref="X127" allowBlank="true" errorStyle="stop" showErrorMessage="true" showInputMessage="true">
      <formula1>"Aceita,Não aceito"</formula1>
    </dataValidation>
    <dataValidation type="list" sqref="Y127" allowBlank="true" errorStyle="stop" showErrorMessage="true" showInputMessage="true">
      <formula1>"Clássico,Premium"</formula1>
    </dataValidation>
    <dataValidation type="list" sqref="AA127" allowBlank="true" errorStyle="stop" showErrorMessage="true" showInputMessage="true">
      <formula1>"Ativo,Inativo"</formula1>
    </dataValidation>
    <dataValidation type="list" sqref="AB127" allowBlank="true" errorStyle="stop" showErrorMessage="true" showInputMessage="true">
      <formula1>"Garantia do vendedor,Garantia de fábrica,Sem garantia"</formula1>
    </dataValidation>
    <dataValidation type="list" sqref="AD127" allowBlank="true" errorStyle="stop" showErrorMessage="true" showInputMessage="true">
      <formula1>"dias,meses,anos"</formula1>
    </dataValidation>
    <dataValidation type="list" sqref="J128" allowBlank="true" errorStyle="stop" showErrorMessage="true" showInputMessage="true">
      <formula1>"R$"</formula1>
    </dataValidation>
    <dataValidation type="list" sqref="U128" allowBlank="true" errorStyle="stop" showErrorMessage="true" showInputMessage="true">
      <formula1>"Usado,Novo,Recondicionado"</formula1>
    </dataValidation>
    <dataValidation type="list" sqref="W128" allowBlank="true" errorStyle="stop" showErrorMessage="true" showInputMessage="true">
      <formula1>"Mercado Envios por conta do comprador,Mercado Envios grátis"</formula1>
    </dataValidation>
    <dataValidation type="list" sqref="X128" allowBlank="true" errorStyle="stop" showErrorMessage="true" showInputMessage="true">
      <formula1>"Aceita,Não aceito"</formula1>
    </dataValidation>
    <dataValidation type="list" sqref="Y128" allowBlank="true" errorStyle="stop" showErrorMessage="true" showInputMessage="true">
      <formula1>"Clássico,Premium"</formula1>
    </dataValidation>
    <dataValidation type="list" sqref="AA128" allowBlank="true" errorStyle="stop" showErrorMessage="true" showInputMessage="true">
      <formula1>"Ativo,Inativo"</formula1>
    </dataValidation>
    <dataValidation type="list" sqref="AB128" allowBlank="true" errorStyle="stop" showErrorMessage="true" showInputMessage="true">
      <formula1>"Garantia do vendedor,Garantia de fábrica,Sem garantia"</formula1>
    </dataValidation>
    <dataValidation type="list" sqref="AD128" allowBlank="true" errorStyle="stop" showErrorMessage="true" showInputMessage="true">
      <formula1>"dias,meses,anos"</formula1>
    </dataValidation>
    <dataValidation type="list" sqref="J129" allowBlank="true" errorStyle="stop" showErrorMessage="true" showInputMessage="true">
      <formula1>"R$"</formula1>
    </dataValidation>
    <dataValidation type="list" sqref="U129" allowBlank="true" errorStyle="stop" showErrorMessage="true" showInputMessage="true">
      <formula1>"Usado,Novo,Recondicionado"</formula1>
    </dataValidation>
    <dataValidation type="list" sqref="W129" allowBlank="true" errorStyle="stop" showErrorMessage="true" showInputMessage="true">
      <formula1>"Mercado Envios por conta do comprador,Mercado Envios grátis"</formula1>
    </dataValidation>
    <dataValidation type="list" sqref="X129" allowBlank="true" errorStyle="stop" showErrorMessage="true" showInputMessage="true">
      <formula1>"Aceita,Não aceito"</formula1>
    </dataValidation>
    <dataValidation type="list" sqref="Y129" allowBlank="true" errorStyle="stop" showErrorMessage="true" showInputMessage="true">
      <formula1>"Clássico,Premium"</formula1>
    </dataValidation>
    <dataValidation type="list" sqref="AA129" allowBlank="true" errorStyle="stop" showErrorMessage="true" showInputMessage="true">
      <formula1>"Ativo,Inativo"</formula1>
    </dataValidation>
    <dataValidation type="list" sqref="AB129" allowBlank="true" errorStyle="stop" showErrorMessage="true" showInputMessage="true">
      <formula1>"Garantia do vendedor,Garantia de fábrica,Sem garantia"</formula1>
    </dataValidation>
    <dataValidation type="list" sqref="AD129" allowBlank="true" errorStyle="stop" showErrorMessage="true" showInputMessage="true">
      <formula1>"dias,meses,anos"</formula1>
    </dataValidation>
    <dataValidation type="list" sqref="J130" allowBlank="true" errorStyle="stop" showErrorMessage="true" showInputMessage="true">
      <formula1>"R$"</formula1>
    </dataValidation>
    <dataValidation type="list" sqref="U130" allowBlank="true" errorStyle="stop" showErrorMessage="true" showInputMessage="true">
      <formula1>"Usado,Novo"</formula1>
    </dataValidation>
    <dataValidation type="list" sqref="W130" allowBlank="true" errorStyle="stop" showErrorMessage="true" showInputMessage="true">
      <formula1>"Mercado Envios por conta do comprador,Mercado Envios grátis"</formula1>
    </dataValidation>
    <dataValidation type="list" sqref="X130" allowBlank="true" errorStyle="stop" showErrorMessage="true" showInputMessage="true">
      <formula1>"Aceita,Não aceito"</formula1>
    </dataValidation>
    <dataValidation type="list" sqref="Y130" allowBlank="true" errorStyle="stop" showErrorMessage="true" showInputMessage="true">
      <formula1>"Clássico,Premium"</formula1>
    </dataValidation>
    <dataValidation type="list" sqref="AA130" allowBlank="true" errorStyle="stop" showErrorMessage="true" showInputMessage="true">
      <formula1>"Ativo,Inativo"</formula1>
    </dataValidation>
    <dataValidation type="list" sqref="AB130" allowBlank="true" errorStyle="stop" showErrorMessage="true" showInputMessage="true">
      <formula1>"Garantia do vendedor,Garantia de fábrica,Sem garantia"</formula1>
    </dataValidation>
    <dataValidation type="list" sqref="AD130" allowBlank="true" errorStyle="stop" showErrorMessage="true" showInputMessage="true">
      <formula1>"dias,meses,anos"</formula1>
    </dataValidation>
    <dataValidation type="list" sqref="J131" allowBlank="true" errorStyle="stop" showErrorMessage="true" showInputMessage="true">
      <formula1>"R$"</formula1>
    </dataValidation>
    <dataValidation type="list" sqref="U131" allowBlank="true" errorStyle="stop" showErrorMessage="true" showInputMessage="true">
      <formula1>"Novo,Usado"</formula1>
    </dataValidation>
    <dataValidation type="list" sqref="W131" allowBlank="true" errorStyle="stop" showErrorMessage="true" showInputMessage="true">
      <formula1>"Envios por minha conta a cargo do comprador,Frete grátis por conta própria,Não faço envios"</formula1>
    </dataValidation>
    <dataValidation type="list" sqref="X131" allowBlank="true" errorStyle="stop" showErrorMessage="true" showInputMessage="true">
      <formula1>"Aceita,Não aceito"</formula1>
    </dataValidation>
    <dataValidation type="list" sqref="Y131" allowBlank="true" errorStyle="stop" showErrorMessage="true" showInputMessage="true">
      <formula1>"Clássico,Premium"</formula1>
    </dataValidation>
    <dataValidation type="list" sqref="AA131" allowBlank="true" errorStyle="stop" showErrorMessage="true" showInputMessage="true">
      <formula1>"Ativo,Inativo"</formula1>
    </dataValidation>
    <dataValidation type="list" sqref="AB131" allowBlank="true" errorStyle="stop" showErrorMessage="true" showInputMessage="true">
      <formula1>"Garantia do vendedor,Garantia de fábrica,Sem garantia"</formula1>
    </dataValidation>
    <dataValidation type="list" sqref="AD131" allowBlank="true" errorStyle="stop" showErrorMessage="true" showInputMessage="true">
      <formula1>"dias,meses,anos"</formula1>
    </dataValidation>
    <dataValidation type="list" sqref="J132" allowBlank="true" errorStyle="stop" showErrorMessage="true" showInputMessage="true">
      <formula1>"R$"</formula1>
    </dataValidation>
    <dataValidation type="list" sqref="U132" allowBlank="true" errorStyle="stop" showErrorMessage="true" showInputMessage="true">
      <formula1>"Usado,Novo,Recondicionado"</formula1>
    </dataValidation>
    <dataValidation type="list" sqref="W132" allowBlank="true" errorStyle="stop" showErrorMessage="true" showInputMessage="true">
      <formula1>"Mercado Envios por conta do comprador,Mercado Envios grátis"</formula1>
    </dataValidation>
    <dataValidation type="list" sqref="X132" allowBlank="true" errorStyle="stop" showErrorMessage="true" showInputMessage="true">
      <formula1>"Aceita,Não aceito"</formula1>
    </dataValidation>
    <dataValidation type="list" sqref="Y132" allowBlank="true" errorStyle="stop" showErrorMessage="true" showInputMessage="true">
      <formula1>"Clássico,Premium"</formula1>
    </dataValidation>
    <dataValidation type="list" sqref="AA132" allowBlank="true" errorStyle="stop" showErrorMessage="true" showInputMessage="true">
      <formula1>"Ativo,Inativo"</formula1>
    </dataValidation>
    <dataValidation type="list" sqref="AB132" allowBlank="true" errorStyle="stop" showErrorMessage="true" showInputMessage="true">
      <formula1>"Garantia do vendedor,Garantia de fábrica,Sem garantia"</formula1>
    </dataValidation>
    <dataValidation type="list" sqref="AD132" allowBlank="true" errorStyle="stop" showErrorMessage="true" showInputMessage="true">
      <formula1>"dias,meses,anos"</formula1>
    </dataValidation>
    <dataValidation type="list" sqref="J133" allowBlank="true" errorStyle="stop" showErrorMessage="true" showInputMessage="true">
      <formula1>"R$"</formula1>
    </dataValidation>
    <dataValidation type="list" sqref="U133" allowBlank="true" errorStyle="stop" showErrorMessage="true" showInputMessage="true">
      <formula1>"Usado,Novo"</formula1>
    </dataValidation>
    <dataValidation type="list" sqref="W133" allowBlank="true" errorStyle="stop" showErrorMessage="true" showInputMessage="true">
      <formula1>"Mercado Envios por conta do comprador,Mercado Envios grátis"</formula1>
    </dataValidation>
    <dataValidation type="list" sqref="X133" allowBlank="true" errorStyle="stop" showErrorMessage="true" showInputMessage="true">
      <formula1>"Aceita,Não aceito"</formula1>
    </dataValidation>
    <dataValidation type="list" sqref="Y133" allowBlank="true" errorStyle="stop" showErrorMessage="true" showInputMessage="true">
      <formula1>"Clássico,Premium"</formula1>
    </dataValidation>
    <dataValidation type="list" sqref="AA133" allowBlank="true" errorStyle="stop" showErrorMessage="true" showInputMessage="true">
      <formula1>"Ativo,Inativo"</formula1>
    </dataValidation>
    <dataValidation type="list" sqref="AB133" allowBlank="true" errorStyle="stop" showErrorMessage="true" showInputMessage="true">
      <formula1>"Garantia do vendedor,Garantia de fábrica,Sem garantia"</formula1>
    </dataValidation>
    <dataValidation type="list" sqref="AD133" allowBlank="true" errorStyle="stop" showErrorMessage="true" showInputMessage="true">
      <formula1>"dias,meses,anos"</formula1>
    </dataValidation>
    <dataValidation type="list" sqref="J134" allowBlank="true" errorStyle="stop" showErrorMessage="true" showInputMessage="true">
      <formula1>"R$"</formula1>
    </dataValidation>
    <dataValidation type="list" sqref="U134" allowBlank="true" errorStyle="stop" showErrorMessage="true" showInputMessage="true">
      <formula1>"Usado,Novo"</formula1>
    </dataValidation>
    <dataValidation type="list" sqref="W134" allowBlank="true" errorStyle="stop" showErrorMessage="true" showInputMessage="true">
      <formula1>"Mercado Envios por conta do comprador,Mercado Envios grátis"</formula1>
    </dataValidation>
    <dataValidation type="list" sqref="X134" allowBlank="true" errorStyle="stop" showErrorMessage="true" showInputMessage="true">
      <formula1>"Aceita,Não aceito"</formula1>
    </dataValidation>
    <dataValidation type="list" sqref="Y134" allowBlank="true" errorStyle="stop" showErrorMessage="true" showInputMessage="true">
      <formula1>"Clássico,Premium"</formula1>
    </dataValidation>
    <dataValidation type="list" sqref="AA134" allowBlank="true" errorStyle="stop" showErrorMessage="true" showInputMessage="true">
      <formula1>"Ativo,Inativo"</formula1>
    </dataValidation>
    <dataValidation type="list" sqref="AB134" allowBlank="true" errorStyle="stop" showErrorMessage="true" showInputMessage="true">
      <formula1>"Garantia do vendedor,Garantia de fábrica,Sem garantia"</formula1>
    </dataValidation>
    <dataValidation type="list" sqref="AD134" allowBlank="true" errorStyle="stop" showErrorMessage="true" showInputMessage="true">
      <formula1>"dias,meses,anos"</formula1>
    </dataValidation>
    <dataValidation type="list" sqref="J135" allowBlank="true" errorStyle="stop" showErrorMessage="true" showInputMessage="true">
      <formula1>"R$"</formula1>
    </dataValidation>
    <dataValidation type="list" sqref="U135" allowBlank="true" errorStyle="stop" showErrorMessage="true" showInputMessage="true">
      <formula1>"Usado,Novo"</formula1>
    </dataValidation>
    <dataValidation type="list" sqref="W135" allowBlank="true" errorStyle="stop" showErrorMessage="true" showInputMessage="true">
      <formula1>"Mercado Envios por conta do comprador,Mercado Envios grátis"</formula1>
    </dataValidation>
    <dataValidation type="list" sqref="X135" allowBlank="true" errorStyle="stop" showErrorMessage="true" showInputMessage="true">
      <formula1>"Aceita,Não aceito"</formula1>
    </dataValidation>
    <dataValidation type="list" sqref="Y135" allowBlank="true" errorStyle="stop" showErrorMessage="true" showInputMessage="true">
      <formula1>"Clássico,Premium"</formula1>
    </dataValidation>
    <dataValidation type="list" sqref="AA135" allowBlank="true" errorStyle="stop" showErrorMessage="true" showInputMessage="true">
      <formula1>"Ativo,Inativo"</formula1>
    </dataValidation>
    <dataValidation type="list" sqref="AB135" allowBlank="true" errorStyle="stop" showErrorMessage="true" showInputMessage="true">
      <formula1>"Garantia do vendedor,Garantia de fábrica,Sem garantia"</formula1>
    </dataValidation>
    <dataValidation type="list" sqref="AD135" allowBlank="true" errorStyle="stop" showErrorMessage="true" showInputMessage="true">
      <formula1>"dias,meses,anos"</formula1>
    </dataValidation>
    <dataValidation type="list" sqref="J136" allowBlank="true" errorStyle="stop" showErrorMessage="true" showInputMessage="true">
      <formula1>"R$"</formula1>
    </dataValidation>
    <dataValidation type="list" sqref="U136" allowBlank="true" errorStyle="stop" showErrorMessage="true" showInputMessage="true">
      <formula1>"Usado,Novo"</formula1>
    </dataValidation>
    <dataValidation type="list" sqref="W136" allowBlank="true" errorStyle="stop" showErrorMessage="true" showInputMessage="true">
      <formula1>"Envios por minha conta a cargo do comprador,Frete grátis por conta própria,Não faço envios"</formula1>
    </dataValidation>
    <dataValidation type="list" sqref="X136" allowBlank="true" errorStyle="stop" showErrorMessage="true" showInputMessage="true">
      <formula1>"Aceita,Não aceito"</formula1>
    </dataValidation>
    <dataValidation type="list" sqref="Y136" allowBlank="true" errorStyle="stop" showErrorMessage="true" showInputMessage="true">
      <formula1>"Clássico,Premium"</formula1>
    </dataValidation>
    <dataValidation type="list" sqref="AA136" allowBlank="true" errorStyle="stop" showErrorMessage="true" showInputMessage="true">
      <formula1>"Ativo,Inativo"</formula1>
    </dataValidation>
    <dataValidation type="list" sqref="AB136" allowBlank="true" errorStyle="stop" showErrorMessage="true" showInputMessage="true">
      <formula1>"Garantia do vendedor,Garantia de fábrica,Sem garantia"</formula1>
    </dataValidation>
    <dataValidation type="list" sqref="AD136" allowBlank="true" errorStyle="stop" showErrorMessage="true" showInputMessage="true">
      <formula1>"dias,meses,anos"</formula1>
    </dataValidation>
    <dataValidation type="list" sqref="J137" allowBlank="true" errorStyle="stop" showErrorMessage="true" showInputMessage="true">
      <formula1>"R$"</formula1>
    </dataValidation>
    <dataValidation type="list" sqref="U137" allowBlank="true" errorStyle="stop" showErrorMessage="true" showInputMessage="true">
      <formula1>"Usado,Novo"</formula1>
    </dataValidation>
    <dataValidation type="list" sqref="W137" allowBlank="true" errorStyle="stop" showErrorMessage="true" showInputMessage="true">
      <formula1>"Envios por minha conta a cargo do comprador,Frete grátis por conta própria,Não faço envios"</formula1>
    </dataValidation>
    <dataValidation type="list" sqref="X137" allowBlank="true" errorStyle="stop" showErrorMessage="true" showInputMessage="true">
      <formula1>"Aceita,Não aceito"</formula1>
    </dataValidation>
    <dataValidation type="list" sqref="Y137" allowBlank="true" errorStyle="stop" showErrorMessage="true" showInputMessage="true">
      <formula1>"Clássico,Premium"</formula1>
    </dataValidation>
    <dataValidation type="list" sqref="AA137" allowBlank="true" errorStyle="stop" showErrorMessage="true" showInputMessage="true">
      <formula1>"Ativo,Inativo"</formula1>
    </dataValidation>
    <dataValidation type="list" sqref="AB137" allowBlank="true" errorStyle="stop" showErrorMessage="true" showInputMessage="true">
      <formula1>"Garantia do vendedor,Garantia de fábrica,Sem garantia"</formula1>
    </dataValidation>
    <dataValidation type="list" sqref="AD137" allowBlank="true" errorStyle="stop" showErrorMessage="true" showInputMessage="true">
      <formula1>"dias,meses,anos"</formula1>
    </dataValidation>
    <dataValidation type="list" sqref="J138" allowBlank="true" errorStyle="stop" showErrorMessage="true" showInputMessage="true">
      <formula1>"R$"</formula1>
    </dataValidation>
    <dataValidation type="list" sqref="U138" allowBlank="true" errorStyle="stop" showErrorMessage="true" showInputMessage="true">
      <formula1>"Usado,Novo"</formula1>
    </dataValidation>
    <dataValidation type="list" sqref="W138" allowBlank="true" errorStyle="stop" showErrorMessage="true" showInputMessage="true">
      <formula1>"Envios por minha conta a cargo do comprador,Frete grátis por conta própria,Não faço envios"</formula1>
    </dataValidation>
    <dataValidation type="list" sqref="X138" allowBlank="true" errorStyle="stop" showErrorMessage="true" showInputMessage="true">
      <formula1>"Aceita,Não aceito"</formula1>
    </dataValidation>
    <dataValidation type="list" sqref="Y138" allowBlank="true" errorStyle="stop" showErrorMessage="true" showInputMessage="true">
      <formula1>"Clássico,Premium"</formula1>
    </dataValidation>
    <dataValidation type="list" sqref="AA138" allowBlank="true" errorStyle="stop" showErrorMessage="true" showInputMessage="true">
      <formula1>"Ativo,Inativo"</formula1>
    </dataValidation>
    <dataValidation type="list" sqref="AB138" allowBlank="true" errorStyle="stop" showErrorMessage="true" showInputMessage="true">
      <formula1>"Garantia do vendedor,Garantia de fábrica,Sem garantia"</formula1>
    </dataValidation>
    <dataValidation type="list" sqref="AD138" allowBlank="true" errorStyle="stop" showErrorMessage="true" showInputMessage="true">
      <formula1>"dias,meses,anos"</formula1>
    </dataValidation>
    <dataValidation type="list" sqref="J139" allowBlank="true" errorStyle="stop" showErrorMessage="true" showInputMessage="true">
      <formula1>"R$"</formula1>
    </dataValidation>
    <dataValidation type="list" sqref="U139" allowBlank="true" errorStyle="stop" showErrorMessage="true" showInputMessage="true">
      <formula1>"Usado,Novo,Recondicionado"</formula1>
    </dataValidation>
    <dataValidation type="list" sqref="W139" allowBlank="true" errorStyle="stop" showErrorMessage="true" showInputMessage="true">
      <formula1>"Mercado Envios por conta do comprador,Mercado Envios grátis"</formula1>
    </dataValidation>
    <dataValidation type="list" sqref="X139" allowBlank="true" errorStyle="stop" showErrorMessage="true" showInputMessage="true">
      <formula1>"Aceita,Não aceito"</formula1>
    </dataValidation>
    <dataValidation type="list" sqref="Y139" allowBlank="true" errorStyle="stop" showErrorMessage="true" showInputMessage="true">
      <formula1>"Clássico,Premium"</formula1>
    </dataValidation>
    <dataValidation type="list" sqref="AA139" allowBlank="true" errorStyle="stop" showErrorMessage="true" showInputMessage="true">
      <formula1>"Ativo,Inativo"</formula1>
    </dataValidation>
    <dataValidation type="list" sqref="AB139" allowBlank="true" errorStyle="stop" showErrorMessage="true" showInputMessage="true">
      <formula1>"Garantia do vendedor,Garantia de fábrica,Sem garantia"</formula1>
    </dataValidation>
    <dataValidation type="list" sqref="AD139" allowBlank="true" errorStyle="stop" showErrorMessage="true" showInputMessage="true">
      <formula1>"dias,meses,anos"</formula1>
    </dataValidation>
    <dataValidation type="list" sqref="J140" allowBlank="true" errorStyle="stop" showErrorMessage="true" showInputMessage="true">
      <formula1>"R$"</formula1>
    </dataValidation>
    <dataValidation type="list" sqref="U140" allowBlank="true" errorStyle="stop" showErrorMessage="true" showInputMessage="true">
      <formula1>"Usado,Novo"</formula1>
    </dataValidation>
    <dataValidation type="list" sqref="W140" allowBlank="true" errorStyle="stop" showErrorMessage="true" showInputMessage="true">
      <formula1>"Mercado Envios por conta do comprador,Mercado Envios grátis"</formula1>
    </dataValidation>
    <dataValidation type="list" sqref="X140" allowBlank="true" errorStyle="stop" showErrorMessage="true" showInputMessage="true">
      <formula1>"Aceita,Não aceito"</formula1>
    </dataValidation>
    <dataValidation type="list" sqref="Y140" allowBlank="true" errorStyle="stop" showErrorMessage="true" showInputMessage="true">
      <formula1>"Clássico,Premium"</formula1>
    </dataValidation>
    <dataValidation type="list" sqref="AA140" allowBlank="true" errorStyle="stop" showErrorMessage="true" showInputMessage="true">
      <formula1>"Ativo,Inativo"</formula1>
    </dataValidation>
    <dataValidation type="list" sqref="AB140" allowBlank="true" errorStyle="stop" showErrorMessage="true" showInputMessage="true">
      <formula1>"Garantia do vendedor,Garantia de fábrica,Sem garantia"</formula1>
    </dataValidation>
    <dataValidation type="list" sqref="AD140" allowBlank="true" errorStyle="stop" showErrorMessage="true" showInputMessage="true">
      <formula1>"dias,meses,anos"</formula1>
    </dataValidation>
    <dataValidation type="list" sqref="J141" allowBlank="true" errorStyle="stop" showErrorMessage="true" showInputMessage="true">
      <formula1>"R$"</formula1>
    </dataValidation>
    <dataValidation type="list" sqref="U141" allowBlank="true" errorStyle="stop" showErrorMessage="true" showInputMessage="true">
      <formula1>"Usado,Novo"</formula1>
    </dataValidation>
    <dataValidation type="list" sqref="W141" allowBlank="true" errorStyle="stop" showErrorMessage="true" showInputMessage="true">
      <formula1>"Mercado Envios por conta do comprador,Mercado Envios grátis"</formula1>
    </dataValidation>
    <dataValidation type="list" sqref="X141" allowBlank="true" errorStyle="stop" showErrorMessage="true" showInputMessage="true">
      <formula1>"Aceita,Não aceito"</formula1>
    </dataValidation>
    <dataValidation type="list" sqref="Y141" allowBlank="true" errorStyle="stop" showErrorMessage="true" showInputMessage="true">
      <formula1>"Clássico,Premium"</formula1>
    </dataValidation>
    <dataValidation type="list" sqref="AA141" allowBlank="true" errorStyle="stop" showErrorMessage="true" showInputMessage="true">
      <formula1>"Ativo,Inativo"</formula1>
    </dataValidation>
    <dataValidation type="list" sqref="AB141" allowBlank="true" errorStyle="stop" showErrorMessage="true" showInputMessage="true">
      <formula1>"Garantia do vendedor,Garantia de fábrica,Sem garantia"</formula1>
    </dataValidation>
    <dataValidation type="list" sqref="AD141" allowBlank="true" errorStyle="stop" showErrorMessage="true" showInputMessage="true">
      <formula1>"dias,meses,anos"</formula1>
    </dataValidation>
    <dataValidation type="list" sqref="J142" allowBlank="true" errorStyle="stop" showErrorMessage="true" showInputMessage="true">
      <formula1>"R$"</formula1>
    </dataValidation>
    <dataValidation type="list" sqref="U142" allowBlank="true" errorStyle="stop" showErrorMessage="true" showInputMessage="true">
      <formula1>"Usado,Novo"</formula1>
    </dataValidation>
    <dataValidation type="list" sqref="W142" allowBlank="true" errorStyle="stop" showErrorMessage="true" showInputMessage="true">
      <formula1>"Mercado Envios por conta do comprador,Mercado Envios grátis"</formula1>
    </dataValidation>
    <dataValidation type="list" sqref="X142" allowBlank="true" errorStyle="stop" showErrorMessage="true" showInputMessage="true">
      <formula1>"Aceita,Não aceito"</formula1>
    </dataValidation>
    <dataValidation type="list" sqref="Y142" allowBlank="true" errorStyle="stop" showErrorMessage="true" showInputMessage="true">
      <formula1>"Clássico,Premium"</formula1>
    </dataValidation>
    <dataValidation type="list" sqref="AA142" allowBlank="true" errorStyle="stop" showErrorMessage="true" showInputMessage="true">
      <formula1>"Ativo,Inativo"</formula1>
    </dataValidation>
    <dataValidation type="list" sqref="AB142" allowBlank="true" errorStyle="stop" showErrorMessage="true" showInputMessage="true">
      <formula1>"Garantia do vendedor,Garantia de fábrica,Sem garantia"</formula1>
    </dataValidation>
    <dataValidation type="list" sqref="AD142" allowBlank="true" errorStyle="stop" showErrorMessage="true" showInputMessage="true">
      <formula1>"dias,meses,anos"</formula1>
    </dataValidation>
    <dataValidation type="list" sqref="J143" allowBlank="true" errorStyle="stop" showErrorMessage="true" showInputMessage="true">
      <formula1>"R$"</formula1>
    </dataValidation>
    <dataValidation type="list" sqref="U143" allowBlank="true" errorStyle="stop" showErrorMessage="true" showInputMessage="true">
      <formula1>"Novo"</formula1>
    </dataValidation>
    <dataValidation type="list" sqref="W143" allowBlank="true" errorStyle="stop" showErrorMessage="true" showInputMessage="true">
      <formula1>"Mercado Envios por conta do comprador,Mercado Envios grátis"</formula1>
    </dataValidation>
    <dataValidation type="list" sqref="X143" allowBlank="true" errorStyle="stop" showErrorMessage="true" showInputMessage="true">
      <formula1>"Aceita,Não aceito"</formula1>
    </dataValidation>
    <dataValidation type="list" sqref="Y143" allowBlank="true" errorStyle="stop" showErrorMessage="true" showInputMessage="true">
      <formula1>"Clássico,Premium"</formula1>
    </dataValidation>
    <dataValidation type="list" sqref="AA143" allowBlank="true" errorStyle="stop" showErrorMessage="true" showInputMessage="true">
      <formula1>"Ativo,Inativo"</formula1>
    </dataValidation>
    <dataValidation type="list" sqref="AB143" allowBlank="true" errorStyle="stop" showErrorMessage="true" showInputMessage="true">
      <formula1>"Garantia do vendedor,Garantia de fábrica,Sem garantia"</formula1>
    </dataValidation>
    <dataValidation type="list" sqref="AD143" allowBlank="true" errorStyle="stop" showErrorMessage="true" showInputMessage="true">
      <formula1>"dias,meses,anos"</formula1>
    </dataValidation>
    <dataValidation type="list" sqref="J144" allowBlank="true" errorStyle="stop" showErrorMessage="true" showInputMessage="true">
      <formula1>"R$"</formula1>
    </dataValidation>
    <dataValidation type="list" sqref="U144" allowBlank="true" errorStyle="stop" showErrorMessage="true" showInputMessage="true">
      <formula1>"Usado,Novo"</formula1>
    </dataValidation>
    <dataValidation type="list" sqref="W144" allowBlank="true" errorStyle="stop" showErrorMessage="true" showInputMessage="true">
      <formula1>"Mercado Envios por conta do comprador,Mercado Envios grátis"</formula1>
    </dataValidation>
    <dataValidation type="list" sqref="X144" allowBlank="true" errorStyle="stop" showErrorMessage="true" showInputMessage="true">
      <formula1>"Aceita,Não aceito"</formula1>
    </dataValidation>
    <dataValidation type="list" sqref="Y144" allowBlank="true" errorStyle="stop" showErrorMessage="true" showInputMessage="true">
      <formula1>"Clássico,Premium"</formula1>
    </dataValidation>
    <dataValidation type="list" sqref="AA144" allowBlank="true" errorStyle="stop" showErrorMessage="true" showInputMessage="true">
      <formula1>"Ativo,Inativo"</formula1>
    </dataValidation>
    <dataValidation type="list" sqref="AB144" allowBlank="true" errorStyle="stop" showErrorMessage="true" showInputMessage="true">
      <formula1>"Garantia do vendedor,Garantia de fábrica,Sem garantia"</formula1>
    </dataValidation>
    <dataValidation type="list" sqref="AD144" allowBlank="true" errorStyle="stop" showErrorMessage="true" showInputMessage="true">
      <formula1>"dias,meses,anos"</formula1>
    </dataValidation>
    <dataValidation type="list" sqref="J145" allowBlank="true" errorStyle="stop" showErrorMessage="true" showInputMessage="true">
      <formula1>"R$"</formula1>
    </dataValidation>
    <dataValidation type="list" sqref="U145" allowBlank="true" errorStyle="stop" showErrorMessage="true" showInputMessage="true">
      <formula1>"Usado,Novo"</formula1>
    </dataValidation>
    <dataValidation type="list" sqref="W145" allowBlank="true" errorStyle="stop" showErrorMessage="true" showInputMessage="true">
      <formula1>"Mercado Envios por conta do comprador,Mercado Envios grátis"</formula1>
    </dataValidation>
    <dataValidation type="list" sqref="X145" allowBlank="true" errorStyle="stop" showErrorMessage="true" showInputMessage="true">
      <formula1>"Aceita,Não aceito"</formula1>
    </dataValidation>
    <dataValidation type="list" sqref="Y145" allowBlank="true" errorStyle="stop" showErrorMessage="true" showInputMessage="true">
      <formula1>"Clássico,Premium"</formula1>
    </dataValidation>
    <dataValidation type="list" sqref="AA145" allowBlank="true" errorStyle="stop" showErrorMessage="true" showInputMessage="true">
      <formula1>"Ativo,Inativo"</formula1>
    </dataValidation>
    <dataValidation type="list" sqref="AB145" allowBlank="true" errorStyle="stop" showErrorMessage="true" showInputMessage="true">
      <formula1>"Garantia do vendedor,Garantia de fábrica,Sem garantia"</formula1>
    </dataValidation>
    <dataValidation type="list" sqref="AD145" allowBlank="true" errorStyle="stop" showErrorMessage="true" showInputMessage="true">
      <formula1>"dias,meses,anos"</formula1>
    </dataValidation>
    <dataValidation type="list" sqref="J146" allowBlank="true" errorStyle="stop" showErrorMessage="true" showInputMessage="true">
      <formula1>"R$"</formula1>
    </dataValidation>
    <dataValidation type="list" sqref="U146" allowBlank="true" errorStyle="stop" showErrorMessage="true" showInputMessage="true">
      <formula1>"Usado,Novo"</formula1>
    </dataValidation>
    <dataValidation type="list" sqref="W146" allowBlank="true" errorStyle="stop" showErrorMessage="true" showInputMessage="true">
      <formula1>"Mercado Envios por conta do comprador,Mercado Envios grátis"</formula1>
    </dataValidation>
    <dataValidation type="list" sqref="X146" allowBlank="true" errorStyle="stop" showErrorMessage="true" showInputMessage="true">
      <formula1>"Aceita,Não aceito"</formula1>
    </dataValidation>
    <dataValidation type="list" sqref="Y146" allowBlank="true" errorStyle="stop" showErrorMessage="true" showInputMessage="true">
      <formula1>"Clássico,Premium"</formula1>
    </dataValidation>
    <dataValidation type="list" sqref="AA146" allowBlank="true" errorStyle="stop" showErrorMessage="true" showInputMessage="true">
      <formula1>"Ativo,Inativo"</formula1>
    </dataValidation>
    <dataValidation type="list" sqref="AB146" allowBlank="true" errorStyle="stop" showErrorMessage="true" showInputMessage="true">
      <formula1>"Garantia do vendedor,Garantia de fábrica,Sem garantia"</formula1>
    </dataValidation>
    <dataValidation type="list" sqref="AD146" allowBlank="true" errorStyle="stop" showErrorMessage="true" showInputMessage="true">
      <formula1>"dias,meses,anos"</formula1>
    </dataValidation>
    <dataValidation type="list" sqref="J147" allowBlank="true" errorStyle="stop" showErrorMessage="true" showInputMessage="true">
      <formula1>"R$"</formula1>
    </dataValidation>
    <dataValidation type="list" sqref="U147" allowBlank="true" errorStyle="stop" showErrorMessage="true" showInputMessage="true">
      <formula1>"Novo,Usado,Recondicionado"</formula1>
    </dataValidation>
    <dataValidation type="list" sqref="W147" allowBlank="true" errorStyle="stop" showErrorMessage="true" showInputMessage="true">
      <formula1>"Mercado Envios por conta do comprador,Mercado Envios grátis"</formula1>
    </dataValidation>
    <dataValidation type="list" sqref="X147" allowBlank="true" errorStyle="stop" showErrorMessage="true" showInputMessage="true">
      <formula1>"Aceita,Não aceito"</formula1>
    </dataValidation>
    <dataValidation type="list" sqref="Y147" allowBlank="true" errorStyle="stop" showErrorMessage="true" showInputMessage="true">
      <formula1>"Clássico,Premium"</formula1>
    </dataValidation>
    <dataValidation type="list" sqref="AA147" allowBlank="true" errorStyle="stop" showErrorMessage="true" showInputMessage="true">
      <formula1>"Ativo,Inativo"</formula1>
    </dataValidation>
    <dataValidation type="list" sqref="AB147" allowBlank="true" errorStyle="stop" showErrorMessage="true" showInputMessage="true">
      <formula1>"Garantia do vendedor,Garantia de fábrica,Sem garantia"</formula1>
    </dataValidation>
    <dataValidation type="list" sqref="AD147" allowBlank="true" errorStyle="stop" showErrorMessage="true" showInputMessage="true">
      <formula1>"dias,meses,anos"</formula1>
    </dataValidation>
    <dataValidation type="list" sqref="J148" allowBlank="true" errorStyle="stop" showErrorMessage="true" showInputMessage="true">
      <formula1>"R$"</formula1>
    </dataValidation>
    <dataValidation type="list" sqref="U148" allowBlank="true" errorStyle="stop" showErrorMessage="true" showInputMessage="true">
      <formula1>"Novo,Usado,Recondicionado"</formula1>
    </dataValidation>
    <dataValidation type="list" sqref="W148" allowBlank="true" errorStyle="stop" showErrorMessage="true" showInputMessage="true">
      <formula1>"Mercado Envios por conta do comprador,Mercado Envios grátis"</formula1>
    </dataValidation>
    <dataValidation type="list" sqref="X148" allowBlank="true" errorStyle="stop" showErrorMessage="true" showInputMessage="true">
      <formula1>"Aceita,Não aceito"</formula1>
    </dataValidation>
    <dataValidation type="list" sqref="Y148" allowBlank="true" errorStyle="stop" showErrorMessage="true" showInputMessage="true">
      <formula1>"Clássico,Premium"</formula1>
    </dataValidation>
    <dataValidation type="list" sqref="AA148" allowBlank="true" errorStyle="stop" showErrorMessage="true" showInputMessage="true">
      <formula1>"Ativo,Inativo"</formula1>
    </dataValidation>
    <dataValidation type="list" sqref="AB148" allowBlank="true" errorStyle="stop" showErrorMessage="true" showInputMessage="true">
      <formula1>"Garantia do vendedor,Garantia de fábrica,Sem garantia"</formula1>
    </dataValidation>
    <dataValidation type="list" sqref="AD148" allowBlank="true" errorStyle="stop" showErrorMessage="true" showInputMessage="true">
      <formula1>"dias,meses,anos"</formula1>
    </dataValidation>
    <dataValidation type="list" sqref="J149" allowBlank="true" errorStyle="stop" showErrorMessage="true" showInputMessage="true">
      <formula1>"R$"</formula1>
    </dataValidation>
    <dataValidation type="list" sqref="U149" allowBlank="true" errorStyle="stop" showErrorMessage="true" showInputMessage="true">
      <formula1>"Novo"</formula1>
    </dataValidation>
    <dataValidation type="list" sqref="W149" allowBlank="true" errorStyle="stop" showErrorMessage="true" showInputMessage="true">
      <formula1>"Mercado Envios por conta do comprador,Mercado Envios grátis"</formula1>
    </dataValidation>
    <dataValidation type="list" sqref="X149" allowBlank="true" errorStyle="stop" showErrorMessage="true" showInputMessage="true">
      <formula1>"Aceita,Não aceito"</formula1>
    </dataValidation>
    <dataValidation type="list" sqref="Y149" allowBlank="true" errorStyle="stop" showErrorMessage="true" showInputMessage="true">
      <formula1>"Clássico,Premium"</formula1>
    </dataValidation>
    <dataValidation type="list" sqref="AA149" allowBlank="true" errorStyle="stop" showErrorMessage="true" showInputMessage="true">
      <formula1>"Ativo,Inativo"</formula1>
    </dataValidation>
    <dataValidation type="list" sqref="AB149" allowBlank="true" errorStyle="stop" showErrorMessage="true" showInputMessage="true">
      <formula1>"Garantia do vendedor,Garantia de fábrica,Sem garantia"</formula1>
    </dataValidation>
    <dataValidation type="list" sqref="AD149" allowBlank="true" errorStyle="stop" showErrorMessage="true" showInputMessage="true">
      <formula1>"dias,meses,anos"</formula1>
    </dataValidation>
    <dataValidation type="list" sqref="J150" allowBlank="true" errorStyle="stop" showErrorMessage="true" showInputMessage="true">
      <formula1>"R$"</formula1>
    </dataValidation>
    <dataValidation type="list" sqref="U150" allowBlank="true" errorStyle="stop" showErrorMessage="true" showInputMessage="true">
      <formula1>"Usado,Novo"</formula1>
    </dataValidation>
    <dataValidation type="list" sqref="W150" allowBlank="true" errorStyle="stop" showErrorMessage="true" showInputMessage="true">
      <formula1>"Mercado Envios por conta do comprador,Mercado Envios grátis"</formula1>
    </dataValidation>
    <dataValidation type="list" sqref="X150" allowBlank="true" errorStyle="stop" showErrorMessage="true" showInputMessage="true">
      <formula1>"Aceita,Não aceito"</formula1>
    </dataValidation>
    <dataValidation type="list" sqref="Y150" allowBlank="true" errorStyle="stop" showErrorMessage="true" showInputMessage="true">
      <formula1>"Clássico,Premium"</formula1>
    </dataValidation>
    <dataValidation type="list" sqref="AA150" allowBlank="true" errorStyle="stop" showErrorMessage="true" showInputMessage="true">
      <formula1>"Ativo,Inativo"</formula1>
    </dataValidation>
    <dataValidation type="list" sqref="AB150" allowBlank="true" errorStyle="stop" showErrorMessage="true" showInputMessage="true">
      <formula1>"Garantia do vendedor,Garantia de fábrica,Sem garantia"</formula1>
    </dataValidation>
    <dataValidation type="list" sqref="AD150" allowBlank="true" errorStyle="stop" showErrorMessage="true" showInputMessage="true">
      <formula1>"dias,meses,anos"</formula1>
    </dataValidation>
    <dataValidation type="list" sqref="J151" allowBlank="true" errorStyle="stop" showErrorMessage="true" showInputMessage="true">
      <formula1>"R$"</formula1>
    </dataValidation>
    <dataValidation type="list" sqref="U151" allowBlank="true" errorStyle="stop" showErrorMessage="true" showInputMessage="true">
      <formula1>"Novo,Usado,Recondicionado"</formula1>
    </dataValidation>
    <dataValidation type="list" sqref="W151" allowBlank="true" errorStyle="stop" showErrorMessage="true" showInputMessage="true">
      <formula1>"Mercado Envios por conta do comprador,Mercado Envios grátis"</formula1>
    </dataValidation>
    <dataValidation type="list" sqref="X151" allowBlank="true" errorStyle="stop" showErrorMessage="true" showInputMessage="true">
      <formula1>"Aceita,Não aceito"</formula1>
    </dataValidation>
    <dataValidation type="list" sqref="Y151" allowBlank="true" errorStyle="stop" showErrorMessage="true" showInputMessage="true">
      <formula1>"Clássico,Premium"</formula1>
    </dataValidation>
    <dataValidation type="list" sqref="AA151" allowBlank="true" errorStyle="stop" showErrorMessage="true" showInputMessage="true">
      <formula1>"Ativo,Inativo"</formula1>
    </dataValidation>
    <dataValidation type="list" sqref="AB151" allowBlank="true" errorStyle="stop" showErrorMessage="true" showInputMessage="true">
      <formula1>"Garantia do vendedor,Garantia de fábrica,Sem garantia"</formula1>
    </dataValidation>
    <dataValidation type="list" sqref="AD151" allowBlank="true" errorStyle="stop" showErrorMessage="true" showInputMessage="true">
      <formula1>"dias,meses,anos"</formula1>
    </dataValidation>
    <dataValidation type="list" sqref="J152" allowBlank="true" errorStyle="stop" showErrorMessage="true" showInputMessage="true">
      <formula1>"R$"</formula1>
    </dataValidation>
    <dataValidation type="list" sqref="U152" allowBlank="true" errorStyle="stop" showErrorMessage="true" showInputMessage="true">
      <formula1>"Novo"</formula1>
    </dataValidation>
    <dataValidation type="list" sqref="W152" allowBlank="true" errorStyle="stop" showErrorMessage="true" showInputMessage="true">
      <formula1>"Mercado Envios por conta do comprador,Mercado Envios grátis"</formula1>
    </dataValidation>
    <dataValidation type="list" sqref="X152" allowBlank="true" errorStyle="stop" showErrorMessage="true" showInputMessage="true">
      <formula1>"Aceita,Não aceito"</formula1>
    </dataValidation>
    <dataValidation type="list" sqref="Y152" allowBlank="true" errorStyle="stop" showErrorMessage="true" showInputMessage="true">
      <formula1>"Clássico,Premium"</formula1>
    </dataValidation>
    <dataValidation type="list" sqref="AA152" allowBlank="true" errorStyle="stop" showErrorMessage="true" showInputMessage="true">
      <formula1>"Ativo,Inativo"</formula1>
    </dataValidation>
    <dataValidation type="list" sqref="AB152" allowBlank="true" errorStyle="stop" showErrorMessage="true" showInputMessage="true">
      <formula1>"Garantia do vendedor,Garantia de fábrica,Sem garantia"</formula1>
    </dataValidation>
    <dataValidation type="list" sqref="AD152" allowBlank="true" errorStyle="stop" showErrorMessage="true" showInputMessage="true">
      <formula1>"dias,meses,anos"</formula1>
    </dataValidation>
    <dataValidation type="list" sqref="J153" allowBlank="true" errorStyle="stop" showErrorMessage="true" showInputMessage="true">
      <formula1>"R$"</formula1>
    </dataValidation>
    <dataValidation type="list" sqref="U153" allowBlank="true" errorStyle="stop" showErrorMessage="true" showInputMessage="true">
      <formula1>"Novo,Usado"</formula1>
    </dataValidation>
    <dataValidation type="list" sqref="W153" allowBlank="true" errorStyle="stop" showErrorMessage="true" showInputMessage="true">
      <formula1>"Mercado Envios por conta do comprador,Mercado Envios grátis"</formula1>
    </dataValidation>
    <dataValidation type="list" sqref="X153" allowBlank="true" errorStyle="stop" showErrorMessage="true" showInputMessage="true">
      <formula1>"Aceita,Não aceito"</formula1>
    </dataValidation>
    <dataValidation type="list" sqref="Y153" allowBlank="true" errorStyle="stop" showErrorMessage="true" showInputMessage="true">
      <formula1>"Clássico,Premium"</formula1>
    </dataValidation>
    <dataValidation type="list" sqref="AA153" allowBlank="true" errorStyle="stop" showErrorMessage="true" showInputMessage="true">
      <formula1>"Ativo,Inativo"</formula1>
    </dataValidation>
    <dataValidation type="list" sqref="AB153" allowBlank="true" errorStyle="stop" showErrorMessage="true" showInputMessage="true">
      <formula1>"Garantia do vendedor,Garantia de fábrica,Sem garantia"</formula1>
    </dataValidation>
    <dataValidation type="list" sqref="AD153" allowBlank="true" errorStyle="stop" showErrorMessage="true" showInputMessage="true">
      <formula1>"dias,meses,anos"</formula1>
    </dataValidation>
    <dataValidation type="list" sqref="J154" allowBlank="true" errorStyle="stop" showErrorMessage="true" showInputMessage="true">
      <formula1>"R$"</formula1>
    </dataValidation>
    <dataValidation type="list" sqref="U154" allowBlank="true" errorStyle="stop" showErrorMessage="true" showInputMessage="true">
      <formula1>"Usado,Novo"</formula1>
    </dataValidation>
    <dataValidation type="list" sqref="W154" allowBlank="true" errorStyle="stop" showErrorMessage="true" showInputMessage="true">
      <formula1>"Mercado Envios por conta do comprador,Mercado Envios grátis"</formula1>
    </dataValidation>
    <dataValidation type="list" sqref="X154" allowBlank="true" errorStyle="stop" showErrorMessage="true" showInputMessage="true">
      <formula1>"Aceita,Não aceito"</formula1>
    </dataValidation>
    <dataValidation type="list" sqref="Y154" allowBlank="true" errorStyle="stop" showErrorMessage="true" showInputMessage="true">
      <formula1>"Clássico,Premium"</formula1>
    </dataValidation>
    <dataValidation type="list" sqref="AA154" allowBlank="true" errorStyle="stop" showErrorMessage="true" showInputMessage="true">
      <formula1>"Ativo,Inativo"</formula1>
    </dataValidation>
    <dataValidation type="list" sqref="AB154" allowBlank="true" errorStyle="stop" showErrorMessage="true" showInputMessage="true">
      <formula1>"Garantia do vendedor,Garantia de fábrica,Sem garantia"</formula1>
    </dataValidation>
    <dataValidation type="list" sqref="AD154" allowBlank="true" errorStyle="stop" showErrorMessage="true" showInputMessage="true">
      <formula1>"dias,meses,anos"</formula1>
    </dataValidation>
    <dataValidation type="list" sqref="J155" allowBlank="true" errorStyle="stop" showErrorMessage="true" showInputMessage="true">
      <formula1>"R$"</formula1>
    </dataValidation>
    <dataValidation type="list" sqref="U155" allowBlank="true" errorStyle="stop" showErrorMessage="true" showInputMessage="true">
      <formula1>"Usado,Novo"</formula1>
    </dataValidation>
    <dataValidation type="list" sqref="W155" allowBlank="true" errorStyle="stop" showErrorMessage="true" showInputMessage="true">
      <formula1>"Mercado Envios por conta do comprador,Mercado Envios grátis"</formula1>
    </dataValidation>
    <dataValidation type="list" sqref="X155" allowBlank="true" errorStyle="stop" showErrorMessage="true" showInputMessage="true">
      <formula1>"Aceita,Não aceito"</formula1>
    </dataValidation>
    <dataValidation type="list" sqref="Y155" allowBlank="true" errorStyle="stop" showErrorMessage="true" showInputMessage="true">
      <formula1>"Clássico,Premium"</formula1>
    </dataValidation>
    <dataValidation type="list" sqref="AA155" allowBlank="true" errorStyle="stop" showErrorMessage="true" showInputMessage="true">
      <formula1>"Ativo,Inativo"</formula1>
    </dataValidation>
    <dataValidation type="list" sqref="AB155" allowBlank="true" errorStyle="stop" showErrorMessage="true" showInputMessage="true">
      <formula1>"Garantia do vendedor,Garantia de fábrica,Sem garantia"</formula1>
    </dataValidation>
    <dataValidation type="list" sqref="AD155" allowBlank="true" errorStyle="stop" showErrorMessage="true" showInputMessage="true">
      <formula1>"dias,meses,anos"</formula1>
    </dataValidation>
    <dataValidation type="list" sqref="J156" allowBlank="true" errorStyle="stop" showErrorMessage="true" showInputMessage="true">
      <formula1>"R$"</formula1>
    </dataValidation>
    <dataValidation type="list" sqref="U156" allowBlank="true" errorStyle="stop" showErrorMessage="true" showInputMessage="true">
      <formula1>"Usado,Novo,Recondicionado"</formula1>
    </dataValidation>
    <dataValidation type="list" sqref="W156" allowBlank="true" errorStyle="stop" showErrorMessage="true" showInputMessage="true">
      <formula1>"Mercado Envios por conta do comprador,Mercado Envios grátis"</formula1>
    </dataValidation>
    <dataValidation type="list" sqref="X156" allowBlank="true" errorStyle="stop" showErrorMessage="true" showInputMessage="true">
      <formula1>"Aceita,Não aceito"</formula1>
    </dataValidation>
    <dataValidation type="list" sqref="Y156" allowBlank="true" errorStyle="stop" showErrorMessage="true" showInputMessage="true">
      <formula1>"Clássico,Premium"</formula1>
    </dataValidation>
    <dataValidation type="list" sqref="AA156" allowBlank="true" errorStyle="stop" showErrorMessage="true" showInputMessage="true">
      <formula1>"Ativo,Inativo"</formula1>
    </dataValidation>
    <dataValidation type="list" sqref="AB156" allowBlank="true" errorStyle="stop" showErrorMessage="true" showInputMessage="true">
      <formula1>"Garantia do vendedor,Garantia de fábrica,Sem garantia"</formula1>
    </dataValidation>
    <dataValidation type="list" sqref="AD156" allowBlank="true" errorStyle="stop" showErrorMessage="true" showInputMessage="true">
      <formula1>"dias,meses,anos"</formula1>
    </dataValidation>
    <dataValidation type="list" sqref="J157" allowBlank="true" errorStyle="stop" showErrorMessage="true" showInputMessage="true">
      <formula1>"R$"</formula1>
    </dataValidation>
    <dataValidation type="list" sqref="U157" allowBlank="true" errorStyle="stop" showErrorMessage="true" showInputMessage="true">
      <formula1>"Novo,Usado"</formula1>
    </dataValidation>
    <dataValidation type="list" sqref="W157" allowBlank="true" errorStyle="stop" showErrorMessage="true" showInputMessage="true">
      <formula1>"Mercado Envios por conta do comprador,Mercado Envios grátis"</formula1>
    </dataValidation>
    <dataValidation type="list" sqref="X157" allowBlank="true" errorStyle="stop" showErrorMessage="true" showInputMessage="true">
      <formula1>"Aceita,Não aceito"</formula1>
    </dataValidation>
    <dataValidation type="list" sqref="Y157" allowBlank="true" errorStyle="stop" showErrorMessage="true" showInputMessage="true">
      <formula1>"Clássico,Premium"</formula1>
    </dataValidation>
    <dataValidation type="list" sqref="AA157" allowBlank="true" errorStyle="stop" showErrorMessage="true" showInputMessage="true">
      <formula1>"Ativo,Inativo"</formula1>
    </dataValidation>
    <dataValidation type="list" sqref="AB157" allowBlank="true" errorStyle="stop" showErrorMessage="true" showInputMessage="true">
      <formula1>"Garantia do vendedor,Garantia de fábrica,Sem garantia"</formula1>
    </dataValidation>
    <dataValidation type="list" sqref="AD157" allowBlank="true" errorStyle="stop" showErrorMessage="true" showInputMessage="true">
      <formula1>"dias,meses,anos"</formula1>
    </dataValidation>
    <dataValidation type="list" sqref="J158" allowBlank="true" errorStyle="stop" showErrorMessage="true" showInputMessage="true">
      <formula1>"R$"</formula1>
    </dataValidation>
    <dataValidation type="list" sqref="U158" allowBlank="true" errorStyle="stop" showErrorMessage="true" showInputMessage="true">
      <formula1>"Novo,Usado"</formula1>
    </dataValidation>
    <dataValidation type="list" sqref="W158" allowBlank="true" errorStyle="stop" showErrorMessage="true" showInputMessage="true">
      <formula1>"Mercado Envios por conta do comprador,Mercado Envios grátis"</formula1>
    </dataValidation>
    <dataValidation type="list" sqref="X158" allowBlank="true" errorStyle="stop" showErrorMessage="true" showInputMessage="true">
      <formula1>"Aceita,Não aceito"</formula1>
    </dataValidation>
    <dataValidation type="list" sqref="Y158" allowBlank="true" errorStyle="stop" showErrorMessage="true" showInputMessage="true">
      <formula1>"Clássico,Premium"</formula1>
    </dataValidation>
    <dataValidation type="list" sqref="AA158" allowBlank="true" errorStyle="stop" showErrorMessage="true" showInputMessage="true">
      <formula1>"Ativo,Inativo"</formula1>
    </dataValidation>
    <dataValidation type="list" sqref="AB158" allowBlank="true" errorStyle="stop" showErrorMessage="true" showInputMessage="true">
      <formula1>"Garantia do vendedor,Garantia de fábrica,Sem garantia"</formula1>
    </dataValidation>
    <dataValidation type="list" sqref="AD158" allowBlank="true" errorStyle="stop" showErrorMessage="true" showInputMessage="true">
      <formula1>"dias,meses,anos"</formula1>
    </dataValidation>
    <dataValidation type="list" sqref="J159" allowBlank="true" errorStyle="stop" showErrorMessage="true" showInputMessage="true">
      <formula1>"R$"</formula1>
    </dataValidation>
    <dataValidation type="list" sqref="U159" allowBlank="true" errorStyle="stop" showErrorMessage="true" showInputMessage="true">
      <formula1>"Usado,Novo"</formula1>
    </dataValidation>
    <dataValidation type="list" sqref="W159" allowBlank="true" errorStyle="stop" showErrorMessage="true" showInputMessage="true">
      <formula1>"Mercado Envios por conta do comprador,Mercado Envios grátis"</formula1>
    </dataValidation>
    <dataValidation type="list" sqref="X159" allowBlank="true" errorStyle="stop" showErrorMessage="true" showInputMessage="true">
      <formula1>"Aceita,Não aceito"</formula1>
    </dataValidation>
    <dataValidation type="list" sqref="Y159" allowBlank="true" errorStyle="stop" showErrorMessage="true" showInputMessage="true">
      <formula1>"Clássico,Premium"</formula1>
    </dataValidation>
    <dataValidation type="list" sqref="AA159" allowBlank="true" errorStyle="stop" showErrorMessage="true" showInputMessage="true">
      <formula1>"Ativo,Inativo"</formula1>
    </dataValidation>
    <dataValidation type="list" sqref="AB159" allowBlank="true" errorStyle="stop" showErrorMessage="true" showInputMessage="true">
      <formula1>"Garantia do vendedor,Garantia de fábrica,Sem garantia"</formula1>
    </dataValidation>
    <dataValidation type="list" sqref="AD159" allowBlank="true" errorStyle="stop" showErrorMessage="true" showInputMessage="true">
      <formula1>"dias,meses,anos"</formula1>
    </dataValidation>
    <dataValidation type="list" sqref="J160" allowBlank="true" errorStyle="stop" showErrorMessage="true" showInputMessage="true">
      <formula1>"R$"</formula1>
    </dataValidation>
    <dataValidation type="list" sqref="U160" allowBlank="true" errorStyle="stop" showErrorMessage="true" showInputMessage="true">
      <formula1>"Novo,Usado,Recondicionado"</formula1>
    </dataValidation>
    <dataValidation type="list" sqref="W160" allowBlank="true" errorStyle="stop" showErrorMessage="true" showInputMessage="true">
      <formula1>"Mercado Envios por conta do comprador,Mercado Envios grátis"</formula1>
    </dataValidation>
    <dataValidation type="list" sqref="X160" allowBlank="true" errorStyle="stop" showErrorMessage="true" showInputMessage="true">
      <formula1>"Aceita,Não aceito"</formula1>
    </dataValidation>
    <dataValidation type="list" sqref="Y160" allowBlank="true" errorStyle="stop" showErrorMessage="true" showInputMessage="true">
      <formula1>"Clássico,Premium"</formula1>
    </dataValidation>
    <dataValidation type="list" sqref="AA160" allowBlank="true" errorStyle="stop" showErrorMessage="true" showInputMessage="true">
      <formula1>"Ativo,Inativo"</formula1>
    </dataValidation>
    <dataValidation type="list" sqref="AB160" allowBlank="true" errorStyle="stop" showErrorMessage="true" showInputMessage="true">
      <formula1>"Garantia do vendedor,Garantia de fábrica,Sem garantia"</formula1>
    </dataValidation>
    <dataValidation type="list" sqref="AD160" allowBlank="true" errorStyle="stop" showErrorMessage="true" showInputMessage="true">
      <formula1>"dias,meses,anos"</formula1>
    </dataValidation>
    <dataValidation type="list" sqref="J161" allowBlank="true" errorStyle="stop" showErrorMessage="true" showInputMessage="true">
      <formula1>"R$"</formula1>
    </dataValidation>
    <dataValidation type="list" sqref="U161" allowBlank="true" errorStyle="stop" showErrorMessage="true" showInputMessage="true">
      <formula1>"Usado,Novo"</formula1>
    </dataValidation>
    <dataValidation type="list" sqref="W161" allowBlank="true" errorStyle="stop" showErrorMessage="true" showInputMessage="true">
      <formula1>"Mercado Envios por conta do comprador,Mercado Envios grátis"</formula1>
    </dataValidation>
    <dataValidation type="list" sqref="X161" allowBlank="true" errorStyle="stop" showErrorMessage="true" showInputMessage="true">
      <formula1>"Aceita,Não aceito"</formula1>
    </dataValidation>
    <dataValidation type="list" sqref="Y161" allowBlank="true" errorStyle="stop" showErrorMessage="true" showInputMessage="true">
      <formula1>"Clássico,Premium"</formula1>
    </dataValidation>
    <dataValidation type="list" sqref="AA161" allowBlank="true" errorStyle="stop" showErrorMessage="true" showInputMessage="true">
      <formula1>"Ativo,Inativo"</formula1>
    </dataValidation>
    <dataValidation type="list" sqref="AB161" allowBlank="true" errorStyle="stop" showErrorMessage="true" showInputMessage="true">
      <formula1>"Garantia do vendedor,Garantia de fábrica,Sem garantia"</formula1>
    </dataValidation>
    <dataValidation type="list" sqref="AD161" allowBlank="true" errorStyle="stop" showErrorMessage="true" showInputMessage="true">
      <formula1>"dias,meses,anos"</formula1>
    </dataValidation>
    <dataValidation type="list" sqref="J162" allowBlank="true" errorStyle="stop" showErrorMessage="true" showInputMessage="true">
      <formula1>"R$"</formula1>
    </dataValidation>
    <dataValidation type="list" sqref="U162" allowBlank="true" errorStyle="stop" showErrorMessage="true" showInputMessage="true">
      <formula1>"Usado,Novo,Recondicionado"</formula1>
    </dataValidation>
    <dataValidation type="list" sqref="W162" allowBlank="true" errorStyle="stop" showErrorMessage="true" showInputMessage="true">
      <formula1>"Mercado Envios por conta do comprador,Mercado Envios grátis"</formula1>
    </dataValidation>
    <dataValidation type="list" sqref="X162" allowBlank="true" errorStyle="stop" showErrorMessage="true" showInputMessage="true">
      <formula1>"Aceita,Não aceito"</formula1>
    </dataValidation>
    <dataValidation type="list" sqref="Y162" allowBlank="true" errorStyle="stop" showErrorMessage="true" showInputMessage="true">
      <formula1>"Clássico,Premium"</formula1>
    </dataValidation>
    <dataValidation type="list" sqref="AA162" allowBlank="true" errorStyle="stop" showErrorMessage="true" showInputMessage="true">
      <formula1>"Ativo,Inativo"</formula1>
    </dataValidation>
    <dataValidation type="list" sqref="AB162" allowBlank="true" errorStyle="stop" showErrorMessage="true" showInputMessage="true">
      <formula1>"Garantia do vendedor,Garantia de fábrica,Sem garantia"</formula1>
    </dataValidation>
    <dataValidation type="list" sqref="AD162" allowBlank="true" errorStyle="stop" showErrorMessage="true" showInputMessage="true">
      <formula1>"dias,meses,anos"</formula1>
    </dataValidation>
    <dataValidation type="list" sqref="J163" allowBlank="true" errorStyle="stop" showErrorMessage="true" showInputMessage="true">
      <formula1>"R$"</formula1>
    </dataValidation>
    <dataValidation type="list" sqref="U163" allowBlank="true" errorStyle="stop" showErrorMessage="true" showInputMessage="true">
      <formula1>"Novo,Usado"</formula1>
    </dataValidation>
    <dataValidation type="list" sqref="W163" allowBlank="true" errorStyle="stop" showErrorMessage="true" showInputMessage="true">
      <formula1>"Mercado Envios por conta do comprador,Mercado Envios grátis"</formula1>
    </dataValidation>
    <dataValidation type="list" sqref="X163" allowBlank="true" errorStyle="stop" showErrorMessage="true" showInputMessage="true">
      <formula1>"Aceita,Não aceito"</formula1>
    </dataValidation>
    <dataValidation type="list" sqref="Y163" allowBlank="true" errorStyle="stop" showErrorMessage="true" showInputMessage="true">
      <formula1>"Clássico,Premium"</formula1>
    </dataValidation>
    <dataValidation type="list" sqref="AA163" allowBlank="true" errorStyle="stop" showErrorMessage="true" showInputMessage="true">
      <formula1>"Ativo,Inativo"</formula1>
    </dataValidation>
    <dataValidation type="list" sqref="AB163" allowBlank="true" errorStyle="stop" showErrorMessage="true" showInputMessage="true">
      <formula1>"Garantia do vendedor,Garantia de fábrica,Sem garantia"</formula1>
    </dataValidation>
    <dataValidation type="list" sqref="AD163" allowBlank="true" errorStyle="stop" showErrorMessage="true" showInputMessage="true">
      <formula1>"dias,meses,anos"</formula1>
    </dataValidation>
    <dataValidation type="list" sqref="J164" allowBlank="true" errorStyle="stop" showErrorMessage="true" showInputMessage="true">
      <formula1>"R$"</formula1>
    </dataValidation>
    <dataValidation type="list" sqref="W164" allowBlank="true" errorStyle="stop" showErrorMessage="true" showInputMessage="true">
      <formula1>"Mercado Envios por conta do comprador,Mercado Envios grátis"</formula1>
    </dataValidation>
    <dataValidation type="list" sqref="X164" allowBlank="true" errorStyle="stop" showErrorMessage="true" showInputMessage="true">
      <formula1>"Aceita,Não aceito"</formula1>
    </dataValidation>
    <dataValidation type="list" sqref="Y164" allowBlank="true" errorStyle="stop" showErrorMessage="true" showInputMessage="true">
      <formula1>"Clássico,Premium"</formula1>
    </dataValidation>
    <dataValidation type="list" sqref="AA164" allowBlank="true" errorStyle="stop" showErrorMessage="true" showInputMessage="true">
      <formula1>"Ativo,Inativo"</formula1>
    </dataValidation>
    <dataValidation type="list" sqref="AB164" allowBlank="true" errorStyle="stop" showErrorMessage="true" showInputMessage="true">
      <formula1>"Garantia do vendedor,Garantia de fábrica,Sem garantia"</formula1>
    </dataValidation>
    <dataValidation type="list" sqref="AD164" allowBlank="true" errorStyle="stop" showErrorMessage="true" showInputMessage="true">
      <formula1>"dias,meses,anos"</formula1>
    </dataValidation>
    <dataValidation type="list" sqref="J165" allowBlank="true" errorStyle="stop" showErrorMessage="true" showInputMessage="true">
      <formula1>"R$"</formula1>
    </dataValidation>
    <dataValidation type="list" sqref="U165" allowBlank="true" errorStyle="stop" showErrorMessage="true" showInputMessage="true">
      <formula1>"Usado,Novo"</formula1>
    </dataValidation>
    <dataValidation type="list" sqref="W165" allowBlank="true" errorStyle="stop" showErrorMessage="true" showInputMessage="true">
      <formula1>"Mercado Envios por conta do comprador,Mercado Envios grátis"</formula1>
    </dataValidation>
    <dataValidation type="list" sqref="X165" allowBlank="true" errorStyle="stop" showErrorMessage="true" showInputMessage="true">
      <formula1>"Aceita,Não aceito"</formula1>
    </dataValidation>
    <dataValidation type="list" sqref="Y165" allowBlank="true" errorStyle="stop" showErrorMessage="true" showInputMessage="true">
      <formula1>"Clássico,Premium"</formula1>
    </dataValidation>
    <dataValidation type="list" sqref="AA165" allowBlank="true" errorStyle="stop" showErrorMessage="true" showInputMessage="true">
      <formula1>"Ativo,Inativo"</formula1>
    </dataValidation>
    <dataValidation type="list" sqref="AB165" allowBlank="true" errorStyle="stop" showErrorMessage="true" showInputMessage="true">
      <formula1>"Garantia do vendedor,Garantia de fábrica,Sem garantia"</formula1>
    </dataValidation>
    <dataValidation type="list" sqref="AD165" allowBlank="true" errorStyle="stop" showErrorMessage="true" showInputMessage="true">
      <formula1>"dias,meses,anos"</formula1>
    </dataValidation>
    <dataValidation type="list" sqref="J166" allowBlank="true" errorStyle="stop" showErrorMessage="true" showInputMessage="true">
      <formula1>"R$"</formula1>
    </dataValidation>
    <dataValidation type="list" sqref="U166" allowBlank="true" errorStyle="stop" showErrorMessage="true" showInputMessage="true">
      <formula1>"Usado,Novo"</formula1>
    </dataValidation>
    <dataValidation type="list" sqref="W166" allowBlank="true" errorStyle="stop" showErrorMessage="true" showInputMessage="true">
      <formula1>"Mercado Envios por conta do comprador,Mercado Envios grátis"</formula1>
    </dataValidation>
    <dataValidation type="list" sqref="X166" allowBlank="true" errorStyle="stop" showErrorMessage="true" showInputMessage="true">
      <formula1>"Aceita,Não aceito"</formula1>
    </dataValidation>
    <dataValidation type="list" sqref="Y166" allowBlank="true" errorStyle="stop" showErrorMessage="true" showInputMessage="true">
      <formula1>"Clássico,Premium"</formula1>
    </dataValidation>
    <dataValidation type="list" sqref="AA166" allowBlank="true" errorStyle="stop" showErrorMessage="true" showInputMessage="true">
      <formula1>"Ativo,Inativo"</formula1>
    </dataValidation>
    <dataValidation type="list" sqref="AB166" allowBlank="true" errorStyle="stop" showErrorMessage="true" showInputMessage="true">
      <formula1>"Garantia do vendedor,Garantia de fábrica,Sem garantia"</formula1>
    </dataValidation>
    <dataValidation type="list" sqref="AD166" allowBlank="true" errorStyle="stop" showErrorMessage="true" showInputMessage="true">
      <formula1>"dias,meses,anos"</formula1>
    </dataValidation>
    <dataValidation type="list" sqref="J167" allowBlank="true" errorStyle="stop" showErrorMessage="true" showInputMessage="true">
      <formula1>"R$"</formula1>
    </dataValidation>
    <dataValidation type="list" sqref="U167" allowBlank="true" errorStyle="stop" showErrorMessage="true" showInputMessage="true">
      <formula1>"Usado,Novo"</formula1>
    </dataValidation>
    <dataValidation type="list" sqref="W167" allowBlank="true" errorStyle="stop" showErrorMessage="true" showInputMessage="true">
      <formula1>"Mercado Envios por conta do comprador,Mercado Envios grátis"</formula1>
    </dataValidation>
    <dataValidation type="list" sqref="X167" allowBlank="true" errorStyle="stop" showErrorMessage="true" showInputMessage="true">
      <formula1>"Aceita,Não aceito"</formula1>
    </dataValidation>
    <dataValidation type="list" sqref="Y167" allowBlank="true" errorStyle="stop" showErrorMessage="true" showInputMessage="true">
      <formula1>"Clássico,Premium"</formula1>
    </dataValidation>
    <dataValidation type="list" sqref="AA167" allowBlank="true" errorStyle="stop" showErrorMessage="true" showInputMessage="true">
      <formula1>"Ativo,Inativo"</formula1>
    </dataValidation>
    <dataValidation type="list" sqref="AB167" allowBlank="true" errorStyle="stop" showErrorMessage="true" showInputMessage="true">
      <formula1>"Garantia do vendedor,Garantia de fábrica,Sem garantia"</formula1>
    </dataValidation>
    <dataValidation type="list" sqref="AD167" allowBlank="true" errorStyle="stop" showErrorMessage="true" showInputMessage="true">
      <formula1>"dias,meses,anos"</formula1>
    </dataValidation>
    <dataValidation type="list" sqref="J168" allowBlank="true" errorStyle="stop" showErrorMessage="true" showInputMessage="true">
      <formula1>"R$"</formula1>
    </dataValidation>
    <dataValidation type="list" sqref="U168" allowBlank="true" errorStyle="stop" showErrorMessage="true" showInputMessage="true">
      <formula1>"Usado,Novo"</formula1>
    </dataValidation>
    <dataValidation type="list" sqref="W168" allowBlank="true" errorStyle="stop" showErrorMessage="true" showInputMessage="true">
      <formula1>"Mercado Envios por conta do comprador,Mercado Envios grátis"</formula1>
    </dataValidation>
    <dataValidation type="list" sqref="X168" allowBlank="true" errorStyle="stop" showErrorMessage="true" showInputMessage="true">
      <formula1>"Aceita,Não aceito"</formula1>
    </dataValidation>
    <dataValidation type="list" sqref="Y168" allowBlank="true" errorStyle="stop" showErrorMessage="true" showInputMessage="true">
      <formula1>"Clássico,Premium"</formula1>
    </dataValidation>
    <dataValidation type="list" sqref="AA168" allowBlank="true" errorStyle="stop" showErrorMessage="true" showInputMessage="true">
      <formula1>"Ativo,Inativo"</formula1>
    </dataValidation>
    <dataValidation type="list" sqref="AB168" allowBlank="true" errorStyle="stop" showErrorMessage="true" showInputMessage="true">
      <formula1>"Garantia do vendedor,Garantia de fábrica,Sem garantia"</formula1>
    </dataValidation>
    <dataValidation type="list" sqref="AD168" allowBlank="true" errorStyle="stop" showErrorMessage="true" showInputMessage="true">
      <formula1>"dias,meses,anos"</formula1>
    </dataValidation>
    <dataValidation type="list" sqref="J169" allowBlank="true" errorStyle="stop" showErrorMessage="true" showInputMessage="true">
      <formula1>"R$"</formula1>
    </dataValidation>
    <dataValidation type="list" sqref="U169" allowBlank="true" errorStyle="stop" showErrorMessage="true" showInputMessage="true">
      <formula1>"Usado,Novo"</formula1>
    </dataValidation>
    <dataValidation type="list" sqref="W169" allowBlank="true" errorStyle="stop" showErrorMessage="true" showInputMessage="true">
      <formula1>"Mercado Envios por conta do comprador,Mercado Envios grátis"</formula1>
    </dataValidation>
    <dataValidation type="list" sqref="X169" allowBlank="true" errorStyle="stop" showErrorMessage="true" showInputMessage="true">
      <formula1>"Aceita,Não aceito"</formula1>
    </dataValidation>
    <dataValidation type="list" sqref="Y169" allowBlank="true" errorStyle="stop" showErrorMessage="true" showInputMessage="true">
      <formula1>"Clássico,Premium"</formula1>
    </dataValidation>
    <dataValidation type="list" sqref="AA169" allowBlank="true" errorStyle="stop" showErrorMessage="true" showInputMessage="true">
      <formula1>"Ativo,Inativo"</formula1>
    </dataValidation>
    <dataValidation type="list" sqref="AB169" allowBlank="true" errorStyle="stop" showErrorMessage="true" showInputMessage="true">
      <formula1>"Garantia do vendedor,Garantia de fábrica,Sem garantia"</formula1>
    </dataValidation>
    <dataValidation type="list" sqref="AD169" allowBlank="true" errorStyle="stop" showErrorMessage="true" showInputMessage="true">
      <formula1>"dias,meses,anos"</formula1>
    </dataValidation>
    <dataValidation type="list" sqref="J170" allowBlank="true" errorStyle="stop" showErrorMessage="true" showInputMessage="true">
      <formula1>"R$"</formula1>
    </dataValidation>
    <dataValidation type="list" sqref="U170" allowBlank="true" errorStyle="stop" showErrorMessage="true" showInputMessage="true">
      <formula1>"Usado,Novo"</formula1>
    </dataValidation>
    <dataValidation type="list" sqref="W170" allowBlank="true" errorStyle="stop" showErrorMessage="true" showInputMessage="true">
      <formula1>"Mercado Envios por conta do comprador,Mercado Envios grátis"</formula1>
    </dataValidation>
    <dataValidation type="list" sqref="X170" allowBlank="true" errorStyle="stop" showErrorMessage="true" showInputMessage="true">
      <formula1>"Aceita,Não aceito"</formula1>
    </dataValidation>
    <dataValidation type="list" sqref="Y170" allowBlank="true" errorStyle="stop" showErrorMessage="true" showInputMessage="true">
      <formula1>"Clássico,Premium"</formula1>
    </dataValidation>
    <dataValidation type="list" sqref="AA170" allowBlank="true" errorStyle="stop" showErrorMessage="true" showInputMessage="true">
      <formula1>"Ativo,Inativo"</formula1>
    </dataValidation>
    <dataValidation type="list" sqref="AB170" allowBlank="true" errorStyle="stop" showErrorMessage="true" showInputMessage="true">
      <formula1>"Garantia do vendedor,Garantia de fábrica,Sem garantia"</formula1>
    </dataValidation>
    <dataValidation type="list" sqref="AD170" allowBlank="true" errorStyle="stop" showErrorMessage="true" showInputMessage="true">
      <formula1>"dias,meses,anos"</formula1>
    </dataValidation>
    <dataValidation type="list" sqref="J171" allowBlank="true" errorStyle="stop" showErrorMessage="true" showInputMessage="true">
      <formula1>"R$"</formula1>
    </dataValidation>
    <dataValidation type="list" sqref="U171" allowBlank="true" errorStyle="stop" showErrorMessage="true" showInputMessage="true">
      <formula1>"Usado,Novo"</formula1>
    </dataValidation>
    <dataValidation type="list" sqref="W171" allowBlank="true" errorStyle="stop" showErrorMessage="true" showInputMessage="true">
      <formula1>"Mercado Envios por conta do comprador,Mercado Envios grátis"</formula1>
    </dataValidation>
    <dataValidation type="list" sqref="X171" allowBlank="true" errorStyle="stop" showErrorMessage="true" showInputMessage="true">
      <formula1>"Aceita,Não aceito"</formula1>
    </dataValidation>
    <dataValidation type="list" sqref="Y171" allowBlank="true" errorStyle="stop" showErrorMessage="true" showInputMessage="true">
      <formula1>"Clássico,Premium"</formula1>
    </dataValidation>
    <dataValidation type="list" sqref="AA171" allowBlank="true" errorStyle="stop" showErrorMessage="true" showInputMessage="true">
      <formula1>"Ativo,Inativo"</formula1>
    </dataValidation>
    <dataValidation type="list" sqref="AB171" allowBlank="true" errorStyle="stop" showErrorMessage="true" showInputMessage="true">
      <formula1>"Garantia do vendedor,Garantia de fábrica,Sem garantia"</formula1>
    </dataValidation>
    <dataValidation type="list" sqref="AD171" allowBlank="true" errorStyle="stop" showErrorMessage="true" showInputMessage="true">
      <formula1>"dias,meses,anos"</formula1>
    </dataValidation>
    <dataValidation type="list" sqref="J172" allowBlank="true" errorStyle="stop" showErrorMessage="true" showInputMessage="true">
      <formula1>"R$"</formula1>
    </dataValidation>
    <dataValidation type="list" sqref="U172" allowBlank="true" errorStyle="stop" showErrorMessage="true" showInputMessage="true">
      <formula1>"Usado,Novo"</formula1>
    </dataValidation>
    <dataValidation type="list" sqref="W172" allowBlank="true" errorStyle="stop" showErrorMessage="true" showInputMessage="true">
      <formula1>"Mercado Envios por conta do comprador,Mercado Envios grátis"</formula1>
    </dataValidation>
    <dataValidation type="list" sqref="X172" allowBlank="true" errorStyle="stop" showErrorMessage="true" showInputMessage="true">
      <formula1>"Aceita,Não aceito"</formula1>
    </dataValidation>
    <dataValidation type="list" sqref="Y172" allowBlank="true" errorStyle="stop" showErrorMessage="true" showInputMessage="true">
      <formula1>"Clássico,Premium"</formula1>
    </dataValidation>
    <dataValidation type="list" sqref="AA172" allowBlank="true" errorStyle="stop" showErrorMessage="true" showInputMessage="true">
      <formula1>"Ativo,Inativo"</formula1>
    </dataValidation>
    <dataValidation type="list" sqref="AB172" allowBlank="true" errorStyle="stop" showErrorMessage="true" showInputMessage="true">
      <formula1>"Garantia do vendedor,Garantia de fábrica,Sem garantia"</formula1>
    </dataValidation>
    <dataValidation type="list" sqref="AD172" allowBlank="true" errorStyle="stop" showErrorMessage="true" showInputMessage="true">
      <formula1>"dias,meses,anos"</formula1>
    </dataValidation>
    <dataValidation type="list" sqref="J173" allowBlank="true" errorStyle="stop" showErrorMessage="true" showInputMessage="true">
      <formula1>"R$"</formula1>
    </dataValidation>
    <dataValidation type="list" sqref="U173" allowBlank="true" errorStyle="stop" showErrorMessage="true" showInputMessage="true">
      <formula1>"Usado,Novo"</formula1>
    </dataValidation>
    <dataValidation type="list" sqref="W173" allowBlank="true" errorStyle="stop" showErrorMessage="true" showInputMessage="true">
      <formula1>"Mercado Envios por conta do comprador,Mercado Envios grátis"</formula1>
    </dataValidation>
    <dataValidation type="list" sqref="X173" allowBlank="true" errorStyle="stop" showErrorMessage="true" showInputMessage="true">
      <formula1>"Aceita,Não aceito"</formula1>
    </dataValidation>
    <dataValidation type="list" sqref="Y173" allowBlank="true" errorStyle="stop" showErrorMessage="true" showInputMessage="true">
      <formula1>"Clássico,Premium"</formula1>
    </dataValidation>
    <dataValidation type="list" sqref="AA173" allowBlank="true" errorStyle="stop" showErrorMessage="true" showInputMessage="true">
      <formula1>"Ativo,Inativo"</formula1>
    </dataValidation>
    <dataValidation type="list" sqref="AB173" allowBlank="true" errorStyle="stop" showErrorMessage="true" showInputMessage="true">
      <formula1>"Garantia do vendedor,Garantia de fábrica,Sem garantia"</formula1>
    </dataValidation>
    <dataValidation type="list" sqref="AD173" allowBlank="true" errorStyle="stop" showErrorMessage="true" showInputMessage="true">
      <formula1>"dias,meses,anos"</formula1>
    </dataValidation>
    <dataValidation type="list" sqref="J174" allowBlank="true" errorStyle="stop" showErrorMessage="true" showInputMessage="true">
      <formula1>"R$"</formula1>
    </dataValidation>
    <dataValidation type="list" sqref="U174" allowBlank="true" errorStyle="stop" showErrorMessage="true" showInputMessage="true">
      <formula1>"Usado,Novo"</formula1>
    </dataValidation>
    <dataValidation type="list" sqref="W174" allowBlank="true" errorStyle="stop" showErrorMessage="true" showInputMessage="true">
      <formula1>"Mercado Envios por conta do comprador,Mercado Envios grátis"</formula1>
    </dataValidation>
    <dataValidation type="list" sqref="X174" allowBlank="true" errorStyle="stop" showErrorMessage="true" showInputMessage="true">
      <formula1>"Aceita,Não aceito"</formula1>
    </dataValidation>
    <dataValidation type="list" sqref="Y174" allowBlank="true" errorStyle="stop" showErrorMessage="true" showInputMessage="true">
      <formula1>"Clássico,Premium"</formula1>
    </dataValidation>
    <dataValidation type="list" sqref="AA174" allowBlank="true" errorStyle="stop" showErrorMessage="true" showInputMessage="true">
      <formula1>"Ativo,Inativo"</formula1>
    </dataValidation>
    <dataValidation type="list" sqref="AB174" allowBlank="true" errorStyle="stop" showErrorMessage="true" showInputMessage="true">
      <formula1>"Garantia do vendedor,Garantia de fábrica,Sem garantia"</formula1>
    </dataValidation>
    <dataValidation type="list" sqref="AD174" allowBlank="true" errorStyle="stop" showErrorMessage="true" showInputMessage="true">
      <formula1>"dias,meses,anos"</formula1>
    </dataValidation>
    <dataValidation type="list" sqref="J175" allowBlank="true" errorStyle="stop" showErrorMessage="true" showInputMessage="true">
      <formula1>"R$"</formula1>
    </dataValidation>
    <dataValidation type="list" sqref="U175" allowBlank="true" errorStyle="stop" showErrorMessage="true" showInputMessage="true">
      <formula1>"Novo,Usado,Recondicionado"</formula1>
    </dataValidation>
    <dataValidation type="list" sqref="W175" allowBlank="true" errorStyle="stop" showErrorMessage="true" showInputMessage="true">
      <formula1>"Mercado Envios por conta do comprador,Mercado Envios grátis"</formula1>
    </dataValidation>
    <dataValidation type="list" sqref="X175" allowBlank="true" errorStyle="stop" showErrorMessage="true" showInputMessage="true">
      <formula1>"Aceita,Não aceito"</formula1>
    </dataValidation>
    <dataValidation type="list" sqref="Y175" allowBlank="true" errorStyle="stop" showErrorMessage="true" showInputMessage="true">
      <formula1>"Clássico,Premium"</formula1>
    </dataValidation>
    <dataValidation type="list" sqref="AA175" allowBlank="true" errorStyle="stop" showErrorMessage="true" showInputMessage="true">
      <formula1>"Ativo,Inativo"</formula1>
    </dataValidation>
    <dataValidation type="list" sqref="AB175" allowBlank="true" errorStyle="stop" showErrorMessage="true" showInputMessage="true">
      <formula1>"Garantia do vendedor,Garantia de fábrica,Sem garantia"</formula1>
    </dataValidation>
    <dataValidation type="list" sqref="AD175" allowBlank="true" errorStyle="stop" showErrorMessage="true" showInputMessage="true">
      <formula1>"dias,meses,anos"</formula1>
    </dataValidation>
    <dataValidation type="list" sqref="J176" allowBlank="true" errorStyle="stop" showErrorMessage="true" showInputMessage="true">
      <formula1>"R$"</formula1>
    </dataValidation>
    <dataValidation type="list" sqref="U176" allowBlank="true" errorStyle="stop" showErrorMessage="true" showInputMessage="true">
      <formula1>"Usado,Novo"</formula1>
    </dataValidation>
    <dataValidation type="list" sqref="W176" allowBlank="true" errorStyle="stop" showErrorMessage="true" showInputMessage="true">
      <formula1>"Envios por minha conta a cargo do comprador,Frete grátis por conta própria,Não faço envios"</formula1>
    </dataValidation>
    <dataValidation type="list" sqref="X176" allowBlank="true" errorStyle="stop" showErrorMessage="true" showInputMessage="true">
      <formula1>"Aceita,Não aceito"</formula1>
    </dataValidation>
    <dataValidation type="list" sqref="Y176" allowBlank="true" errorStyle="stop" showErrorMessage="true" showInputMessage="true">
      <formula1>"Clássico,Premium"</formula1>
    </dataValidation>
    <dataValidation type="list" sqref="AA176" allowBlank="true" errorStyle="stop" showErrorMessage="true" showInputMessage="true">
      <formula1>"Ativo,Inativo"</formula1>
    </dataValidation>
    <dataValidation type="list" sqref="AB176" allowBlank="true" errorStyle="stop" showErrorMessage="true" showInputMessage="true">
      <formula1>"Garantia do vendedor,Garantia de fábrica,Sem garantia"</formula1>
    </dataValidation>
    <dataValidation type="list" sqref="AD176" allowBlank="true" errorStyle="stop" showErrorMessage="true" showInputMessage="true">
      <formula1>"dias,meses,anos"</formula1>
    </dataValidation>
    <dataValidation type="list" sqref="J177" allowBlank="true" errorStyle="stop" showErrorMessage="true" showInputMessage="true">
      <formula1>"R$"</formula1>
    </dataValidation>
    <dataValidation type="list" sqref="U177" allowBlank="true" errorStyle="stop" showErrorMessage="true" showInputMessage="true">
      <formula1>"Usado,Novo,Recondicionado"</formula1>
    </dataValidation>
    <dataValidation type="list" sqref="W177" allowBlank="true" errorStyle="stop" showErrorMessage="true" showInputMessage="true">
      <formula1>"Mercado Envios por conta do comprador,Mercado Envios grátis"</formula1>
    </dataValidation>
    <dataValidation type="list" sqref="X177" allowBlank="true" errorStyle="stop" showErrorMessage="true" showInputMessage="true">
      <formula1>"Aceita,Não aceito"</formula1>
    </dataValidation>
    <dataValidation type="list" sqref="Y177" allowBlank="true" errorStyle="stop" showErrorMessage="true" showInputMessage="true">
      <formula1>"Clássico,Premium"</formula1>
    </dataValidation>
    <dataValidation type="list" sqref="AA177" allowBlank="true" errorStyle="stop" showErrorMessage="true" showInputMessage="true">
      <formula1>"Ativo,Inativo"</formula1>
    </dataValidation>
    <dataValidation type="list" sqref="AB177" allowBlank="true" errorStyle="stop" showErrorMessage="true" showInputMessage="true">
      <formula1>"Garantia do vendedor,Garantia de fábrica,Sem garantia"</formula1>
    </dataValidation>
    <dataValidation type="list" sqref="AD177" allowBlank="true" errorStyle="stop" showErrorMessage="true" showInputMessage="true">
      <formula1>"dias,meses,anos"</formula1>
    </dataValidation>
    <dataValidation type="list" sqref="J178" allowBlank="true" errorStyle="stop" showErrorMessage="true" showInputMessage="true">
      <formula1>"R$"</formula1>
    </dataValidation>
    <dataValidation type="list" sqref="U178" allowBlank="true" errorStyle="stop" showErrorMessage="true" showInputMessage="true">
      <formula1>"Usado,Novo"</formula1>
    </dataValidation>
    <dataValidation type="list" sqref="W178" allowBlank="true" errorStyle="stop" showErrorMessage="true" showInputMessage="true">
      <formula1>"Mercado Envios por conta do comprador,Mercado Envios grátis"</formula1>
    </dataValidation>
    <dataValidation type="list" sqref="X178" allowBlank="true" errorStyle="stop" showErrorMessage="true" showInputMessage="true">
      <formula1>"Aceita,Não aceito"</formula1>
    </dataValidation>
    <dataValidation type="list" sqref="Y178" allowBlank="true" errorStyle="stop" showErrorMessage="true" showInputMessage="true">
      <formula1>"Clássico,Premium"</formula1>
    </dataValidation>
    <dataValidation type="list" sqref="AA178" allowBlank="true" errorStyle="stop" showErrorMessage="true" showInputMessage="true">
      <formula1>"Ativo,Inativo"</formula1>
    </dataValidation>
    <dataValidation type="list" sqref="AB178" allowBlank="true" errorStyle="stop" showErrorMessage="true" showInputMessage="true">
      <formula1>"Garantia do vendedor,Garantia de fábrica,Sem garantia"</formula1>
    </dataValidation>
    <dataValidation type="list" sqref="AD178" allowBlank="true" errorStyle="stop" showErrorMessage="true" showInputMessage="true">
      <formula1>"dias,meses,anos"</formula1>
    </dataValidation>
    <dataValidation type="list" sqref="J179" allowBlank="true" errorStyle="stop" showErrorMessage="true" showInputMessage="true">
      <formula1>"R$"</formula1>
    </dataValidation>
    <dataValidation type="list" sqref="U179" allowBlank="true" errorStyle="stop" showErrorMessage="true" showInputMessage="true">
      <formula1>"Usado,Novo"</formula1>
    </dataValidation>
    <dataValidation type="list" sqref="W179" allowBlank="true" errorStyle="stop" showErrorMessage="true" showInputMessage="true">
      <formula1>"Mercado Envios por conta do comprador,Mercado Envios grátis"</formula1>
    </dataValidation>
    <dataValidation type="list" sqref="X179" allowBlank="true" errorStyle="stop" showErrorMessage="true" showInputMessage="true">
      <formula1>"Aceita,Não aceito"</formula1>
    </dataValidation>
    <dataValidation type="list" sqref="Y179" allowBlank="true" errorStyle="stop" showErrorMessage="true" showInputMessage="true">
      <formula1>"Clássico,Premium"</formula1>
    </dataValidation>
    <dataValidation type="list" sqref="AA179" allowBlank="true" errorStyle="stop" showErrorMessage="true" showInputMessage="true">
      <formula1>"Ativo,Inativo"</formula1>
    </dataValidation>
    <dataValidation type="list" sqref="AB179" allowBlank="true" errorStyle="stop" showErrorMessage="true" showInputMessage="true">
      <formula1>"Garantia do vendedor,Garantia de fábrica,Sem garantia"</formula1>
    </dataValidation>
    <dataValidation type="list" sqref="AD179" allowBlank="true" errorStyle="stop" showErrorMessage="true" showInputMessage="true">
      <formula1>"dias,meses,anos"</formula1>
    </dataValidation>
    <dataValidation type="list" sqref="J180" allowBlank="true" errorStyle="stop" showErrorMessage="true" showInputMessage="true">
      <formula1>"R$"</formula1>
    </dataValidation>
    <dataValidation type="list" sqref="U180" allowBlank="true" errorStyle="stop" showErrorMessage="true" showInputMessage="true">
      <formula1>"Usado,Novo,Recondicionado"</formula1>
    </dataValidation>
    <dataValidation type="list" sqref="W180" allowBlank="true" errorStyle="stop" showErrorMessage="true" showInputMessage="true">
      <formula1>"Mercado Envios por conta do comprador,Mercado Envios grátis"</formula1>
    </dataValidation>
    <dataValidation type="list" sqref="X180" allowBlank="true" errorStyle="stop" showErrorMessage="true" showInputMessage="true">
      <formula1>"Aceita,Não aceito"</formula1>
    </dataValidation>
    <dataValidation type="list" sqref="Y180" allowBlank="true" errorStyle="stop" showErrorMessage="true" showInputMessage="true">
      <formula1>"Clássico,Premium"</formula1>
    </dataValidation>
    <dataValidation type="list" sqref="AA180" allowBlank="true" errorStyle="stop" showErrorMessage="true" showInputMessage="true">
      <formula1>"Ativo,Inativo"</formula1>
    </dataValidation>
    <dataValidation type="list" sqref="AB180" allowBlank="true" errorStyle="stop" showErrorMessage="true" showInputMessage="true">
      <formula1>"Garantia do vendedor,Garantia de fábrica,Sem garantia"</formula1>
    </dataValidation>
    <dataValidation type="list" sqref="AD180" allowBlank="true" errorStyle="stop" showErrorMessage="true" showInputMessage="true">
      <formula1>"dias,meses,anos"</formula1>
    </dataValidation>
    <dataValidation type="list" sqref="J181" allowBlank="true" errorStyle="stop" showErrorMessage="true" showInputMessage="true">
      <formula1>"R$"</formula1>
    </dataValidation>
    <dataValidation type="list" sqref="U181" allowBlank="true" errorStyle="stop" showErrorMessage="true" showInputMessage="true">
      <formula1>"Usado,Novo"</formula1>
    </dataValidation>
    <dataValidation type="list" sqref="W181" allowBlank="true" errorStyle="stop" showErrorMessage="true" showInputMessage="true">
      <formula1>"Mercado Envios por conta do comprador,Mercado Envios grátis"</formula1>
    </dataValidation>
    <dataValidation type="list" sqref="X181" allowBlank="true" errorStyle="stop" showErrorMessage="true" showInputMessage="true">
      <formula1>"Aceita,Não aceito"</formula1>
    </dataValidation>
    <dataValidation type="list" sqref="Y181" allowBlank="true" errorStyle="stop" showErrorMessage="true" showInputMessage="true">
      <formula1>"Clássico,Premium"</formula1>
    </dataValidation>
    <dataValidation type="list" sqref="AA181" allowBlank="true" errorStyle="stop" showErrorMessage="true" showInputMessage="true">
      <formula1>"Ativo,Inativo"</formula1>
    </dataValidation>
    <dataValidation type="list" sqref="AB181" allowBlank="true" errorStyle="stop" showErrorMessage="true" showInputMessage="true">
      <formula1>"Garantia do vendedor,Garantia de fábrica,Sem garantia"</formula1>
    </dataValidation>
    <dataValidation type="list" sqref="AD181" allowBlank="true" errorStyle="stop" showErrorMessage="true" showInputMessage="true">
      <formula1>"dias,meses,anos"</formula1>
    </dataValidation>
    <dataValidation type="list" sqref="J182" allowBlank="true" errorStyle="stop" showErrorMessage="true" showInputMessage="true">
      <formula1>"R$"</formula1>
    </dataValidation>
    <dataValidation type="list" sqref="U182" allowBlank="true" errorStyle="stop" showErrorMessage="true" showInputMessage="true">
      <formula1>"Usado,Novo"</formula1>
    </dataValidation>
    <dataValidation type="list" sqref="W182" allowBlank="true" errorStyle="stop" showErrorMessage="true" showInputMessage="true">
      <formula1>"Mercado Envios por conta do comprador,Mercado Envios grátis"</formula1>
    </dataValidation>
    <dataValidation type="list" sqref="X182" allowBlank="true" errorStyle="stop" showErrorMessage="true" showInputMessage="true">
      <formula1>"Aceita,Não aceito"</formula1>
    </dataValidation>
    <dataValidation type="list" sqref="Y182" allowBlank="true" errorStyle="stop" showErrorMessage="true" showInputMessage="true">
      <formula1>"Clássico,Premium"</formula1>
    </dataValidation>
    <dataValidation type="list" sqref="AA182" allowBlank="true" errorStyle="stop" showErrorMessage="true" showInputMessage="true">
      <formula1>"Ativo,Inativo"</formula1>
    </dataValidation>
    <dataValidation type="list" sqref="AB182" allowBlank="true" errorStyle="stop" showErrorMessage="true" showInputMessage="true">
      <formula1>"Garantia do vendedor,Garantia de fábrica,Sem garantia"</formula1>
    </dataValidation>
    <dataValidation type="list" sqref="AD182" allowBlank="true" errorStyle="stop" showErrorMessage="true" showInputMessage="true">
      <formula1>"dias,meses,anos"</formula1>
    </dataValidation>
    <dataValidation type="list" sqref="J183" allowBlank="true" errorStyle="stop" showErrorMessage="true" showInputMessage="true">
      <formula1>"R$"</formula1>
    </dataValidation>
    <dataValidation type="list" sqref="U183" allowBlank="true" errorStyle="stop" showErrorMessage="true" showInputMessage="true">
      <formula1>"Usado,Novo"</formula1>
    </dataValidation>
    <dataValidation type="list" sqref="W183" allowBlank="true" errorStyle="stop" showErrorMessage="true" showInputMessage="true">
      <formula1>"Mercado Envios por conta do comprador,Mercado Envios grátis"</formula1>
    </dataValidation>
    <dataValidation type="list" sqref="X183" allowBlank="true" errorStyle="stop" showErrorMessage="true" showInputMessage="true">
      <formula1>"Aceita,Não aceito"</formula1>
    </dataValidation>
    <dataValidation type="list" sqref="Y183" allowBlank="true" errorStyle="stop" showErrorMessage="true" showInputMessage="true">
      <formula1>"Clássico,Premium"</formula1>
    </dataValidation>
    <dataValidation type="list" sqref="AA183" allowBlank="true" errorStyle="stop" showErrorMessage="true" showInputMessage="true">
      <formula1>"Ativo,Inativo"</formula1>
    </dataValidation>
    <dataValidation type="list" sqref="AB183" allowBlank="true" errorStyle="stop" showErrorMessage="true" showInputMessage="true">
      <formula1>"Garantia do vendedor,Garantia de fábrica,Sem garantia"</formula1>
    </dataValidation>
    <dataValidation type="list" sqref="AD183" allowBlank="true" errorStyle="stop" showErrorMessage="true" showInputMessage="true">
      <formula1>"dias,meses,anos"</formula1>
    </dataValidation>
    <dataValidation type="list" sqref="J184" allowBlank="true" errorStyle="stop" showErrorMessage="true" showInputMessage="true">
      <formula1>"R$"</formula1>
    </dataValidation>
    <dataValidation type="list" sqref="U184" allowBlank="true" errorStyle="stop" showErrorMessage="true" showInputMessage="true">
      <formula1>"Novo,Usado"</formula1>
    </dataValidation>
    <dataValidation type="list" sqref="W184" allowBlank="true" errorStyle="stop" showErrorMessage="true" showInputMessage="true">
      <formula1>"Mercado Envios por conta do comprador,Mercado Envios grátis"</formula1>
    </dataValidation>
    <dataValidation type="list" sqref="X184" allowBlank="true" errorStyle="stop" showErrorMessage="true" showInputMessage="true">
      <formula1>"Aceita,Não aceito"</formula1>
    </dataValidation>
    <dataValidation type="list" sqref="Y184" allowBlank="true" errorStyle="stop" showErrorMessage="true" showInputMessage="true">
      <formula1>"Clássico,Premium"</formula1>
    </dataValidation>
    <dataValidation type="list" sqref="AA184" allowBlank="true" errorStyle="stop" showErrorMessage="true" showInputMessage="true">
      <formula1>"Ativo,Inativo"</formula1>
    </dataValidation>
    <dataValidation type="list" sqref="AB184" allowBlank="true" errorStyle="stop" showErrorMessage="true" showInputMessage="true">
      <formula1>"Garantia do vendedor,Garantia de fábrica,Sem garantia"</formula1>
    </dataValidation>
    <dataValidation type="list" sqref="AD184" allowBlank="true" errorStyle="stop" showErrorMessage="true" showInputMessage="true">
      <formula1>"dias,meses,anos"</formula1>
    </dataValidation>
    <dataValidation type="list" sqref="J185" allowBlank="true" errorStyle="stop" showErrorMessage="true" showInputMessage="true">
      <formula1>"R$"</formula1>
    </dataValidation>
    <dataValidation type="list" sqref="U185" allowBlank="true" errorStyle="stop" showErrorMessage="true" showInputMessage="true">
      <formula1>"Usado,Novo,Recondicionado"</formula1>
    </dataValidation>
    <dataValidation type="list" sqref="W185" allowBlank="true" errorStyle="stop" showErrorMessage="true" showInputMessage="true">
      <formula1>"Mercado Envios por conta do comprador,Mercado Envios grátis"</formula1>
    </dataValidation>
    <dataValidation type="list" sqref="X185" allowBlank="true" errorStyle="stop" showErrorMessage="true" showInputMessage="true">
      <formula1>"Aceita,Não aceito"</formula1>
    </dataValidation>
    <dataValidation type="list" sqref="Y185" allowBlank="true" errorStyle="stop" showErrorMessage="true" showInputMessage="true">
      <formula1>"Clássico,Premium"</formula1>
    </dataValidation>
    <dataValidation type="list" sqref="AA185" allowBlank="true" errorStyle="stop" showErrorMessage="true" showInputMessage="true">
      <formula1>"Ativo,Inativo"</formula1>
    </dataValidation>
    <dataValidation type="list" sqref="AB185" allowBlank="true" errorStyle="stop" showErrorMessage="true" showInputMessage="true">
      <formula1>"Garantia do vendedor,Garantia de fábrica,Sem garantia"</formula1>
    </dataValidation>
    <dataValidation type="list" sqref="AD185" allowBlank="true" errorStyle="stop" showErrorMessage="true" showInputMessage="true">
      <formula1>"dias,meses,anos"</formula1>
    </dataValidation>
    <dataValidation type="list" sqref="J186" allowBlank="true" errorStyle="stop" showErrorMessage="true" showInputMessage="true">
      <formula1>"R$"</formula1>
    </dataValidation>
    <dataValidation type="list" sqref="U186" allowBlank="true" errorStyle="stop" showErrorMessage="true" showInputMessage="true">
      <formula1>"Usado,Novo"</formula1>
    </dataValidation>
    <dataValidation type="list" sqref="W186" allowBlank="true" errorStyle="stop" showErrorMessage="true" showInputMessage="true">
      <formula1>"Mercado Envios por conta do comprador,Mercado Envios grátis"</formula1>
    </dataValidation>
    <dataValidation type="list" sqref="X186" allowBlank="true" errorStyle="stop" showErrorMessage="true" showInputMessage="true">
      <formula1>"Aceita,Não aceito"</formula1>
    </dataValidation>
    <dataValidation type="list" sqref="Y186" allowBlank="true" errorStyle="stop" showErrorMessage="true" showInputMessage="true">
      <formula1>"Clássico,Premium"</formula1>
    </dataValidation>
    <dataValidation type="list" sqref="AA186" allowBlank="true" errorStyle="stop" showErrorMessage="true" showInputMessage="true">
      <formula1>"Ativo,Inativo"</formula1>
    </dataValidation>
    <dataValidation type="list" sqref="AB186" allowBlank="true" errorStyle="stop" showErrorMessage="true" showInputMessage="true">
      <formula1>"Garantia do vendedor,Garantia de fábrica,Sem garantia"</formula1>
    </dataValidation>
    <dataValidation type="list" sqref="AD186" allowBlank="true" errorStyle="stop" showErrorMessage="true" showInputMessage="true">
      <formula1>"dias,meses,anos"</formula1>
    </dataValidation>
    <dataValidation type="list" sqref="J187" allowBlank="true" errorStyle="stop" showErrorMessage="true" showInputMessage="true">
      <formula1>"R$"</formula1>
    </dataValidation>
    <dataValidation type="list" sqref="U187" allowBlank="true" errorStyle="stop" showErrorMessage="true" showInputMessage="true">
      <formula1>"Novo,Usado"</formula1>
    </dataValidation>
    <dataValidation type="list" sqref="W187" allowBlank="true" errorStyle="stop" showErrorMessage="true" showInputMessage="true">
      <formula1>"Envios por minha conta a cargo do comprador,Frete grátis por conta própria,Não faço envios"</formula1>
    </dataValidation>
    <dataValidation type="list" sqref="X187" allowBlank="true" errorStyle="stop" showErrorMessage="true" showInputMessage="true">
      <formula1>"Aceita,Não aceito"</formula1>
    </dataValidation>
    <dataValidation type="list" sqref="Y187" allowBlank="true" errorStyle="stop" showErrorMessage="true" showInputMessage="true">
      <formula1>"Clássico,Premium"</formula1>
    </dataValidation>
    <dataValidation type="list" sqref="AA187" allowBlank="true" errorStyle="stop" showErrorMessage="true" showInputMessage="true">
      <formula1>"Ativo,Inativo"</formula1>
    </dataValidation>
    <dataValidation type="list" sqref="AB187" allowBlank="true" errorStyle="stop" showErrorMessage="true" showInputMessage="true">
      <formula1>"Garantia do vendedor,Garantia de fábrica,Sem garantia"</formula1>
    </dataValidation>
    <dataValidation type="list" sqref="AD187" allowBlank="true" errorStyle="stop" showErrorMessage="true" showInputMessage="true">
      <formula1>"dias,meses,anos"</formula1>
    </dataValidation>
    <dataValidation type="list" sqref="J188" allowBlank="true" errorStyle="stop" showErrorMessage="true" showInputMessage="true">
      <formula1>"R$"</formula1>
    </dataValidation>
    <dataValidation type="list" sqref="U188" allowBlank="true" errorStyle="stop" showErrorMessage="true" showInputMessage="true">
      <formula1>"Usado,Novo,Recondicionado"</formula1>
    </dataValidation>
    <dataValidation type="list" sqref="W188" allowBlank="true" errorStyle="stop" showErrorMessage="true" showInputMessage="true">
      <formula1>"Mercado Envios por conta do comprador,Mercado Envios grátis"</formula1>
    </dataValidation>
    <dataValidation type="list" sqref="X188" allowBlank="true" errorStyle="stop" showErrorMessage="true" showInputMessage="true">
      <formula1>"Aceita,Não aceito"</formula1>
    </dataValidation>
    <dataValidation type="list" sqref="Y188" allowBlank="true" errorStyle="stop" showErrorMessage="true" showInputMessage="true">
      <formula1>"Clássico,Premium"</formula1>
    </dataValidation>
    <dataValidation type="list" sqref="AA188" allowBlank="true" errorStyle="stop" showErrorMessage="true" showInputMessage="true">
      <formula1>"Ativo,Inativo"</formula1>
    </dataValidation>
    <dataValidation type="list" sqref="AB188" allowBlank="true" errorStyle="stop" showErrorMessage="true" showInputMessage="true">
      <formula1>"Garantia do vendedor,Garantia de fábrica,Sem garantia"</formula1>
    </dataValidation>
    <dataValidation type="list" sqref="AD188" allowBlank="true" errorStyle="stop" showErrorMessage="true" showInputMessage="true">
      <formula1>"dias,meses,anos"</formula1>
    </dataValidation>
    <dataValidation type="list" sqref="J189" allowBlank="true" errorStyle="stop" showErrorMessage="true" showInputMessage="true">
      <formula1>"R$"</formula1>
    </dataValidation>
    <dataValidation type="list" sqref="U189" allowBlank="true" errorStyle="stop" showErrorMessage="true" showInputMessage="true">
      <formula1>"Usado,Novo,Recondicionado"</formula1>
    </dataValidation>
    <dataValidation type="list" sqref="W189" allowBlank="true" errorStyle="stop" showErrorMessage="true" showInputMessage="true">
      <formula1>"Mercado Envios por conta do comprador,Mercado Envios grátis"</formula1>
    </dataValidation>
    <dataValidation type="list" sqref="X189" allowBlank="true" errorStyle="stop" showErrorMessage="true" showInputMessage="true">
      <formula1>"Aceita,Não aceito"</formula1>
    </dataValidation>
    <dataValidation type="list" sqref="Y189" allowBlank="true" errorStyle="stop" showErrorMessage="true" showInputMessage="true">
      <formula1>"Clássico,Premium"</formula1>
    </dataValidation>
    <dataValidation type="list" sqref="AA189" allowBlank="true" errorStyle="stop" showErrorMessage="true" showInputMessage="true">
      <formula1>"Ativo,Inativo"</formula1>
    </dataValidation>
    <dataValidation type="list" sqref="AB189" allowBlank="true" errorStyle="stop" showErrorMessage="true" showInputMessage="true">
      <formula1>"Garantia do vendedor,Garantia de fábrica,Sem garantia"</formula1>
    </dataValidation>
    <dataValidation type="list" sqref="AD189" allowBlank="true" errorStyle="stop" showErrorMessage="true" showInputMessage="true">
      <formula1>"dias,meses,anos"</formula1>
    </dataValidation>
    <dataValidation type="list" sqref="J190" allowBlank="true" errorStyle="stop" showErrorMessage="true" showInputMessage="true">
      <formula1>"R$"</formula1>
    </dataValidation>
    <dataValidation type="list" sqref="U190" allowBlank="true" errorStyle="stop" showErrorMessage="true" showInputMessage="true">
      <formula1>"Usado,Novo"</formula1>
    </dataValidation>
    <dataValidation type="list" sqref="W190" allowBlank="true" errorStyle="stop" showErrorMessage="true" showInputMessage="true">
      <formula1>"Mercado Envios por conta do comprador,Mercado Envios grátis"</formula1>
    </dataValidation>
    <dataValidation type="list" sqref="X190" allowBlank="true" errorStyle="stop" showErrorMessage="true" showInputMessage="true">
      <formula1>"Aceita,Não aceito"</formula1>
    </dataValidation>
    <dataValidation type="list" sqref="Y190" allowBlank="true" errorStyle="stop" showErrorMessage="true" showInputMessage="true">
      <formula1>"Clássico,Premium"</formula1>
    </dataValidation>
    <dataValidation type="list" sqref="AA190" allowBlank="true" errorStyle="stop" showErrorMessage="true" showInputMessage="true">
      <formula1>"Ativo,Inativo"</formula1>
    </dataValidation>
    <dataValidation type="list" sqref="AB190" allowBlank="true" errorStyle="stop" showErrorMessage="true" showInputMessage="true">
      <formula1>"Garantia do vendedor,Garantia de fábrica,Sem garantia"</formula1>
    </dataValidation>
    <dataValidation type="list" sqref="AD190" allowBlank="true" errorStyle="stop" showErrorMessage="true" showInputMessage="true">
      <formula1>"dias,meses,anos"</formula1>
    </dataValidation>
    <dataValidation type="list" sqref="J191" allowBlank="true" errorStyle="stop" showErrorMessage="true" showInputMessage="true">
      <formula1>"R$"</formula1>
    </dataValidation>
    <dataValidation type="list" sqref="U191" allowBlank="true" errorStyle="stop" showErrorMessage="true" showInputMessage="true">
      <formula1>"Usado,Novo"</formula1>
    </dataValidation>
    <dataValidation type="list" sqref="W191" allowBlank="true" errorStyle="stop" showErrorMessage="true" showInputMessage="true">
      <formula1>"Mercado Envios por conta do comprador,Mercado Envios grátis"</formula1>
    </dataValidation>
    <dataValidation type="list" sqref="X191" allowBlank="true" errorStyle="stop" showErrorMessage="true" showInputMessage="true">
      <formula1>"Aceita,Não aceito"</formula1>
    </dataValidation>
    <dataValidation type="list" sqref="Y191" allowBlank="true" errorStyle="stop" showErrorMessage="true" showInputMessage="true">
      <formula1>"Clássico,Premium"</formula1>
    </dataValidation>
    <dataValidation type="list" sqref="AA191" allowBlank="true" errorStyle="stop" showErrorMessage="true" showInputMessage="true">
      <formula1>"Ativo,Inativo"</formula1>
    </dataValidation>
    <dataValidation type="list" sqref="AB191" allowBlank="true" errorStyle="stop" showErrorMessage="true" showInputMessage="true">
      <formula1>"Garantia do vendedor,Garantia de fábrica,Sem garantia"</formula1>
    </dataValidation>
    <dataValidation type="list" sqref="AD191" allowBlank="true" errorStyle="stop" showErrorMessage="true" showInputMessage="true">
      <formula1>"dias,meses,anos"</formula1>
    </dataValidation>
    <dataValidation type="list" sqref="J192" allowBlank="true" errorStyle="stop" showErrorMessage="true" showInputMessage="true">
      <formula1>"R$"</formula1>
    </dataValidation>
    <dataValidation type="list" sqref="W192" allowBlank="true" errorStyle="stop" showErrorMessage="true" showInputMessage="true">
      <formula1>"Mercado Envios por conta do comprador,Mercado Envios grátis"</formula1>
    </dataValidation>
    <dataValidation type="list" sqref="X192" allowBlank="true" errorStyle="stop" showErrorMessage="true" showInputMessage="true">
      <formula1>"Aceita,Não aceito"</formula1>
    </dataValidation>
    <dataValidation type="list" sqref="Y192" allowBlank="true" errorStyle="stop" showErrorMessage="true" showInputMessage="true">
      <formula1>"Clássico,Premium"</formula1>
    </dataValidation>
    <dataValidation type="list" sqref="AA192" allowBlank="true" errorStyle="stop" showErrorMessage="true" showInputMessage="true">
      <formula1>"Ativo,Inativo"</formula1>
    </dataValidation>
    <dataValidation type="list" sqref="AB192" allowBlank="true" errorStyle="stop" showErrorMessage="true" showInputMessage="true">
      <formula1>"Garantia do vendedor,Garantia de fábrica,Sem garantia"</formula1>
    </dataValidation>
    <dataValidation type="list" sqref="AD192" allowBlank="true" errorStyle="stop" showErrorMessage="true" showInputMessage="true">
      <formula1>"dias,meses,anos"</formula1>
    </dataValidation>
    <dataValidation type="list" sqref="J193" allowBlank="true" errorStyle="stop" showErrorMessage="true" showInputMessage="true">
      <formula1>"R$"</formula1>
    </dataValidation>
    <dataValidation type="list" sqref="U193" allowBlank="true" errorStyle="stop" showErrorMessage="true" showInputMessage="true">
      <formula1>"Usado,Novo"</formula1>
    </dataValidation>
    <dataValidation type="list" sqref="W193" allowBlank="true" errorStyle="stop" showErrorMessage="true" showInputMessage="true">
      <formula1>"Mercado Envios por conta do comprador,Mercado Envios grátis"</formula1>
    </dataValidation>
    <dataValidation type="list" sqref="X193" allowBlank="true" errorStyle="stop" showErrorMessage="true" showInputMessage="true">
      <formula1>"Aceita,Não aceito"</formula1>
    </dataValidation>
    <dataValidation type="list" sqref="Y193" allowBlank="true" errorStyle="stop" showErrorMessage="true" showInputMessage="true">
      <formula1>"Clássico,Premium"</formula1>
    </dataValidation>
    <dataValidation type="list" sqref="AA193" allowBlank="true" errorStyle="stop" showErrorMessage="true" showInputMessage="true">
      <formula1>"Ativo,Inativo"</formula1>
    </dataValidation>
    <dataValidation type="list" sqref="AB193" allowBlank="true" errorStyle="stop" showErrorMessage="true" showInputMessage="true">
      <formula1>"Garantia do vendedor,Garantia de fábrica,Sem garantia"</formula1>
    </dataValidation>
    <dataValidation type="list" sqref="AD193" allowBlank="true" errorStyle="stop" showErrorMessage="true" showInputMessage="true">
      <formula1>"dias,meses,anos"</formula1>
    </dataValidation>
    <dataValidation type="list" sqref="J194" allowBlank="true" errorStyle="stop" showErrorMessage="true" showInputMessage="true">
      <formula1>"R$"</formula1>
    </dataValidation>
    <dataValidation type="list" sqref="U194" allowBlank="true" errorStyle="stop" showErrorMessage="true" showInputMessage="true">
      <formula1>"Usado,Novo"</formula1>
    </dataValidation>
    <dataValidation type="list" sqref="W194" allowBlank="true" errorStyle="stop" showErrorMessage="true" showInputMessage="true">
      <formula1>"Mercado Envios por conta do comprador,Mercado Envios grátis"</formula1>
    </dataValidation>
    <dataValidation type="list" sqref="X194" allowBlank="true" errorStyle="stop" showErrorMessage="true" showInputMessage="true">
      <formula1>"Aceita,Não aceito"</formula1>
    </dataValidation>
    <dataValidation type="list" sqref="Y194" allowBlank="true" errorStyle="stop" showErrorMessage="true" showInputMessage="true">
      <formula1>"Clássico,Premium"</formula1>
    </dataValidation>
    <dataValidation type="list" sqref="AA194" allowBlank="true" errorStyle="stop" showErrorMessage="true" showInputMessage="true">
      <formula1>"Ativo,Inativo"</formula1>
    </dataValidation>
    <dataValidation type="list" sqref="AB194" allowBlank="true" errorStyle="stop" showErrorMessage="true" showInputMessage="true">
      <formula1>"Garantia do vendedor,Garantia de fábrica,Sem garantia"</formula1>
    </dataValidation>
    <dataValidation type="list" sqref="AD194" allowBlank="true" errorStyle="stop" showErrorMessage="true" showInputMessage="true">
      <formula1>"dias,meses,anos"</formula1>
    </dataValidation>
    <dataValidation type="list" sqref="J195" allowBlank="true" errorStyle="stop" showErrorMessage="true" showInputMessage="true">
      <formula1>"R$"</formula1>
    </dataValidation>
    <dataValidation type="list" sqref="U195" allowBlank="true" errorStyle="stop" showErrorMessage="true" showInputMessage="true">
      <formula1>"Usado,Novo"</formula1>
    </dataValidation>
    <dataValidation type="list" sqref="W195" allowBlank="true" errorStyle="stop" showErrorMessage="true" showInputMessage="true">
      <formula1>"Mercado Envios por conta do comprador,Mercado Envios grátis"</formula1>
    </dataValidation>
    <dataValidation type="list" sqref="X195" allowBlank="true" errorStyle="stop" showErrorMessage="true" showInputMessage="true">
      <formula1>"Aceita,Não aceito"</formula1>
    </dataValidation>
    <dataValidation type="list" sqref="Y195" allowBlank="true" errorStyle="stop" showErrorMessage="true" showInputMessage="true">
      <formula1>"Clássico,Premium"</formula1>
    </dataValidation>
    <dataValidation type="list" sqref="AA195" allowBlank="true" errorStyle="stop" showErrorMessage="true" showInputMessage="true">
      <formula1>"Ativo,Inativo"</formula1>
    </dataValidation>
    <dataValidation type="list" sqref="AB195" allowBlank="true" errorStyle="stop" showErrorMessage="true" showInputMessage="true">
      <formula1>"Garantia do vendedor,Garantia de fábrica,Sem garantia"</formula1>
    </dataValidation>
    <dataValidation type="list" sqref="AD195" allowBlank="true" errorStyle="stop" showErrorMessage="true" showInputMessage="true">
      <formula1>"dias,meses,anos"</formula1>
    </dataValidation>
    <dataValidation type="list" sqref="J196" allowBlank="true" errorStyle="stop" showErrorMessage="true" showInputMessage="true">
      <formula1>"R$"</formula1>
    </dataValidation>
    <dataValidation type="list" sqref="U196" allowBlank="true" errorStyle="stop" showErrorMessage="true" showInputMessage="true">
      <formula1>"Novo"</formula1>
    </dataValidation>
    <dataValidation type="list" sqref="W196" allowBlank="true" errorStyle="stop" showErrorMessage="true" showInputMessage="true">
      <formula1>"Mercado Envios por conta do comprador,Mercado Envios grátis"</formula1>
    </dataValidation>
    <dataValidation type="list" sqref="X196" allowBlank="true" errorStyle="stop" showErrorMessage="true" showInputMessage="true">
      <formula1>"Aceita,Não aceito"</formula1>
    </dataValidation>
    <dataValidation type="list" sqref="Y196" allowBlank="true" errorStyle="stop" showErrorMessage="true" showInputMessage="true">
      <formula1>"Clássico,Premium"</formula1>
    </dataValidation>
    <dataValidation type="list" sqref="AA196" allowBlank="true" errorStyle="stop" showErrorMessage="true" showInputMessage="true">
      <formula1>"Ativo,Inativo"</formula1>
    </dataValidation>
    <dataValidation type="list" sqref="AB196" allowBlank="true" errorStyle="stop" showErrorMessage="true" showInputMessage="true">
      <formula1>"Garantia do vendedor,Garantia de fábrica,Sem garantia"</formula1>
    </dataValidation>
    <dataValidation type="list" sqref="AD196" allowBlank="true" errorStyle="stop" showErrorMessage="true" showInputMessage="true">
      <formula1>"dias,meses,anos"</formula1>
    </dataValidation>
    <dataValidation type="list" sqref="J197" allowBlank="true" errorStyle="stop" showErrorMessage="true" showInputMessage="true">
      <formula1>"R$"</formula1>
    </dataValidation>
    <dataValidation type="list" sqref="U197" allowBlank="true" errorStyle="stop" showErrorMessage="true" showInputMessage="true">
      <formula1>"Usado,Novo"</formula1>
    </dataValidation>
    <dataValidation type="list" sqref="W197" allowBlank="true" errorStyle="stop" showErrorMessage="true" showInputMessage="true">
      <formula1>"Mercado Envios por conta do comprador,Mercado Envios grátis"</formula1>
    </dataValidation>
    <dataValidation type="list" sqref="X197" allowBlank="true" errorStyle="stop" showErrorMessage="true" showInputMessage="true">
      <formula1>"Aceita,Não aceito"</formula1>
    </dataValidation>
    <dataValidation type="list" sqref="Y197" allowBlank="true" errorStyle="stop" showErrorMessage="true" showInputMessage="true">
      <formula1>"Clássico,Premium"</formula1>
    </dataValidation>
    <dataValidation type="list" sqref="AA197" allowBlank="true" errorStyle="stop" showErrorMessage="true" showInputMessage="true">
      <formula1>"Ativo,Inativo"</formula1>
    </dataValidation>
    <dataValidation type="list" sqref="AB197" allowBlank="true" errorStyle="stop" showErrorMessage="true" showInputMessage="true">
      <formula1>"Garantia do vendedor,Garantia de fábrica,Sem garantia"</formula1>
    </dataValidation>
    <dataValidation type="list" sqref="AD197" allowBlank="true" errorStyle="stop" showErrorMessage="true" showInputMessage="true">
      <formula1>"dias,meses,anos"</formula1>
    </dataValidation>
    <dataValidation type="list" sqref="J198" allowBlank="true" errorStyle="stop" showErrorMessage="true" showInputMessage="true">
      <formula1>"R$"</formula1>
    </dataValidation>
    <dataValidation type="list" sqref="U198" allowBlank="true" errorStyle="stop" showErrorMessage="true" showInputMessage="true">
      <formula1>"Usado,Novo"</formula1>
    </dataValidation>
    <dataValidation type="list" sqref="W198" allowBlank="true" errorStyle="stop" showErrorMessage="true" showInputMessage="true">
      <formula1>"Mercado Envios por conta do comprador,Mercado Envios grátis"</formula1>
    </dataValidation>
    <dataValidation type="list" sqref="X198" allowBlank="true" errorStyle="stop" showErrorMessage="true" showInputMessage="true">
      <formula1>"Aceita,Não aceito"</formula1>
    </dataValidation>
    <dataValidation type="list" sqref="Y198" allowBlank="true" errorStyle="stop" showErrorMessage="true" showInputMessage="true">
      <formula1>"Clássico,Premium"</formula1>
    </dataValidation>
    <dataValidation type="list" sqref="AA198" allowBlank="true" errorStyle="stop" showErrorMessage="true" showInputMessage="true">
      <formula1>"Ativo,Inativo"</formula1>
    </dataValidation>
    <dataValidation type="list" sqref="AB198" allowBlank="true" errorStyle="stop" showErrorMessage="true" showInputMessage="true">
      <formula1>"Garantia do vendedor,Garantia de fábrica,Sem garantia"</formula1>
    </dataValidation>
    <dataValidation type="list" sqref="AD198" allowBlank="true" errorStyle="stop" showErrorMessage="true" showInputMessage="true">
      <formula1>"dias,meses,anos"</formula1>
    </dataValidation>
    <dataValidation type="list" sqref="J199" allowBlank="true" errorStyle="stop" showErrorMessage="true" showInputMessage="true">
      <formula1>"R$"</formula1>
    </dataValidation>
    <dataValidation type="list" sqref="U199" allowBlank="true" errorStyle="stop" showErrorMessage="true" showInputMessage="true">
      <formula1>"Novo"</formula1>
    </dataValidation>
    <dataValidation type="list" sqref="W199" allowBlank="true" errorStyle="stop" showErrorMessage="true" showInputMessage="true">
      <formula1>"Mercado Envios por conta do comprador,Mercado Envios grátis"</formula1>
    </dataValidation>
    <dataValidation type="list" sqref="X199" allowBlank="true" errorStyle="stop" showErrorMessage="true" showInputMessage="true">
      <formula1>"Aceita,Não aceito"</formula1>
    </dataValidation>
    <dataValidation type="list" sqref="Y199" allowBlank="true" errorStyle="stop" showErrorMessage="true" showInputMessage="true">
      <formula1>"Clássico,Premium"</formula1>
    </dataValidation>
    <dataValidation type="list" sqref="AA199" allowBlank="true" errorStyle="stop" showErrorMessage="true" showInputMessage="true">
      <formula1>"Ativo,Inativo"</formula1>
    </dataValidation>
    <dataValidation type="list" sqref="AB199" allowBlank="true" errorStyle="stop" showErrorMessage="true" showInputMessage="true">
      <formula1>"Garantia do vendedor,Garantia de fábrica,Sem garantia"</formula1>
    </dataValidation>
    <dataValidation type="list" sqref="AD199" allowBlank="true" errorStyle="stop" showErrorMessage="true" showInputMessage="true">
      <formula1>"dias,meses,anos"</formula1>
    </dataValidation>
    <dataValidation type="list" sqref="J200" allowBlank="true" errorStyle="stop" showErrorMessage="true" showInputMessage="true">
      <formula1>"R$"</formula1>
    </dataValidation>
    <dataValidation type="list" sqref="W200" allowBlank="true" errorStyle="stop" showErrorMessage="true" showInputMessage="true">
      <formula1>"Mercado Envios por conta do comprador,Mercado Envios grátis"</formula1>
    </dataValidation>
    <dataValidation type="list" sqref="X200" allowBlank="true" errorStyle="stop" showErrorMessage="true" showInputMessage="true">
      <formula1>"Aceita,Não aceito"</formula1>
    </dataValidation>
    <dataValidation type="list" sqref="Y200" allowBlank="true" errorStyle="stop" showErrorMessage="true" showInputMessage="true">
      <formula1>"Clássico,Premium"</formula1>
    </dataValidation>
    <dataValidation type="list" sqref="AA200" allowBlank="true" errorStyle="stop" showErrorMessage="true" showInputMessage="true">
      <formula1>"Ativo,Inativo"</formula1>
    </dataValidation>
    <dataValidation type="list" sqref="AB200" allowBlank="true" errorStyle="stop" showErrorMessage="true" showInputMessage="true">
      <formula1>"Garantia do vendedor,Garantia de fábrica,Sem garantia"</formula1>
    </dataValidation>
    <dataValidation type="list" sqref="AD200" allowBlank="true" errorStyle="stop" showErrorMessage="true" showInputMessage="true">
      <formula1>"dias,meses,anos"</formula1>
    </dataValidation>
    <dataValidation type="list" sqref="J201" allowBlank="true" errorStyle="stop" showErrorMessage="true" showInputMessage="true">
      <formula1>"R$"</formula1>
    </dataValidation>
    <dataValidation type="list" sqref="W201" allowBlank="true" errorStyle="stop" showErrorMessage="true" showInputMessage="true">
      <formula1>"Mercado Envios por conta do comprador,Mercado Envios grátis"</formula1>
    </dataValidation>
    <dataValidation type="list" sqref="X201" allowBlank="true" errorStyle="stop" showErrorMessage="true" showInputMessage="true">
      <formula1>"Aceita,Não aceito"</formula1>
    </dataValidation>
    <dataValidation type="list" sqref="Y201" allowBlank="true" errorStyle="stop" showErrorMessage="true" showInputMessage="true">
      <formula1>"Premium"</formula1>
    </dataValidation>
    <dataValidation type="list" sqref="AB201" allowBlank="true" errorStyle="stop" showErrorMessage="true" showInputMessage="true">
      <formula1>"Garantia do vendedor,Garantia de fábrica,Sem garantia"</formula1>
    </dataValidation>
    <dataValidation type="list" sqref="AD201" allowBlank="true" errorStyle="stop" showErrorMessage="true" showInputMessage="true">
      <formula1>"dias,meses,anos"</formula1>
    </dataValidation>
    <dataValidation type="list" sqref="J202" allowBlank="true" errorStyle="stop" showErrorMessage="true" showInputMessage="true">
      <formula1>"R$"</formula1>
    </dataValidation>
    <dataValidation type="list" sqref="U202" allowBlank="true" errorStyle="stop" showErrorMessage="true" showInputMessage="true">
      <formula1>"Novo,Usado"</formula1>
    </dataValidation>
    <dataValidation type="list" sqref="W202" allowBlank="true" errorStyle="stop" showErrorMessage="true" showInputMessage="true">
      <formula1>"Mercado Envios por conta do comprador,Mercado Envios grátis"</formula1>
    </dataValidation>
    <dataValidation type="list" sqref="X202" allowBlank="true" errorStyle="stop" showErrorMessage="true" showInputMessage="true">
      <formula1>"Aceita,Não aceito"</formula1>
    </dataValidation>
    <dataValidation type="list" sqref="Y202" allowBlank="true" errorStyle="stop" showErrorMessage="true" showInputMessage="true">
      <formula1>"Clássico"</formula1>
    </dataValidation>
    <dataValidation type="list" sqref="AB202" allowBlank="true" errorStyle="stop" showErrorMessage="true" showInputMessage="true">
      <formula1>"Garantia do vendedor,Garantia de fábrica,Sem garantia"</formula1>
    </dataValidation>
    <dataValidation type="list" sqref="AD202" allowBlank="true" errorStyle="stop" showErrorMessage="true" showInputMessage="true">
      <formula1>"dias,meses,anos"</formula1>
    </dataValidation>
    <dataValidation type="list" sqref="J218" allowBlank="true" errorStyle="stop" showErrorMessage="true" showInputMessage="true">
      <formula1>"R$"</formula1>
    </dataValidation>
    <dataValidation type="list" sqref="U218" allowBlank="true" errorStyle="stop" showErrorMessage="true" showInputMessage="true">
      <formula1>"Usado,Novo"</formula1>
    </dataValidation>
    <dataValidation type="list" sqref="W218" allowBlank="true" errorStyle="stop" showErrorMessage="true" showInputMessage="true">
      <formula1>"Mercado Envios por conta do comprador,Mercado Envios grátis"</formula1>
    </dataValidation>
    <dataValidation type="list" sqref="X218" allowBlank="true" errorStyle="stop" showErrorMessage="true" showInputMessage="true">
      <formula1>"Aceita,Não aceito"</formula1>
    </dataValidation>
    <dataValidation type="list" sqref="Y218" allowBlank="true" errorStyle="stop" showErrorMessage="true" showInputMessage="true">
      <formula1>"Premium"</formula1>
    </dataValidation>
    <dataValidation type="list" sqref="AB218" allowBlank="true" errorStyle="stop" showErrorMessage="true" showInputMessage="true">
      <formula1>"Garantia do vendedor,Garantia de fábrica,Sem garantia"</formula1>
    </dataValidation>
    <dataValidation type="list" sqref="AD218" allowBlank="true" errorStyle="stop" showErrorMessage="true" showInputMessage="true">
      <formula1>"dias,meses,anos"</formula1>
    </dataValidation>
    <dataValidation type="list" sqref="J221" allowBlank="true" errorStyle="stop" showErrorMessage="true" showInputMessage="true">
      <formula1>"R$"</formula1>
    </dataValidation>
    <dataValidation type="list" sqref="U221" allowBlank="true" errorStyle="stop" showErrorMessage="true" showInputMessage="true">
      <formula1>"Novo,Usado"</formula1>
    </dataValidation>
    <dataValidation type="list" sqref="W221" allowBlank="true" errorStyle="stop" showErrorMessage="true" showInputMessage="true">
      <formula1>"Envios por minha conta a cargo do comprador,Frete grátis por conta própria,Não faço envios"</formula1>
    </dataValidation>
    <dataValidation type="list" sqref="X221" allowBlank="true" errorStyle="stop" showErrorMessage="true" showInputMessage="true">
      <formula1>"Aceita,Não aceito"</formula1>
    </dataValidation>
    <dataValidation type="list" sqref="Y221" allowBlank="true" errorStyle="stop" showErrorMessage="true" showInputMessage="true">
      <formula1>"Premium"</formula1>
    </dataValidation>
    <dataValidation type="list" sqref="AB221" allowBlank="true" errorStyle="stop" showErrorMessage="true" showInputMessage="true">
      <formula1>"Garantia do vendedor,Garantia de fábrica,Sem garantia"</formula1>
    </dataValidation>
    <dataValidation type="list" sqref="AD221" allowBlank="true" errorStyle="stop" showErrorMessage="true" showInputMessage="true">
      <formula1>"dias,meses,anos"</formula1>
    </dataValidation>
    <dataValidation type="list" sqref="J222" allowBlank="true" errorStyle="stop" showErrorMessage="true" showInputMessage="true">
      <formula1>"R$"</formula1>
    </dataValidation>
    <dataValidation type="list" sqref="U222" allowBlank="true" errorStyle="stop" showErrorMessage="true" showInputMessage="true">
      <formula1>"Novo,Usado"</formula1>
    </dataValidation>
    <dataValidation type="list" sqref="W222" allowBlank="true" errorStyle="stop" showErrorMessage="true" showInputMessage="true">
      <formula1>"Mercado Envios por conta do comprador,Mercado Envios grátis"</formula1>
    </dataValidation>
    <dataValidation type="list" sqref="X222" allowBlank="true" errorStyle="stop" showErrorMessage="true" showInputMessage="true">
      <formula1>"Aceita,Não aceito"</formula1>
    </dataValidation>
    <dataValidation type="list" sqref="Y222" allowBlank="true" errorStyle="stop" showErrorMessage="true" showInputMessage="true">
      <formula1>"Clássico"</formula1>
    </dataValidation>
    <dataValidation type="list" sqref="AB222" allowBlank="true" errorStyle="stop" showErrorMessage="true" showInputMessage="true">
      <formula1>"Garantia do vendedor,Garantia de fábrica,Sem garantia"</formula1>
    </dataValidation>
    <dataValidation type="list" sqref="AD222" allowBlank="true" errorStyle="stop" showErrorMessage="true" showInputMessage="true">
      <formula1>"dias,meses,anos"</formula1>
    </dataValidation>
    <dataValidation type="list" sqref="J226" allowBlank="true" errorStyle="stop" showErrorMessage="true" showInputMessage="true">
      <formula1>"R$"</formula1>
    </dataValidation>
    <dataValidation type="list" sqref="U226" allowBlank="true" errorStyle="stop" showErrorMessage="true" showInputMessage="true">
      <formula1>"Novo,Usado"</formula1>
    </dataValidation>
    <dataValidation type="list" sqref="W226" allowBlank="true" errorStyle="stop" showErrorMessage="true" showInputMessage="true">
      <formula1>"Mercado Envios por conta do comprador,Mercado Envios grátis"</formula1>
    </dataValidation>
    <dataValidation type="list" sqref="X226" allowBlank="true" errorStyle="stop" showErrorMessage="true" showInputMessage="true">
      <formula1>"Aceita,Não aceito"</formula1>
    </dataValidation>
    <dataValidation type="list" sqref="Y226" allowBlank="true" errorStyle="stop" showErrorMessage="true" showInputMessage="true">
      <formula1>"Clássico"</formula1>
    </dataValidation>
    <dataValidation type="list" sqref="AB226" allowBlank="true" errorStyle="stop" showErrorMessage="true" showInputMessage="true">
      <formula1>"Garantia do vendedor,Garantia de fábrica,Sem garantia"</formula1>
    </dataValidation>
    <dataValidation type="list" sqref="AD226" allowBlank="true" errorStyle="stop" showErrorMessage="true" showInputMessage="true">
      <formula1>"dias,meses,anos"</formula1>
    </dataValidation>
    <dataValidation type="list" sqref="J230" allowBlank="true" errorStyle="stop" showErrorMessage="true" showInputMessage="true">
      <formula1>"R$"</formula1>
    </dataValidation>
    <dataValidation type="list" sqref="U230" allowBlank="true" errorStyle="stop" showErrorMessage="true" showInputMessage="true">
      <formula1>"Novo,Usado"</formula1>
    </dataValidation>
    <dataValidation type="list" sqref="W230" allowBlank="true" errorStyle="stop" showErrorMessage="true" showInputMessage="true">
      <formula1>"Mercado Envios por conta do comprador,Mercado Envios grátis"</formula1>
    </dataValidation>
    <dataValidation type="list" sqref="X230" allowBlank="true" errorStyle="stop" showErrorMessage="true" showInputMessage="true">
      <formula1>"Aceita,Não aceito"</formula1>
    </dataValidation>
    <dataValidation type="list" sqref="Y230" allowBlank="true" errorStyle="stop" showErrorMessage="true" showInputMessage="true">
      <formula1>"Clássico"</formula1>
    </dataValidation>
    <dataValidation type="list" sqref="AB230" allowBlank="true" errorStyle="stop" showErrorMessage="true" showInputMessage="true">
      <formula1>"Garantia do vendedor,Garantia de fábrica,Sem garantia"</formula1>
    </dataValidation>
    <dataValidation type="list" sqref="AD230" allowBlank="true" errorStyle="stop" showErrorMessage="true" showInputMessage="true">
      <formula1>"dias,meses,anos"</formula1>
    </dataValidation>
    <dataValidation type="list" sqref="J233" allowBlank="true" errorStyle="stop" showErrorMessage="true" showInputMessage="true">
      <formula1>"R$"</formula1>
    </dataValidation>
    <dataValidation type="list" sqref="U233" allowBlank="true" errorStyle="stop" showErrorMessage="true" showInputMessage="true">
      <formula1>"Novo,Usado"</formula1>
    </dataValidation>
    <dataValidation type="list" sqref="W233" allowBlank="true" errorStyle="stop" showErrorMessage="true" showInputMessage="true">
      <formula1>"Mercado Envios por conta do comprador,Mercado Envios grátis"</formula1>
    </dataValidation>
    <dataValidation type="list" sqref="X233" allowBlank="true" errorStyle="stop" showErrorMessage="true" showInputMessage="true">
      <formula1>"Aceita,Não aceito"</formula1>
    </dataValidation>
    <dataValidation type="list" sqref="Y233" allowBlank="true" errorStyle="stop" showErrorMessage="true" showInputMessage="true">
      <formula1>"Clássico"</formula1>
    </dataValidation>
    <dataValidation type="list" sqref="AB233" allowBlank="true" errorStyle="stop" showErrorMessage="true" showInputMessage="true">
      <formula1>"Garantia do vendedor,Garantia de fábrica,Sem garantia"</formula1>
    </dataValidation>
    <dataValidation type="list" sqref="AD233" allowBlank="true" errorStyle="stop" showErrorMessage="true" showInputMessage="true">
      <formula1>"dias,meses,anos"</formula1>
    </dataValidation>
    <dataValidation type="list" sqref="J238" allowBlank="true" errorStyle="stop" showErrorMessage="true" showInputMessage="true">
      <formula1>"R$"</formula1>
    </dataValidation>
    <dataValidation type="list" sqref="U238" allowBlank="true" errorStyle="stop" showErrorMessage="true" showInputMessage="true">
      <formula1>"Novo,Usado"</formula1>
    </dataValidation>
    <dataValidation type="list" sqref="W238" allowBlank="true" errorStyle="stop" showErrorMessage="true" showInputMessage="true">
      <formula1>"Mercado Envios por conta do comprador,Mercado Envios grátis"</formula1>
    </dataValidation>
    <dataValidation type="list" sqref="X238" allowBlank="true" errorStyle="stop" showErrorMessage="true" showInputMessage="true">
      <formula1>"Aceita,Não aceito"</formula1>
    </dataValidation>
    <dataValidation type="list" sqref="Y238" allowBlank="true" errorStyle="stop" showErrorMessage="true" showInputMessage="true">
      <formula1>"Clássico"</formula1>
    </dataValidation>
    <dataValidation type="list" sqref="AB238" allowBlank="true" errorStyle="stop" showErrorMessage="true" showInputMessage="true">
      <formula1>"Garantia do vendedor,Garantia de fábrica,Sem garantia"</formula1>
    </dataValidation>
    <dataValidation type="list" sqref="AD238" allowBlank="true" errorStyle="stop" showErrorMessage="true" showInputMessage="true">
      <formula1>"dias,meses,anos"</formula1>
    </dataValidation>
    <dataValidation type="list" sqref="J241" allowBlank="true" errorStyle="stop" showErrorMessage="true" showInputMessage="true">
      <formula1>"R$"</formula1>
    </dataValidation>
    <dataValidation type="list" sqref="U241" allowBlank="true" errorStyle="stop" showErrorMessage="true" showInputMessage="true">
      <formula1>"Novo,Usado"</formula1>
    </dataValidation>
    <dataValidation type="list" sqref="W241" allowBlank="true" errorStyle="stop" showErrorMessage="true" showInputMessage="true">
      <formula1>"Mercado Envios por conta do comprador,Mercado Envios grátis"</formula1>
    </dataValidation>
    <dataValidation type="list" sqref="X241" allowBlank="true" errorStyle="stop" showErrorMessage="true" showInputMessage="true">
      <formula1>"Aceita,Não aceito"</formula1>
    </dataValidation>
    <dataValidation type="list" sqref="Y241" allowBlank="true" errorStyle="stop" showErrorMessage="true" showInputMessage="true">
      <formula1>"Clássico,Premium"</formula1>
    </dataValidation>
    <dataValidation type="list" sqref="AA241" allowBlank="true" errorStyle="stop" showErrorMessage="true" showInputMessage="true">
      <formula1>"Ativo,Inativo"</formula1>
    </dataValidation>
    <dataValidation type="list" sqref="AB241" allowBlank="true" errorStyle="stop" showErrorMessage="true" showInputMessage="true">
      <formula1>"Garantia do vendedor,Garantia de fábrica,Sem garantia"</formula1>
    </dataValidation>
    <dataValidation type="list" sqref="AD241" allowBlank="true" errorStyle="stop" showErrorMessage="true" showInputMessage="true">
      <formula1>"dias,meses,anos"</formula1>
    </dataValidation>
    <dataValidation type="list" sqref="J242" allowBlank="true" errorStyle="stop" showErrorMessage="true" showInputMessage="true">
      <formula1>"R$"</formula1>
    </dataValidation>
    <dataValidation type="list" sqref="U242" allowBlank="true" errorStyle="stop" showErrorMessage="true" showInputMessage="true">
      <formula1>"Usado,Novo,Recondicionado"</formula1>
    </dataValidation>
    <dataValidation type="list" sqref="W242" allowBlank="true" errorStyle="stop" showErrorMessage="true" showInputMessage="true">
      <formula1>"Mercado Envios por conta do comprador,Mercado Envios grátis"</formula1>
    </dataValidation>
    <dataValidation type="list" sqref="X242" allowBlank="true" errorStyle="stop" showErrorMessage="true" showInputMessage="true">
      <formula1>"Aceita,Não aceito"</formula1>
    </dataValidation>
    <dataValidation type="list" sqref="Y242" allowBlank="true" errorStyle="stop" showErrorMessage="true" showInputMessage="true">
      <formula1>"Clássico,Premium"</formula1>
    </dataValidation>
    <dataValidation type="list" sqref="AA242" allowBlank="true" errorStyle="stop" showErrorMessage="true" showInputMessage="true">
      <formula1>"Ativo,Inativo"</formula1>
    </dataValidation>
    <dataValidation type="list" sqref="AB242" allowBlank="true" errorStyle="stop" showErrorMessage="true" showInputMessage="true">
      <formula1>"Garantia do vendedor,Garantia de fábrica,Sem garantia"</formula1>
    </dataValidation>
    <dataValidation type="list" sqref="AD242" allowBlank="true" errorStyle="stop" showErrorMessage="true" showInputMessage="true">
      <formula1>"dias,meses,anos"</formula1>
    </dataValidation>
    <dataValidation type="list" sqref="J243" allowBlank="true" errorStyle="stop" showErrorMessage="true" showInputMessage="true">
      <formula1>"R$"</formula1>
    </dataValidation>
    <dataValidation type="list" sqref="U243" allowBlank="true" errorStyle="stop" showErrorMessage="true" showInputMessage="true">
      <formula1>"Novo,Usado"</formula1>
    </dataValidation>
    <dataValidation type="list" sqref="W243" allowBlank="true" errorStyle="stop" showErrorMessage="true" showInputMessage="true">
      <formula1>"Mercado Envios por conta do comprador,Mercado Envios grátis"</formula1>
    </dataValidation>
    <dataValidation type="list" sqref="X243" allowBlank="true" errorStyle="stop" showErrorMessage="true" showInputMessage="true">
      <formula1>"Aceita,Não aceito"</formula1>
    </dataValidation>
    <dataValidation type="list" sqref="Y243" allowBlank="true" errorStyle="stop" showErrorMessage="true" showInputMessage="true">
      <formula1>"Clássico,Premium"</formula1>
    </dataValidation>
    <dataValidation type="list" sqref="AA243" allowBlank="true" errorStyle="stop" showErrorMessage="true" showInputMessage="true">
      <formula1>"Ativo,Inativo"</formula1>
    </dataValidation>
    <dataValidation type="list" sqref="AB243" allowBlank="true" errorStyle="stop" showErrorMessage="true" showInputMessage="true">
      <formula1>"Garantia do vendedor,Garantia de fábrica,Sem garantia"</formula1>
    </dataValidation>
    <dataValidation type="list" sqref="AD243" allowBlank="true" errorStyle="stop" showErrorMessage="true" showInputMessage="true">
      <formula1>"dias,meses,anos"</formula1>
    </dataValidation>
    <dataValidation type="list" sqref="J244" allowBlank="true" errorStyle="stop" showErrorMessage="true" showInputMessage="true">
      <formula1>"R$"</formula1>
    </dataValidation>
    <dataValidation type="list" sqref="U244" allowBlank="true" errorStyle="stop" showErrorMessage="true" showInputMessage="true">
      <formula1>"Novo,Usado"</formula1>
    </dataValidation>
    <dataValidation type="list" sqref="W244" allowBlank="true" errorStyle="stop" showErrorMessage="true" showInputMessage="true">
      <formula1>"Mercado Envios por conta do comprador,Mercado Envios grátis"</formula1>
    </dataValidation>
    <dataValidation type="list" sqref="X244" allowBlank="true" errorStyle="stop" showErrorMessage="true" showInputMessage="true">
      <formula1>"Aceita,Não aceito"</formula1>
    </dataValidation>
    <dataValidation type="list" sqref="Y244" allowBlank="true" errorStyle="stop" showErrorMessage="true" showInputMessage="true">
      <formula1>"Clássico,Premium"</formula1>
    </dataValidation>
    <dataValidation type="list" sqref="AA244" allowBlank="true" errorStyle="stop" showErrorMessage="true" showInputMessage="true">
      <formula1>"Ativo,Inativo"</formula1>
    </dataValidation>
    <dataValidation type="list" sqref="AB244" allowBlank="true" errorStyle="stop" showErrorMessage="true" showInputMessage="true">
      <formula1>"Garantia do vendedor,Garantia de fábrica,Sem garantia"</formula1>
    </dataValidation>
    <dataValidation type="list" sqref="AD244" allowBlank="true" errorStyle="stop" showErrorMessage="true" showInputMessage="true">
      <formula1>"dias,meses,anos"</formula1>
    </dataValidation>
    <dataValidation type="list" sqref="J245" allowBlank="true" errorStyle="stop" showErrorMessage="true" showInputMessage="true">
      <formula1>"R$"</formula1>
    </dataValidation>
    <dataValidation type="list" sqref="U245" allowBlank="true" errorStyle="stop" showErrorMessage="true" showInputMessage="true">
      <formula1>"Novo,Usado"</formula1>
    </dataValidation>
    <dataValidation type="list" sqref="W245" allowBlank="true" errorStyle="stop" showErrorMessage="true" showInputMessage="true">
      <formula1>"Mercado Envios por conta do comprador,Mercado Envios grátis"</formula1>
    </dataValidation>
    <dataValidation type="list" sqref="X245" allowBlank="true" errorStyle="stop" showErrorMessage="true" showInputMessage="true">
      <formula1>"Aceita,Não aceito"</formula1>
    </dataValidation>
    <dataValidation type="list" sqref="Y245" allowBlank="true" errorStyle="stop" showErrorMessage="true" showInputMessage="true">
      <formula1>"Clássico,Premium"</formula1>
    </dataValidation>
    <dataValidation type="list" sqref="AA245" allowBlank="true" errorStyle="stop" showErrorMessage="true" showInputMessage="true">
      <formula1>"Ativo,Inativo"</formula1>
    </dataValidation>
    <dataValidation type="list" sqref="AB245" allowBlank="true" errorStyle="stop" showErrorMessage="true" showInputMessage="true">
      <formula1>"Garantia do vendedor,Garantia de fábrica,Sem garantia"</formula1>
    </dataValidation>
    <dataValidation type="list" sqref="AD245" allowBlank="true" errorStyle="stop" showErrorMessage="true" showInputMessage="true">
      <formula1>"dias,meses,anos"</formula1>
    </dataValidation>
    <dataValidation type="list" sqref="J246" allowBlank="true" errorStyle="stop" showErrorMessage="true" showInputMessage="true">
      <formula1>"R$"</formula1>
    </dataValidation>
    <dataValidation type="list" sqref="U246" allowBlank="true" errorStyle="stop" showErrorMessage="true" showInputMessage="true">
      <formula1>"Novo,Usado"</formula1>
    </dataValidation>
    <dataValidation type="list" sqref="W246" allowBlank="true" errorStyle="stop" showErrorMessage="true" showInputMessage="true">
      <formula1>"Mercado Envios por conta do comprador,Mercado Envios grátis"</formula1>
    </dataValidation>
    <dataValidation type="list" sqref="X246" allowBlank="true" errorStyle="stop" showErrorMessage="true" showInputMessage="true">
      <formula1>"Aceita,Não aceito"</formula1>
    </dataValidation>
    <dataValidation type="list" sqref="Y246" allowBlank="true" errorStyle="stop" showErrorMessage="true" showInputMessage="true">
      <formula1>"Clássico,Premium"</formula1>
    </dataValidation>
    <dataValidation type="list" sqref="AA246" allowBlank="true" errorStyle="stop" showErrorMessage="true" showInputMessage="true">
      <formula1>"Ativo,Inativo"</formula1>
    </dataValidation>
    <dataValidation type="list" sqref="AB246" allowBlank="true" errorStyle="stop" showErrorMessage="true" showInputMessage="true">
      <formula1>"Garantia do vendedor,Garantia de fábrica,Sem garantia"</formula1>
    </dataValidation>
    <dataValidation type="list" sqref="AD246" allowBlank="true" errorStyle="stop" showErrorMessage="true" showInputMessage="true">
      <formula1>"dias,meses,anos"</formula1>
    </dataValidation>
    <dataValidation type="list" sqref="J247" allowBlank="true" errorStyle="stop" showErrorMessage="true" showInputMessage="true">
      <formula1>"R$"</formula1>
    </dataValidation>
    <dataValidation type="list" sqref="U247" allowBlank="true" errorStyle="stop" showErrorMessage="true" showInputMessage="true">
      <formula1>"Novo,Usado"</formula1>
    </dataValidation>
    <dataValidation type="list" sqref="W247" allowBlank="true" errorStyle="stop" showErrorMessage="true" showInputMessage="true">
      <formula1>"Mercado Envios por conta do comprador,Mercado Envios grátis"</formula1>
    </dataValidation>
    <dataValidation type="list" sqref="X247" allowBlank="true" errorStyle="stop" showErrorMessage="true" showInputMessage="true">
      <formula1>"Aceita,Não aceito"</formula1>
    </dataValidation>
    <dataValidation type="list" sqref="Y247" allowBlank="true" errorStyle="stop" showErrorMessage="true" showInputMessage="true">
      <formula1>"Clássico,Premium"</formula1>
    </dataValidation>
    <dataValidation type="list" sqref="AA247" allowBlank="true" errorStyle="stop" showErrorMessage="true" showInputMessage="true">
      <formula1>"Ativo,Inativo"</formula1>
    </dataValidation>
    <dataValidation type="list" sqref="AB247" allowBlank="true" errorStyle="stop" showErrorMessage="true" showInputMessage="true">
      <formula1>"Garantia do vendedor,Garantia de fábrica,Sem garantia"</formula1>
    </dataValidation>
    <dataValidation type="list" sqref="AD247" allowBlank="true" errorStyle="stop" showErrorMessage="true" showInputMessage="true">
      <formula1>"dias,meses,anos"</formula1>
    </dataValidation>
    <dataValidation type="list" sqref="J248" allowBlank="true" errorStyle="stop" showErrorMessage="true" showInputMessage="true">
      <formula1>"R$"</formula1>
    </dataValidation>
    <dataValidation type="list" sqref="W248" allowBlank="true" errorStyle="stop" showErrorMessage="true" showInputMessage="true">
      <formula1>"Mercado Envios por conta do comprador,Mercado Envios grátis"</formula1>
    </dataValidation>
    <dataValidation type="list" sqref="X248" allowBlank="true" errorStyle="stop" showErrorMessage="true" showInputMessage="true">
      <formula1>"Aceita,Não aceito"</formula1>
    </dataValidation>
    <dataValidation type="list" sqref="Y248" allowBlank="true" errorStyle="stop" showErrorMessage="true" showInputMessage="true">
      <formula1>"Clássico,Premium"</formula1>
    </dataValidation>
    <dataValidation type="list" sqref="AA248" allowBlank="true" errorStyle="stop" showErrorMessage="true" showInputMessage="true">
      <formula1>"Ativo,Inativo"</formula1>
    </dataValidation>
    <dataValidation type="list" sqref="AB248" allowBlank="true" errorStyle="stop" showErrorMessage="true" showInputMessage="true">
      <formula1>"Garantia do vendedor,Garantia de fábrica,Sem garantia"</formula1>
    </dataValidation>
    <dataValidation type="list" sqref="AD248" allowBlank="true" errorStyle="stop" showErrorMessage="true" showInputMessage="true">
      <formula1>"dias,meses,anos"</formula1>
    </dataValidation>
    <dataValidation type="list" sqref="J249" allowBlank="true" errorStyle="stop" showErrorMessage="true" showInputMessage="true">
      <formula1>"R$"</formula1>
    </dataValidation>
    <dataValidation type="list" sqref="U249" allowBlank="true" errorStyle="stop" showErrorMessage="true" showInputMessage="true">
      <formula1>"Usado,Novo"</formula1>
    </dataValidation>
    <dataValidation type="list" sqref="W249" allowBlank="true" errorStyle="stop" showErrorMessage="true" showInputMessage="true">
      <formula1>"Mercado Envios por conta do comprador,Mercado Envios grátis"</formula1>
    </dataValidation>
    <dataValidation type="list" sqref="X249" allowBlank="true" errorStyle="stop" showErrorMessage="true" showInputMessage="true">
      <formula1>"Aceita,Não aceito"</formula1>
    </dataValidation>
    <dataValidation type="list" sqref="Y249" allowBlank="true" errorStyle="stop" showErrorMessage="true" showInputMessage="true">
      <formula1>"Clássico,Premium"</formula1>
    </dataValidation>
    <dataValidation type="list" sqref="AA249" allowBlank="true" errorStyle="stop" showErrorMessage="true" showInputMessage="true">
      <formula1>"Ativo,Inativo"</formula1>
    </dataValidation>
    <dataValidation type="list" sqref="AB249" allowBlank="true" errorStyle="stop" showErrorMessage="true" showInputMessage="true">
      <formula1>"Garantia do vendedor,Garantia de fábrica,Sem garantia"</formula1>
    </dataValidation>
    <dataValidation type="list" sqref="AD249" allowBlank="true" errorStyle="stop" showErrorMessage="true" showInputMessage="true">
      <formula1>"dias,meses,anos"</formula1>
    </dataValidation>
    <dataValidation type="list" sqref="J250" allowBlank="true" errorStyle="stop" showErrorMessage="true" showInputMessage="true">
      <formula1>"R$"</formula1>
    </dataValidation>
    <dataValidation type="list" sqref="U250" allowBlank="true" errorStyle="stop" showErrorMessage="true" showInputMessage="true">
      <formula1>"Novo,Usado"</formula1>
    </dataValidation>
    <dataValidation type="list" sqref="W250" allowBlank="true" errorStyle="stop" showErrorMessage="true" showInputMessage="true">
      <formula1>"Mercado Envios por conta do comprador,Mercado Envios grátis"</formula1>
    </dataValidation>
    <dataValidation type="list" sqref="X250" allowBlank="true" errorStyle="stop" showErrorMessage="true" showInputMessage="true">
      <formula1>"Aceita,Não aceito"</formula1>
    </dataValidation>
    <dataValidation type="list" sqref="Y250" allowBlank="true" errorStyle="stop" showErrorMessage="true" showInputMessage="true">
      <formula1>"Clássico,Premium"</formula1>
    </dataValidation>
    <dataValidation type="list" sqref="AA250" allowBlank="true" errorStyle="stop" showErrorMessage="true" showInputMessage="true">
      <formula1>"Ativo,Inativo"</formula1>
    </dataValidation>
    <dataValidation type="list" sqref="AB250" allowBlank="true" errorStyle="stop" showErrorMessage="true" showInputMessage="true">
      <formula1>"Garantia do vendedor,Garantia de fábrica,Sem garantia"</formula1>
    </dataValidation>
    <dataValidation type="list" sqref="AD250" allowBlank="true" errorStyle="stop" showErrorMessage="true" showInputMessage="true">
      <formula1>"dias,meses,anos"</formula1>
    </dataValidation>
    <dataValidation type="list" sqref="J251" allowBlank="true" errorStyle="stop" showErrorMessage="true" showInputMessage="true">
      <formula1>"R$"</formula1>
    </dataValidation>
    <dataValidation type="list" sqref="U251" allowBlank="true" errorStyle="stop" showErrorMessage="true" showInputMessage="true">
      <formula1>"Novo,Usado,Recondicionado"</formula1>
    </dataValidation>
    <dataValidation type="list" sqref="W251" allowBlank="true" errorStyle="stop" showErrorMessage="true" showInputMessage="true">
      <formula1>"Mercado Envios por conta do comprador,Mercado Envios grátis"</formula1>
    </dataValidation>
    <dataValidation type="list" sqref="X251" allowBlank="true" errorStyle="stop" showErrorMessage="true" showInputMessage="true">
      <formula1>"Aceita,Não aceito"</formula1>
    </dataValidation>
    <dataValidation type="list" sqref="Y251" allowBlank="true" errorStyle="stop" showErrorMessage="true" showInputMessage="true">
      <formula1>"Clássico,Premium"</formula1>
    </dataValidation>
    <dataValidation type="list" sqref="AA251" allowBlank="true" errorStyle="stop" showErrorMessage="true" showInputMessage="true">
      <formula1>"Ativo,Inativo"</formula1>
    </dataValidation>
    <dataValidation type="list" sqref="AB251" allowBlank="true" errorStyle="stop" showErrorMessage="true" showInputMessage="true">
      <formula1>"Garantia do vendedor,Garantia de fábrica,Sem garantia"</formula1>
    </dataValidation>
    <dataValidation type="list" sqref="AD251" allowBlank="true" errorStyle="stop" showErrorMessage="true" showInputMessage="true">
      <formula1>"dias,meses,anos"</formula1>
    </dataValidation>
    <dataValidation type="list" sqref="J252" allowBlank="true" errorStyle="stop" showErrorMessage="true" showInputMessage="true">
      <formula1>"R$"</formula1>
    </dataValidation>
    <dataValidation type="list" sqref="U252" allowBlank="true" errorStyle="stop" showErrorMessage="true" showInputMessage="true">
      <formula1>"Novo,Usado"</formula1>
    </dataValidation>
    <dataValidation type="list" sqref="W252" allowBlank="true" errorStyle="stop" showErrorMessage="true" showInputMessage="true">
      <formula1>"Mercado Envios por conta do comprador,Mercado Envios grátis"</formula1>
    </dataValidation>
    <dataValidation type="list" sqref="X252" allowBlank="true" errorStyle="stop" showErrorMessage="true" showInputMessage="true">
      <formula1>"Aceita,Não aceito"</formula1>
    </dataValidation>
    <dataValidation type="list" sqref="Y252" allowBlank="true" errorStyle="stop" showErrorMessage="true" showInputMessage="true">
      <formula1>"Clássico,Premium"</formula1>
    </dataValidation>
    <dataValidation type="list" sqref="AA252" allowBlank="true" errorStyle="stop" showErrorMessage="true" showInputMessage="true">
      <formula1>"Ativo,Inativo"</formula1>
    </dataValidation>
    <dataValidation type="list" sqref="AB252" allowBlank="true" errorStyle="stop" showErrorMessage="true" showInputMessage="true">
      <formula1>"Garantia do vendedor,Garantia de fábrica,Sem garantia"</formula1>
    </dataValidation>
    <dataValidation type="list" sqref="AD252" allowBlank="true" errorStyle="stop" showErrorMessage="true" showInputMessage="true">
      <formula1>"dias,meses,anos"</formula1>
    </dataValidation>
    <dataValidation type="list" sqref="J253" allowBlank="true" errorStyle="stop" showErrorMessage="true" showInputMessage="true">
      <formula1>"R$"</formula1>
    </dataValidation>
    <dataValidation type="list" sqref="U253" allowBlank="true" errorStyle="stop" showErrorMessage="true" showInputMessage="true">
      <formula1>"Usado,Novo"</formula1>
    </dataValidation>
    <dataValidation type="list" sqref="W253" allowBlank="true" errorStyle="stop" showErrorMessage="true" showInputMessage="true">
      <formula1>"Mercado Envios por conta do comprador,Mercado Envios grátis"</formula1>
    </dataValidation>
    <dataValidation type="list" sqref="X253" allowBlank="true" errorStyle="stop" showErrorMessage="true" showInputMessage="true">
      <formula1>"Aceita,Não aceito"</formula1>
    </dataValidation>
    <dataValidation type="list" sqref="Y253" allowBlank="true" errorStyle="stop" showErrorMessage="true" showInputMessage="true">
      <formula1>"Clássico,Premium"</formula1>
    </dataValidation>
    <dataValidation type="list" sqref="AA253" allowBlank="true" errorStyle="stop" showErrorMessage="true" showInputMessage="true">
      <formula1>"Ativo,Inativo"</formula1>
    </dataValidation>
    <dataValidation type="list" sqref="AB253" allowBlank="true" errorStyle="stop" showErrorMessage="true" showInputMessage="true">
      <formula1>"Garantia do vendedor,Garantia de fábrica,Sem garantia"</formula1>
    </dataValidation>
    <dataValidation type="list" sqref="AD253" allowBlank="true" errorStyle="stop" showErrorMessage="true" showInputMessage="true">
      <formula1>"dias,meses,anos"</formula1>
    </dataValidation>
    <dataValidation type="list" sqref="J254" allowBlank="true" errorStyle="stop" showErrorMessage="true" showInputMessage="true">
      <formula1>"R$"</formula1>
    </dataValidation>
    <dataValidation type="list" sqref="U254" allowBlank="true" errorStyle="stop" showErrorMessage="true" showInputMessage="true">
      <formula1>"Usado,Novo"</formula1>
    </dataValidation>
    <dataValidation type="list" sqref="W254" allowBlank="true" errorStyle="stop" showErrorMessage="true" showInputMessage="true">
      <formula1>"Mercado Envios por conta do comprador,Mercado Envios grátis"</formula1>
    </dataValidation>
    <dataValidation type="list" sqref="X254" allowBlank="true" errorStyle="stop" showErrorMessage="true" showInputMessage="true">
      <formula1>"Aceita,Não aceito"</formula1>
    </dataValidation>
    <dataValidation type="list" sqref="Y254" allowBlank="true" errorStyle="stop" showErrorMessage="true" showInputMessage="true">
      <formula1>"Clássico,Premium"</formula1>
    </dataValidation>
    <dataValidation type="list" sqref="AA254" allowBlank="true" errorStyle="stop" showErrorMessage="true" showInputMessage="true">
      <formula1>"Ativo,Inativo"</formula1>
    </dataValidation>
    <dataValidation type="list" sqref="AB254" allowBlank="true" errorStyle="stop" showErrorMessage="true" showInputMessage="true">
      <formula1>"Garantia do vendedor,Garantia de fábrica,Sem garantia"</formula1>
    </dataValidation>
    <dataValidation type="list" sqref="AD254" allowBlank="true" errorStyle="stop" showErrorMessage="true" showInputMessage="true">
      <formula1>"dias,meses,anos"</formula1>
    </dataValidation>
    <dataValidation type="list" sqref="J255" allowBlank="true" errorStyle="stop" showErrorMessage="true" showInputMessage="true">
      <formula1>"R$"</formula1>
    </dataValidation>
    <dataValidation type="list" sqref="U255" allowBlank="true" errorStyle="stop" showErrorMessage="true" showInputMessage="true">
      <formula1>"Novo,Usado"</formula1>
    </dataValidation>
    <dataValidation type="list" sqref="W255" allowBlank="true" errorStyle="stop" showErrorMessage="true" showInputMessage="true">
      <formula1>"Mercado Envios por conta do comprador,Mercado Envios grátis"</formula1>
    </dataValidation>
    <dataValidation type="list" sqref="X255" allowBlank="true" errorStyle="stop" showErrorMessage="true" showInputMessage="true">
      <formula1>"Aceita,Não aceito"</formula1>
    </dataValidation>
    <dataValidation type="list" sqref="Y255" allowBlank="true" errorStyle="stop" showErrorMessage="true" showInputMessage="true">
      <formula1>"Clássico,Premium"</formula1>
    </dataValidation>
    <dataValidation type="list" sqref="AA255" allowBlank="true" errorStyle="stop" showErrorMessage="true" showInputMessage="true">
      <formula1>"Ativo,Inativo"</formula1>
    </dataValidation>
    <dataValidation type="list" sqref="AB255" allowBlank="true" errorStyle="stop" showErrorMessage="true" showInputMessage="true">
      <formula1>"Garantia do vendedor,Garantia de fábrica,Sem garantia"</formula1>
    </dataValidation>
    <dataValidation type="list" sqref="AD255" allowBlank="true" errorStyle="stop" showErrorMessage="true" showInputMessage="true">
      <formula1>"dias,meses,anos"</formula1>
    </dataValidation>
    <dataValidation type="list" sqref="J256" allowBlank="true" errorStyle="stop" showErrorMessage="true" showInputMessage="true">
      <formula1>"R$"</formula1>
    </dataValidation>
    <dataValidation type="list" sqref="U256" allowBlank="true" errorStyle="stop" showErrorMessage="true" showInputMessage="true">
      <formula1>"Usado,Novo,Recondicionado"</formula1>
    </dataValidation>
    <dataValidation type="list" sqref="W256" allowBlank="true" errorStyle="stop" showErrorMessage="true" showInputMessage="true">
      <formula1>"Mercado Envios por conta do comprador,Mercado Envios grátis"</formula1>
    </dataValidation>
    <dataValidation type="list" sqref="X256" allowBlank="true" errorStyle="stop" showErrorMessage="true" showInputMessage="true">
      <formula1>"Aceita,Não aceito"</formula1>
    </dataValidation>
    <dataValidation type="list" sqref="Y256" allowBlank="true" errorStyle="stop" showErrorMessage="true" showInputMessage="true">
      <formula1>"Clássico,Premium"</formula1>
    </dataValidation>
    <dataValidation type="list" sqref="AA256" allowBlank="true" errorStyle="stop" showErrorMessage="true" showInputMessage="true">
      <formula1>"Ativo,Inativo"</formula1>
    </dataValidation>
    <dataValidation type="list" sqref="AB256" allowBlank="true" errorStyle="stop" showErrorMessage="true" showInputMessage="true">
      <formula1>"Garantia do vendedor,Garantia de fábrica,Sem garantia"</formula1>
    </dataValidation>
    <dataValidation type="list" sqref="AD256" allowBlank="true" errorStyle="stop" showErrorMessage="true" showInputMessage="true">
      <formula1>"dias,meses,anos"</formula1>
    </dataValidation>
    <dataValidation type="list" sqref="J257" allowBlank="true" errorStyle="stop" showErrorMessage="true" showInputMessage="true">
      <formula1>"R$"</formula1>
    </dataValidation>
    <dataValidation type="list" sqref="U257" allowBlank="true" errorStyle="stop" showErrorMessage="true" showInputMessage="true">
      <formula1>"Usado,Novo"</formula1>
    </dataValidation>
    <dataValidation type="list" sqref="W257" allowBlank="true" errorStyle="stop" showErrorMessage="true" showInputMessage="true">
      <formula1>"Mercado Envios por conta do comprador,Mercado Envios grátis"</formula1>
    </dataValidation>
    <dataValidation type="list" sqref="X257" allowBlank="true" errorStyle="stop" showErrorMessage="true" showInputMessage="true">
      <formula1>"Aceita,Não aceito"</formula1>
    </dataValidation>
    <dataValidation type="list" sqref="Y257" allowBlank="true" errorStyle="stop" showErrorMessage="true" showInputMessage="true">
      <formula1>"Clássico,Premium"</formula1>
    </dataValidation>
    <dataValidation type="list" sqref="AA257" allowBlank="true" errorStyle="stop" showErrorMessage="true" showInputMessage="true">
      <formula1>"Ativo,Inativo"</formula1>
    </dataValidation>
    <dataValidation type="list" sqref="AB257" allowBlank="true" errorStyle="stop" showErrorMessage="true" showInputMessage="true">
      <formula1>"Garantia do vendedor,Garantia de fábrica,Sem garantia"</formula1>
    </dataValidation>
    <dataValidation type="list" sqref="AD257" allowBlank="true" errorStyle="stop" showErrorMessage="true" showInputMessage="true">
      <formula1>"dias,meses,anos"</formula1>
    </dataValidation>
    <dataValidation type="list" sqref="J258" allowBlank="true" errorStyle="stop" showErrorMessage="true" showInputMessage="true">
      <formula1>"R$"</formula1>
    </dataValidation>
    <dataValidation type="list" sqref="U258" allowBlank="true" errorStyle="stop" showErrorMessage="true" showInputMessage="true">
      <formula1>"Usado,Novo"</formula1>
    </dataValidation>
    <dataValidation type="list" sqref="W258" allowBlank="true" errorStyle="stop" showErrorMessage="true" showInputMessage="true">
      <formula1>"Mercado Envios por conta do comprador,Mercado Envios grátis"</formula1>
    </dataValidation>
    <dataValidation type="list" sqref="X258" allowBlank="true" errorStyle="stop" showErrorMessage="true" showInputMessage="true">
      <formula1>"Aceita,Não aceito"</formula1>
    </dataValidation>
    <dataValidation type="list" sqref="Y258" allowBlank="true" errorStyle="stop" showErrorMessage="true" showInputMessage="true">
      <formula1>"Clássico,Premium"</formula1>
    </dataValidation>
    <dataValidation type="list" sqref="AA258" allowBlank="true" errorStyle="stop" showErrorMessage="true" showInputMessage="true">
      <formula1>"Ativo,Inativo"</formula1>
    </dataValidation>
    <dataValidation type="list" sqref="AB258" allowBlank="true" errorStyle="stop" showErrorMessage="true" showInputMessage="true">
      <formula1>"Garantia do vendedor,Garantia de fábrica,Sem garantia"</formula1>
    </dataValidation>
    <dataValidation type="list" sqref="AD258" allowBlank="true" errorStyle="stop" showErrorMessage="true" showInputMessage="true">
      <formula1>"dias,meses,anos"</formula1>
    </dataValidation>
    <dataValidation type="list" sqref="J259" allowBlank="true" errorStyle="stop" showErrorMessage="true" showInputMessage="true">
      <formula1>"R$"</formula1>
    </dataValidation>
    <dataValidation type="list" sqref="U259" allowBlank="true" errorStyle="stop" showErrorMessage="true" showInputMessage="true">
      <formula1>"Novo"</formula1>
    </dataValidation>
    <dataValidation type="list" sqref="W259" allowBlank="true" errorStyle="stop" showErrorMessage="true" showInputMessage="true">
      <formula1>"Mercado Envios por conta do comprador,Mercado Envios grátis"</formula1>
    </dataValidation>
    <dataValidation type="list" sqref="X259" allowBlank="true" errorStyle="stop" showErrorMessage="true" showInputMessage="true">
      <formula1>"Aceita,Não aceito"</formula1>
    </dataValidation>
    <dataValidation type="list" sqref="Y259" allowBlank="true" errorStyle="stop" showErrorMessage="true" showInputMessage="true">
      <formula1>"Clássico,Premium"</formula1>
    </dataValidation>
    <dataValidation type="list" sqref="AA259" allowBlank="true" errorStyle="stop" showErrorMessage="true" showInputMessage="true">
      <formula1>"Ativo,Inativo"</formula1>
    </dataValidation>
    <dataValidation type="list" sqref="AB259" allowBlank="true" errorStyle="stop" showErrorMessage="true" showInputMessage="true">
      <formula1>"Garantia do vendedor,Garantia de fábrica,Sem garantia"</formula1>
    </dataValidation>
    <dataValidation type="list" sqref="AD259" allowBlank="true" errorStyle="stop" showErrorMessage="true" showInputMessage="true">
      <formula1>"dias,meses,anos"</formula1>
    </dataValidation>
    <dataValidation type="list" sqref="J260" allowBlank="true" errorStyle="stop" showErrorMessage="true" showInputMessage="true">
      <formula1>"R$"</formula1>
    </dataValidation>
    <dataValidation type="list" sqref="U260" allowBlank="true" errorStyle="stop" showErrorMessage="true" showInputMessage="true">
      <formula1>"Usado,Novo"</formula1>
    </dataValidation>
    <dataValidation type="list" sqref="W260" allowBlank="true" errorStyle="stop" showErrorMessage="true" showInputMessage="true">
      <formula1>"Mercado Envios por conta do comprador,Mercado Envios grátis"</formula1>
    </dataValidation>
    <dataValidation type="list" sqref="X260" allowBlank="true" errorStyle="stop" showErrorMessage="true" showInputMessage="true">
      <formula1>"Aceita,Não aceito"</formula1>
    </dataValidation>
    <dataValidation type="list" sqref="Y260" allowBlank="true" errorStyle="stop" showErrorMessage="true" showInputMessage="true">
      <formula1>"Clássico,Premium"</formula1>
    </dataValidation>
    <dataValidation type="list" sqref="AA260" allowBlank="true" errorStyle="stop" showErrorMessage="true" showInputMessage="true">
      <formula1>"Ativo,Inativo"</formula1>
    </dataValidation>
    <dataValidation type="list" sqref="AB260" allowBlank="true" errorStyle="stop" showErrorMessage="true" showInputMessage="true">
      <formula1>"Garantia do vendedor,Garantia de fábrica,Sem garantia"</formula1>
    </dataValidation>
    <dataValidation type="list" sqref="AD260" allowBlank="true" errorStyle="stop" showErrorMessage="true" showInputMessage="true">
      <formula1>"dias,meses,anos"</formula1>
    </dataValidation>
    <dataValidation type="list" sqref="J261" allowBlank="true" errorStyle="stop" showErrorMessage="true" showInputMessage="true">
      <formula1>"R$"</formula1>
    </dataValidation>
    <dataValidation type="list" sqref="U261" allowBlank="true" errorStyle="stop" showErrorMessage="true" showInputMessage="true">
      <formula1>"Novo,Usado"</formula1>
    </dataValidation>
    <dataValidation type="list" sqref="W261" allowBlank="true" errorStyle="stop" showErrorMessage="true" showInputMessage="true">
      <formula1>"Mercado Envios por conta do comprador,Mercado Envios grátis"</formula1>
    </dataValidation>
    <dataValidation type="list" sqref="X261" allowBlank="true" errorStyle="stop" showErrorMessage="true" showInputMessage="true">
      <formula1>"Aceita,Não aceito"</formula1>
    </dataValidation>
    <dataValidation type="list" sqref="Y261" allowBlank="true" errorStyle="stop" showErrorMessage="true" showInputMessage="true">
      <formula1>"Clássico,Premium"</formula1>
    </dataValidation>
    <dataValidation type="list" sqref="AA261" allowBlank="true" errorStyle="stop" showErrorMessage="true" showInputMessage="true">
      <formula1>"Ativo,Inativo"</formula1>
    </dataValidation>
    <dataValidation type="list" sqref="AB261" allowBlank="true" errorStyle="stop" showErrorMessage="true" showInputMessage="true">
      <formula1>"Garantia do vendedor,Garantia de fábrica,Sem garantia"</formula1>
    </dataValidation>
    <dataValidation type="list" sqref="AD261" allowBlank="true" errorStyle="stop" showErrorMessage="true" showInputMessage="true">
      <formula1>"dias,meses,anos"</formula1>
    </dataValidation>
    <dataValidation type="list" sqref="J262" allowBlank="true" errorStyle="stop" showErrorMessage="true" showInputMessage="true">
      <formula1>"R$"</formula1>
    </dataValidation>
    <dataValidation type="list" sqref="U262" allowBlank="true" errorStyle="stop" showErrorMessage="true" showInputMessage="true">
      <formula1>"Novo,Usado"</formula1>
    </dataValidation>
    <dataValidation type="list" sqref="W262" allowBlank="true" errorStyle="stop" showErrorMessage="true" showInputMessage="true">
      <formula1>"Mercado Envios por conta do comprador,Mercado Envios grátis"</formula1>
    </dataValidation>
    <dataValidation type="list" sqref="X262" allowBlank="true" errorStyle="stop" showErrorMessage="true" showInputMessage="true">
      <formula1>"Aceita,Não aceito"</formula1>
    </dataValidation>
    <dataValidation type="list" sqref="Y262" allowBlank="true" errorStyle="stop" showErrorMessage="true" showInputMessage="true">
      <formula1>"Clássico,Premium"</formula1>
    </dataValidation>
    <dataValidation type="list" sqref="AA262" allowBlank="true" errorStyle="stop" showErrorMessage="true" showInputMessage="true">
      <formula1>"Ativo,Inativo"</formula1>
    </dataValidation>
    <dataValidation type="list" sqref="AB262" allowBlank="true" errorStyle="stop" showErrorMessage="true" showInputMessage="true">
      <formula1>"Garantia do vendedor,Garantia de fábrica,Sem garantia"</formula1>
    </dataValidation>
    <dataValidation type="list" sqref="AD262" allowBlank="true" errorStyle="stop" showErrorMessage="true" showInputMessage="true">
      <formula1>"dias,meses,anos"</formula1>
    </dataValidation>
    <dataValidation type="list" sqref="J263" allowBlank="true" errorStyle="stop" showErrorMessage="true" showInputMessage="true">
      <formula1>"R$"</formula1>
    </dataValidation>
    <dataValidation type="list" sqref="U263" allowBlank="true" errorStyle="stop" showErrorMessage="true" showInputMessage="true">
      <formula1>"Usado,Novo"</formula1>
    </dataValidation>
    <dataValidation type="list" sqref="W263" allowBlank="true" errorStyle="stop" showErrorMessage="true" showInputMessage="true">
      <formula1>"Mercado Envios por conta do comprador,Mercado Envios grátis"</formula1>
    </dataValidation>
    <dataValidation type="list" sqref="X263" allowBlank="true" errorStyle="stop" showErrorMessage="true" showInputMessage="true">
      <formula1>"Aceita,Não aceito"</formula1>
    </dataValidation>
    <dataValidation type="list" sqref="Y263" allowBlank="true" errorStyle="stop" showErrorMessage="true" showInputMessage="true">
      <formula1>"Clássico,Premium"</formula1>
    </dataValidation>
    <dataValidation type="list" sqref="AA263" allowBlank="true" errorStyle="stop" showErrorMessage="true" showInputMessage="true">
      <formula1>"Ativo,Inativo"</formula1>
    </dataValidation>
    <dataValidation type="list" sqref="AB263" allowBlank="true" errorStyle="stop" showErrorMessage="true" showInputMessage="true">
      <formula1>"Garantia do vendedor,Garantia de fábrica,Sem garantia"</formula1>
    </dataValidation>
    <dataValidation type="list" sqref="AD263" allowBlank="true" errorStyle="stop" showErrorMessage="true" showInputMessage="true">
      <formula1>"dias,meses,anos"</formula1>
    </dataValidation>
    <dataValidation type="list" sqref="J264" allowBlank="true" errorStyle="stop" showErrorMessage="true" showInputMessage="true">
      <formula1>"R$"</formula1>
    </dataValidation>
    <dataValidation type="list" sqref="U264" allowBlank="true" errorStyle="stop" showErrorMessage="true" showInputMessage="true">
      <formula1>"Usado,Novo"</formula1>
    </dataValidation>
    <dataValidation type="list" sqref="W264" allowBlank="true" errorStyle="stop" showErrorMessage="true" showInputMessage="true">
      <formula1>"Mercado Envios por conta do comprador,Mercado Envios grátis"</formula1>
    </dataValidation>
    <dataValidation type="list" sqref="X264" allowBlank="true" errorStyle="stop" showErrorMessage="true" showInputMessage="true">
      <formula1>"Aceita,Não aceito"</formula1>
    </dataValidation>
    <dataValidation type="list" sqref="Y264" allowBlank="true" errorStyle="stop" showErrorMessage="true" showInputMessage="true">
      <formula1>"Clássico,Premium"</formula1>
    </dataValidation>
    <dataValidation type="list" sqref="AA264" allowBlank="true" errorStyle="stop" showErrorMessage="true" showInputMessage="true">
      <formula1>"Ativo,Inativo"</formula1>
    </dataValidation>
    <dataValidation type="list" sqref="AB264" allowBlank="true" errorStyle="stop" showErrorMessage="true" showInputMessage="true">
      <formula1>"Garantia do vendedor,Garantia de fábrica,Sem garantia"</formula1>
    </dataValidation>
    <dataValidation type="list" sqref="AD264" allowBlank="true" errorStyle="stop" showErrorMessage="true" showInputMessage="true">
      <formula1>"dias,meses,anos"</formula1>
    </dataValidation>
    <dataValidation type="list" sqref="J265" allowBlank="true" errorStyle="stop" showErrorMessage="true" showInputMessage="true">
      <formula1>"R$"</formula1>
    </dataValidation>
    <dataValidation type="list" sqref="U265" allowBlank="true" errorStyle="stop" showErrorMessage="true" showInputMessage="true">
      <formula1>"Usado,Novo"</formula1>
    </dataValidation>
    <dataValidation type="list" sqref="W265" allowBlank="true" errorStyle="stop" showErrorMessage="true" showInputMessage="true">
      <formula1>"Mercado Envios por conta do comprador,Mercado Envios grátis"</formula1>
    </dataValidation>
    <dataValidation type="list" sqref="X265" allowBlank="true" errorStyle="stop" showErrorMessage="true" showInputMessage="true">
      <formula1>"Aceita,Não aceito"</formula1>
    </dataValidation>
    <dataValidation type="list" sqref="Y265" allowBlank="true" errorStyle="stop" showErrorMessage="true" showInputMessage="true">
      <formula1>"Clássico,Premium"</formula1>
    </dataValidation>
    <dataValidation type="list" sqref="AA265" allowBlank="true" errorStyle="stop" showErrorMessage="true" showInputMessage="true">
      <formula1>"Ativo,Inativo"</formula1>
    </dataValidation>
    <dataValidation type="list" sqref="AB265" allowBlank="true" errorStyle="stop" showErrorMessage="true" showInputMessage="true">
      <formula1>"Garantia do vendedor,Garantia de fábrica,Sem garantia"</formula1>
    </dataValidation>
    <dataValidation type="list" sqref="AD265" allowBlank="true" errorStyle="stop" showErrorMessage="true" showInputMessage="true">
      <formula1>"dias,meses,anos"</formula1>
    </dataValidation>
    <dataValidation type="list" sqref="J266" allowBlank="true" errorStyle="stop" showErrorMessage="true" showInputMessage="true">
      <formula1>"R$"</formula1>
    </dataValidation>
    <dataValidation type="list" sqref="U266" allowBlank="true" errorStyle="stop" showErrorMessage="true" showInputMessage="true">
      <formula1>"Novo,Usado"</formula1>
    </dataValidation>
    <dataValidation type="list" sqref="W266" allowBlank="true" errorStyle="stop" showErrorMessage="true" showInputMessage="true">
      <formula1>"Mercado Envios por conta do comprador,Mercado Envios grátis"</formula1>
    </dataValidation>
    <dataValidation type="list" sqref="X266" allowBlank="true" errorStyle="stop" showErrorMessage="true" showInputMessage="true">
      <formula1>"Aceita,Não aceito"</formula1>
    </dataValidation>
    <dataValidation type="list" sqref="Y266" allowBlank="true" errorStyle="stop" showErrorMessage="true" showInputMessage="true">
      <formula1>"Clássico,Premium"</formula1>
    </dataValidation>
    <dataValidation type="list" sqref="AA266" allowBlank="true" errorStyle="stop" showErrorMessage="true" showInputMessage="true">
      <formula1>"Ativo,Inativo"</formula1>
    </dataValidation>
    <dataValidation type="list" sqref="AB266" allowBlank="true" errorStyle="stop" showErrorMessage="true" showInputMessage="true">
      <formula1>"Garantia do vendedor,Garantia de fábrica,Sem garantia"</formula1>
    </dataValidation>
    <dataValidation type="list" sqref="AD266" allowBlank="true" errorStyle="stop" showErrorMessage="true" showInputMessage="true">
      <formula1>"dias,meses,anos"</formula1>
    </dataValidation>
    <dataValidation type="list" sqref="J267" allowBlank="true" errorStyle="stop" showErrorMessage="true" showInputMessage="true">
      <formula1>"R$"</formula1>
    </dataValidation>
    <dataValidation type="list" sqref="U267" allowBlank="true" errorStyle="stop" showErrorMessage="true" showInputMessage="true">
      <formula1>"Novo,Usado"</formula1>
    </dataValidation>
    <dataValidation type="list" sqref="W267" allowBlank="true" errorStyle="stop" showErrorMessage="true" showInputMessage="true">
      <formula1>"Mercado Envios por conta do comprador,Mercado Envios grátis"</formula1>
    </dataValidation>
    <dataValidation type="list" sqref="X267" allowBlank="true" errorStyle="stop" showErrorMessage="true" showInputMessage="true">
      <formula1>"Aceita,Não aceito"</formula1>
    </dataValidation>
    <dataValidation type="list" sqref="Y267" allowBlank="true" errorStyle="stop" showErrorMessage="true" showInputMessage="true">
      <formula1>"Clássico,Premium"</formula1>
    </dataValidation>
    <dataValidation type="list" sqref="AA267" allowBlank="true" errorStyle="stop" showErrorMessage="true" showInputMessage="true">
      <formula1>"Ativo,Inativo"</formula1>
    </dataValidation>
    <dataValidation type="list" sqref="AB267" allowBlank="true" errorStyle="stop" showErrorMessage="true" showInputMessage="true">
      <formula1>"Garantia do vendedor,Garantia de fábrica,Sem garantia"</formula1>
    </dataValidation>
    <dataValidation type="list" sqref="AD267" allowBlank="true" errorStyle="stop" showErrorMessage="true" showInputMessage="true">
      <formula1>"dias,meses,anos"</formula1>
    </dataValidation>
    <dataValidation type="list" sqref="J268" allowBlank="true" errorStyle="stop" showErrorMessage="true" showInputMessage="true">
      <formula1>"R$"</formula1>
    </dataValidation>
    <dataValidation type="list" sqref="U268" allowBlank="true" errorStyle="stop" showErrorMessage="true" showInputMessage="true">
      <formula1>"Usado,Novo"</formula1>
    </dataValidation>
    <dataValidation type="list" sqref="W268" allowBlank="true" errorStyle="stop" showErrorMessage="true" showInputMessage="true">
      <formula1>"Mercado Envios por conta do comprador,Mercado Envios grátis"</formula1>
    </dataValidation>
    <dataValidation type="list" sqref="X268" allowBlank="true" errorStyle="stop" showErrorMessage="true" showInputMessage="true">
      <formula1>"Aceita,Não aceito"</formula1>
    </dataValidation>
    <dataValidation type="list" sqref="Y268" allowBlank="true" errorStyle="stop" showErrorMessage="true" showInputMessage="true">
      <formula1>"Clássico,Premium"</formula1>
    </dataValidation>
    <dataValidation type="list" sqref="AA268" allowBlank="true" errorStyle="stop" showErrorMessage="true" showInputMessage="true">
      <formula1>"Ativo,Inativo"</formula1>
    </dataValidation>
    <dataValidation type="list" sqref="AB268" allowBlank="true" errorStyle="stop" showErrorMessage="true" showInputMessage="true">
      <formula1>"Garantia do vendedor,Garantia de fábrica,Sem garantia"</formula1>
    </dataValidation>
    <dataValidation type="list" sqref="AD268" allowBlank="true" errorStyle="stop" showErrorMessage="true" showInputMessage="true">
      <formula1>"dias,meses,anos"</formula1>
    </dataValidation>
    <dataValidation type="list" sqref="J269" allowBlank="true" errorStyle="stop" showErrorMessage="true" showInputMessage="true">
      <formula1>"R$"</formula1>
    </dataValidation>
    <dataValidation type="list" sqref="W269" allowBlank="true" errorStyle="stop" showErrorMessage="true" showInputMessage="true">
      <formula1>"Mercado Envios por conta do comprador,Mercado Envios grátis"</formula1>
    </dataValidation>
    <dataValidation type="list" sqref="X269" allowBlank="true" errorStyle="stop" showErrorMessage="true" showInputMessage="true">
      <formula1>"Aceita,Não aceito"</formula1>
    </dataValidation>
    <dataValidation type="list" sqref="Y269" allowBlank="true" errorStyle="stop" showErrorMessage="true" showInputMessage="true">
      <formula1>"Clássico,Premium"</formula1>
    </dataValidation>
    <dataValidation type="list" sqref="AA269" allowBlank="true" errorStyle="stop" showErrorMessage="true" showInputMessage="true">
      <formula1>"Ativo,Inativo"</formula1>
    </dataValidation>
    <dataValidation type="list" sqref="AB269" allowBlank="true" errorStyle="stop" showErrorMessage="true" showInputMessage="true">
      <formula1>"Garantia do vendedor,Garantia de fábrica,Sem garantia"</formula1>
    </dataValidation>
    <dataValidation type="list" sqref="AD269" allowBlank="true" errorStyle="stop" showErrorMessage="true" showInputMessage="true">
      <formula1>"dias,meses,anos"</formula1>
    </dataValidation>
    <dataValidation type="list" sqref="J270" allowBlank="true" errorStyle="stop" showErrorMessage="true" showInputMessage="true">
      <formula1>"R$"</formula1>
    </dataValidation>
    <dataValidation type="list" sqref="U270" allowBlank="true" errorStyle="stop" showErrorMessage="true" showInputMessage="true">
      <formula1>"Novo,Usado"</formula1>
    </dataValidation>
    <dataValidation type="list" sqref="W270" allowBlank="true" errorStyle="stop" showErrorMessage="true" showInputMessage="true">
      <formula1>"Mercado Envios por conta do comprador,Mercado Envios grátis"</formula1>
    </dataValidation>
    <dataValidation type="list" sqref="X270" allowBlank="true" errorStyle="stop" showErrorMessage="true" showInputMessage="true">
      <formula1>"Aceita,Não aceito"</formula1>
    </dataValidation>
    <dataValidation type="list" sqref="Y270" allowBlank="true" errorStyle="stop" showErrorMessage="true" showInputMessage="true">
      <formula1>"Clássico,Premium"</formula1>
    </dataValidation>
    <dataValidation type="list" sqref="AA270" allowBlank="true" errorStyle="stop" showErrorMessage="true" showInputMessage="true">
      <formula1>"Ativo,Inativo"</formula1>
    </dataValidation>
    <dataValidation type="list" sqref="AB270" allowBlank="true" errorStyle="stop" showErrorMessage="true" showInputMessage="true">
      <formula1>"Garantia do vendedor,Garantia de fábrica,Sem garantia"</formula1>
    </dataValidation>
    <dataValidation type="list" sqref="AD270" allowBlank="true" errorStyle="stop" showErrorMessage="true" showInputMessage="true">
      <formula1>"dias,meses,anos"</formula1>
    </dataValidation>
    <dataValidation type="list" sqref="J271" allowBlank="true" errorStyle="stop" showErrorMessage="true" showInputMessage="true">
      <formula1>"R$"</formula1>
    </dataValidation>
    <dataValidation type="list" sqref="U271" allowBlank="true" errorStyle="stop" showErrorMessage="true" showInputMessage="true">
      <formula1>"Novo,Usado"</formula1>
    </dataValidation>
    <dataValidation type="list" sqref="W271" allowBlank="true" errorStyle="stop" showErrorMessage="true" showInputMessage="true">
      <formula1>"Mercado Envios por conta do comprador,Mercado Envios grátis"</formula1>
    </dataValidation>
    <dataValidation type="list" sqref="X271" allowBlank="true" errorStyle="stop" showErrorMessage="true" showInputMessage="true">
      <formula1>"Aceita,Não aceito"</formula1>
    </dataValidation>
    <dataValidation type="list" sqref="Y271" allowBlank="true" errorStyle="stop" showErrorMessage="true" showInputMessage="true">
      <formula1>"Clássico,Premium"</formula1>
    </dataValidation>
    <dataValidation type="list" sqref="AA271" allowBlank="true" errorStyle="stop" showErrorMessage="true" showInputMessage="true">
      <formula1>"Ativo,Inativo"</formula1>
    </dataValidation>
    <dataValidation type="list" sqref="AB271" allowBlank="true" errorStyle="stop" showErrorMessage="true" showInputMessage="true">
      <formula1>"Garantia do vendedor,Garantia de fábrica,Sem garantia"</formula1>
    </dataValidation>
    <dataValidation type="list" sqref="AD271" allowBlank="true" errorStyle="stop" showErrorMessage="true" showInputMessage="true">
      <formula1>"dias,meses,anos"</formula1>
    </dataValidation>
    <dataValidation type="list" sqref="J272" allowBlank="true" errorStyle="stop" showErrorMessage="true" showInputMessage="true">
      <formula1>"R$"</formula1>
    </dataValidation>
    <dataValidation type="list" sqref="U272" allowBlank="true" errorStyle="stop" showErrorMessage="true" showInputMessage="true">
      <formula1>"Novo,Usado,Recondicionado"</formula1>
    </dataValidation>
    <dataValidation type="list" sqref="W272" allowBlank="true" errorStyle="stop" showErrorMessage="true" showInputMessage="true">
      <formula1>"Mercado Envios por conta do comprador,Mercado Envios grátis"</formula1>
    </dataValidation>
    <dataValidation type="list" sqref="X272" allowBlank="true" errorStyle="stop" showErrorMessage="true" showInputMessage="true">
      <formula1>"Aceita,Não aceito"</formula1>
    </dataValidation>
    <dataValidation type="list" sqref="Y272" allowBlank="true" errorStyle="stop" showErrorMessage="true" showInputMessage="true">
      <formula1>"Clássico,Premium"</formula1>
    </dataValidation>
    <dataValidation type="list" sqref="AA272" allowBlank="true" errorStyle="stop" showErrorMessage="true" showInputMessage="true">
      <formula1>"Ativo,Inativo"</formula1>
    </dataValidation>
    <dataValidation type="list" sqref="AB272" allowBlank="true" errorStyle="stop" showErrorMessage="true" showInputMessage="true">
      <formula1>"Garantia do vendedor,Garantia de fábrica,Sem garantia"</formula1>
    </dataValidation>
    <dataValidation type="list" sqref="AD272" allowBlank="true" errorStyle="stop" showErrorMessage="true" showInputMessage="true">
      <formula1>"dias,meses,anos"</formula1>
    </dataValidation>
    <dataValidation type="list" sqref="J273" allowBlank="true" errorStyle="stop" showErrorMessage="true" showInputMessage="true">
      <formula1>"R$"</formula1>
    </dataValidation>
    <dataValidation type="list" sqref="U273" allowBlank="true" errorStyle="stop" showErrorMessage="true" showInputMessage="true">
      <formula1>"Novo,Usado"</formula1>
    </dataValidation>
    <dataValidation type="list" sqref="W273" allowBlank="true" errorStyle="stop" showErrorMessage="true" showInputMessage="true">
      <formula1>"Mercado Envios por conta do comprador,Mercado Envios grátis"</formula1>
    </dataValidation>
    <dataValidation type="list" sqref="X273" allowBlank="true" errorStyle="stop" showErrorMessage="true" showInputMessage="true">
      <formula1>"Aceita,Não aceito"</formula1>
    </dataValidation>
    <dataValidation type="list" sqref="Y273" allowBlank="true" errorStyle="stop" showErrorMessage="true" showInputMessage="true">
      <formula1>"Clássico,Premium"</formula1>
    </dataValidation>
    <dataValidation type="list" sqref="AA273" allowBlank="true" errorStyle="stop" showErrorMessage="true" showInputMessage="true">
      <formula1>"Ativo,Inativo"</formula1>
    </dataValidation>
    <dataValidation type="list" sqref="AB273" allowBlank="true" errorStyle="stop" showErrorMessage="true" showInputMessage="true">
      <formula1>"Garantia do vendedor,Garantia de fábrica,Sem garantia"</formula1>
    </dataValidation>
    <dataValidation type="list" sqref="AD273" allowBlank="true" errorStyle="stop" showErrorMessage="true" showInputMessage="true">
      <formula1>"dias,meses,anos"</formula1>
    </dataValidation>
    <dataValidation type="list" sqref="J274" allowBlank="true" errorStyle="stop" showErrorMessage="true" showInputMessage="true">
      <formula1>"R$"</formula1>
    </dataValidation>
    <dataValidation type="list" sqref="U274" allowBlank="true" errorStyle="stop" showErrorMessage="true" showInputMessage="true">
      <formula1>"Usado,Novo"</formula1>
    </dataValidation>
    <dataValidation type="list" sqref="W274" allowBlank="true" errorStyle="stop" showErrorMessage="true" showInputMessage="true">
      <formula1>"Mercado Envios por conta do comprador,Mercado Envios grátis"</formula1>
    </dataValidation>
    <dataValidation type="list" sqref="X274" allowBlank="true" errorStyle="stop" showErrorMessage="true" showInputMessage="true">
      <formula1>"Aceita,Não aceito"</formula1>
    </dataValidation>
    <dataValidation type="list" sqref="Y274" allowBlank="true" errorStyle="stop" showErrorMessage="true" showInputMessage="true">
      <formula1>"Clássico,Premium"</formula1>
    </dataValidation>
    <dataValidation type="list" sqref="AA274" allowBlank="true" errorStyle="stop" showErrorMessage="true" showInputMessage="true">
      <formula1>"Ativo,Inativo"</formula1>
    </dataValidation>
    <dataValidation type="list" sqref="AB274" allowBlank="true" errorStyle="stop" showErrorMessage="true" showInputMessage="true">
      <formula1>"Garantia do vendedor,Garantia de fábrica,Sem garantia"</formula1>
    </dataValidation>
    <dataValidation type="list" sqref="AD274" allowBlank="true" errorStyle="stop" showErrorMessage="true" showInputMessage="true">
      <formula1>"dias,meses,anos"</formula1>
    </dataValidation>
    <dataValidation type="list" sqref="J275" allowBlank="true" errorStyle="stop" showErrorMessage="true" showInputMessage="true">
      <formula1>"R$"</formula1>
    </dataValidation>
    <dataValidation type="list" sqref="U275" allowBlank="true" errorStyle="stop" showErrorMessage="true" showInputMessage="true">
      <formula1>"Usado,Novo,Recondicionado"</formula1>
    </dataValidation>
    <dataValidation type="list" sqref="W275" allowBlank="true" errorStyle="stop" showErrorMessage="true" showInputMessage="true">
      <formula1>"Mercado Envios por conta do comprador,Mercado Envios grátis"</formula1>
    </dataValidation>
    <dataValidation type="list" sqref="X275" allowBlank="true" errorStyle="stop" showErrorMessage="true" showInputMessage="true">
      <formula1>"Aceita,Não aceito"</formula1>
    </dataValidation>
    <dataValidation type="list" sqref="Y275" allowBlank="true" errorStyle="stop" showErrorMessage="true" showInputMessage="true">
      <formula1>"Clássico,Premium"</formula1>
    </dataValidation>
    <dataValidation type="list" sqref="AA275" allowBlank="true" errorStyle="stop" showErrorMessage="true" showInputMessage="true">
      <formula1>"Ativo,Inativo"</formula1>
    </dataValidation>
    <dataValidation type="list" sqref="AB275" allowBlank="true" errorStyle="stop" showErrorMessage="true" showInputMessage="true">
      <formula1>"Garantia do vendedor,Garantia de fábrica,Sem garantia"</formula1>
    </dataValidation>
    <dataValidation type="list" sqref="AD275" allowBlank="true" errorStyle="stop" showErrorMessage="true" showInputMessage="true">
      <formula1>"dias,meses,anos"</formula1>
    </dataValidation>
    <dataValidation type="list" sqref="J276" allowBlank="true" errorStyle="stop" showErrorMessage="true" showInputMessage="true">
      <formula1>"R$"</formula1>
    </dataValidation>
    <dataValidation type="list" sqref="U276" allowBlank="true" errorStyle="stop" showErrorMessage="true" showInputMessage="true">
      <formula1>"Novo,Usado"</formula1>
    </dataValidation>
    <dataValidation type="list" sqref="W276" allowBlank="true" errorStyle="stop" showErrorMessage="true" showInputMessage="true">
      <formula1>"Mercado Envios por conta do comprador,Mercado Envios grátis"</formula1>
    </dataValidation>
    <dataValidation type="list" sqref="X276" allowBlank="true" errorStyle="stop" showErrorMessage="true" showInputMessage="true">
      <formula1>"Aceita,Não aceito"</formula1>
    </dataValidation>
    <dataValidation type="list" sqref="Y276" allowBlank="true" errorStyle="stop" showErrorMessage="true" showInputMessage="true">
      <formula1>"Clássico,Premium"</formula1>
    </dataValidation>
    <dataValidation type="list" sqref="AA276" allowBlank="true" errorStyle="stop" showErrorMessage="true" showInputMessage="true">
      <formula1>"Ativo,Inativo"</formula1>
    </dataValidation>
    <dataValidation type="list" sqref="AB276" allowBlank="true" errorStyle="stop" showErrorMessage="true" showInputMessage="true">
      <formula1>"Garantia do vendedor,Garantia de fábrica,Sem garantia"</formula1>
    </dataValidation>
    <dataValidation type="list" sqref="AD276" allowBlank="true" errorStyle="stop" showErrorMessage="true" showInputMessage="true">
      <formula1>"dias,meses,anos"</formula1>
    </dataValidation>
    <dataValidation type="list" sqref="J277" allowBlank="true" errorStyle="stop" showErrorMessage="true" showInputMessage="true">
      <formula1>"R$"</formula1>
    </dataValidation>
    <dataValidation type="list" sqref="U277" allowBlank="true" errorStyle="stop" showErrorMessage="true" showInputMessage="true">
      <formula1>"Usado,Novo"</formula1>
    </dataValidation>
    <dataValidation type="list" sqref="W277" allowBlank="true" errorStyle="stop" showErrorMessage="true" showInputMessage="true">
      <formula1>"Mercado Envios por conta do comprador,Mercado Envios grátis"</formula1>
    </dataValidation>
    <dataValidation type="list" sqref="X277" allowBlank="true" errorStyle="stop" showErrorMessage="true" showInputMessage="true">
      <formula1>"Aceita,Não aceito"</formula1>
    </dataValidation>
    <dataValidation type="list" sqref="Y277" allowBlank="true" errorStyle="stop" showErrorMessage="true" showInputMessage="true">
      <formula1>"Clássico,Premium"</formula1>
    </dataValidation>
    <dataValidation type="list" sqref="AA277" allowBlank="true" errorStyle="stop" showErrorMessage="true" showInputMessage="true">
      <formula1>"Ativo,Inativo"</formula1>
    </dataValidation>
    <dataValidation type="list" sqref="AB277" allowBlank="true" errorStyle="stop" showErrorMessage="true" showInputMessage="true">
      <formula1>"Garantia do vendedor,Garantia de fábrica,Sem garantia"</formula1>
    </dataValidation>
    <dataValidation type="list" sqref="AD277" allowBlank="true" errorStyle="stop" showErrorMessage="true" showInputMessage="true">
      <formula1>"dias,meses,anos"</formula1>
    </dataValidation>
    <dataValidation type="list" sqref="J278" allowBlank="true" errorStyle="stop" showErrorMessage="true" showInputMessage="true">
      <formula1>"R$"</formula1>
    </dataValidation>
    <dataValidation type="list" sqref="U278" allowBlank="true" errorStyle="stop" showErrorMessage="true" showInputMessage="true">
      <formula1>"Usado,Novo"</formula1>
    </dataValidation>
    <dataValidation type="list" sqref="W278" allowBlank="true" errorStyle="stop" showErrorMessage="true" showInputMessage="true">
      <formula1>"Mercado Envios por conta do comprador,Mercado Envios grátis"</formula1>
    </dataValidation>
    <dataValidation type="list" sqref="X278" allowBlank="true" errorStyle="stop" showErrorMessage="true" showInputMessage="true">
      <formula1>"Aceita,Não aceito"</formula1>
    </dataValidation>
    <dataValidation type="list" sqref="Y278" allowBlank="true" errorStyle="stop" showErrorMessage="true" showInputMessage="true">
      <formula1>"Clássico,Premium"</formula1>
    </dataValidation>
    <dataValidation type="list" sqref="AA278" allowBlank="true" errorStyle="stop" showErrorMessage="true" showInputMessage="true">
      <formula1>"Ativo,Inativo"</formula1>
    </dataValidation>
    <dataValidation type="list" sqref="AB278" allowBlank="true" errorStyle="stop" showErrorMessage="true" showInputMessage="true">
      <formula1>"Garantia do vendedor,Garantia de fábrica,Sem garantia"</formula1>
    </dataValidation>
    <dataValidation type="list" sqref="AD278" allowBlank="true" errorStyle="stop" showErrorMessage="true" showInputMessage="true">
      <formula1>"dias,meses,anos"</formula1>
    </dataValidation>
    <dataValidation type="list" sqref="J279" allowBlank="true" errorStyle="stop" showErrorMessage="true" showInputMessage="true">
      <formula1>"R$"</formula1>
    </dataValidation>
    <dataValidation type="list" sqref="U279" allowBlank="true" errorStyle="stop" showErrorMessage="true" showInputMessage="true">
      <formula1>"Usado,Novo,Recondicionado"</formula1>
    </dataValidation>
    <dataValidation type="list" sqref="W279" allowBlank="true" errorStyle="stop" showErrorMessage="true" showInputMessage="true">
      <formula1>"Mercado Envios por conta do comprador,Mercado Envios grátis"</formula1>
    </dataValidation>
    <dataValidation type="list" sqref="X279" allowBlank="true" errorStyle="stop" showErrorMessage="true" showInputMessage="true">
      <formula1>"Aceita,Não aceito"</formula1>
    </dataValidation>
    <dataValidation type="list" sqref="Y279" allowBlank="true" errorStyle="stop" showErrorMessage="true" showInputMessage="true">
      <formula1>"Clássico,Premium"</formula1>
    </dataValidation>
    <dataValidation type="list" sqref="AA279" allowBlank="true" errorStyle="stop" showErrorMessage="true" showInputMessage="true">
      <formula1>"Ativo,Inativo"</formula1>
    </dataValidation>
    <dataValidation type="list" sqref="AB279" allowBlank="true" errorStyle="stop" showErrorMessage="true" showInputMessage="true">
      <formula1>"Garantia do vendedor,Garantia de fábrica,Sem garantia"</formula1>
    </dataValidation>
    <dataValidation type="list" sqref="AD279" allowBlank="true" errorStyle="stop" showErrorMessage="true" showInputMessage="true">
      <formula1>"dias,meses,anos"</formula1>
    </dataValidation>
    <dataValidation type="list" sqref="J280" allowBlank="true" errorStyle="stop" showErrorMessage="true" showInputMessage="true">
      <formula1>"R$"</formula1>
    </dataValidation>
    <dataValidation type="list" sqref="U280" allowBlank="true" errorStyle="stop" showErrorMessage="true" showInputMessage="true">
      <formula1>"Usado,Novo,Recondicionado"</formula1>
    </dataValidation>
    <dataValidation type="list" sqref="W280" allowBlank="true" errorStyle="stop" showErrorMessage="true" showInputMessage="true">
      <formula1>"Mercado Envios por conta do comprador,Mercado Envios grátis"</formula1>
    </dataValidation>
    <dataValidation type="list" sqref="X280" allowBlank="true" errorStyle="stop" showErrorMessage="true" showInputMessage="true">
      <formula1>"Aceita,Não aceito"</formula1>
    </dataValidation>
    <dataValidation type="list" sqref="Y280" allowBlank="true" errorStyle="stop" showErrorMessage="true" showInputMessage="true">
      <formula1>"Clássico,Premium"</formula1>
    </dataValidation>
    <dataValidation type="list" sqref="AA280" allowBlank="true" errorStyle="stop" showErrorMessage="true" showInputMessage="true">
      <formula1>"Ativo,Inativo"</formula1>
    </dataValidation>
    <dataValidation type="list" sqref="AB280" allowBlank="true" errorStyle="stop" showErrorMessage="true" showInputMessage="true">
      <formula1>"Garantia do vendedor,Garantia de fábrica,Sem garantia"</formula1>
    </dataValidation>
    <dataValidation type="list" sqref="AD280" allowBlank="true" errorStyle="stop" showErrorMessage="true" showInputMessage="true">
      <formula1>"dias,meses,anos"</formula1>
    </dataValidation>
    <dataValidation type="list" sqref="J281" allowBlank="true" errorStyle="stop" showErrorMessage="true" showInputMessage="true">
      <formula1>"R$"</formula1>
    </dataValidation>
    <dataValidation type="list" sqref="U281" allowBlank="true" errorStyle="stop" showErrorMessage="true" showInputMessage="true">
      <formula1>"Novo,Usado"</formula1>
    </dataValidation>
    <dataValidation type="list" sqref="W281" allowBlank="true" errorStyle="stop" showErrorMessage="true" showInputMessage="true">
      <formula1>"Mercado Envios por conta do comprador,Mercado Envios grátis"</formula1>
    </dataValidation>
    <dataValidation type="list" sqref="X281" allowBlank="true" errorStyle="stop" showErrorMessage="true" showInputMessage="true">
      <formula1>"Aceita,Não aceito"</formula1>
    </dataValidation>
    <dataValidation type="list" sqref="Y281" allowBlank="true" errorStyle="stop" showErrorMessage="true" showInputMessage="true">
      <formula1>"Clássico,Premium"</formula1>
    </dataValidation>
    <dataValidation type="list" sqref="AA281" allowBlank="true" errorStyle="stop" showErrorMessage="true" showInputMessage="true">
      <formula1>"Ativo,Inativo"</formula1>
    </dataValidation>
    <dataValidation type="list" sqref="AB281" allowBlank="true" errorStyle="stop" showErrorMessage="true" showInputMessage="true">
      <formula1>"Garantia do vendedor,Garantia de fábrica,Sem garantia"</formula1>
    </dataValidation>
    <dataValidation type="list" sqref="AD281" allowBlank="true" errorStyle="stop" showErrorMessage="true" showInputMessage="true">
      <formula1>"dias,meses,anos"</formula1>
    </dataValidation>
    <dataValidation type="list" sqref="J282" allowBlank="true" errorStyle="stop" showErrorMessage="true" showInputMessage="true">
      <formula1>"R$"</formula1>
    </dataValidation>
    <dataValidation type="list" sqref="U282" allowBlank="true" errorStyle="stop" showErrorMessage="true" showInputMessage="true">
      <formula1>"Usado,Novo"</formula1>
    </dataValidation>
    <dataValidation type="list" sqref="W282" allowBlank="true" errorStyle="stop" showErrorMessage="true" showInputMessage="true">
      <formula1>"Mercado Envios por conta do comprador,Mercado Envios grátis"</formula1>
    </dataValidation>
    <dataValidation type="list" sqref="X282" allowBlank="true" errorStyle="stop" showErrorMessage="true" showInputMessage="true">
      <formula1>"Aceita,Não aceito"</formula1>
    </dataValidation>
    <dataValidation type="list" sqref="Y282" allowBlank="true" errorStyle="stop" showErrorMessage="true" showInputMessage="true">
      <formula1>"Clássico,Premium"</formula1>
    </dataValidation>
    <dataValidation type="list" sqref="AA282" allowBlank="true" errorStyle="stop" showErrorMessage="true" showInputMessage="true">
      <formula1>"Ativo,Inativo"</formula1>
    </dataValidation>
    <dataValidation type="list" sqref="AB282" allowBlank="true" errorStyle="stop" showErrorMessage="true" showInputMessage="true">
      <formula1>"Garantia do vendedor,Garantia de fábrica,Sem garantia"</formula1>
    </dataValidation>
    <dataValidation type="list" sqref="AD282" allowBlank="true" errorStyle="stop" showErrorMessage="true" showInputMessage="true">
      <formula1>"dias,meses,anos"</formula1>
    </dataValidation>
    <dataValidation type="list" sqref="J283" allowBlank="true" errorStyle="stop" showErrorMessage="true" showInputMessage="true">
      <formula1>"R$"</formula1>
    </dataValidation>
    <dataValidation type="list" sqref="U283" allowBlank="true" errorStyle="stop" showErrorMessage="true" showInputMessage="true">
      <formula1>"Usado,Novo"</formula1>
    </dataValidation>
    <dataValidation type="list" sqref="W283" allowBlank="true" errorStyle="stop" showErrorMessage="true" showInputMessage="true">
      <formula1>"Mercado Envios por conta do comprador,Mercado Envios grátis"</formula1>
    </dataValidation>
    <dataValidation type="list" sqref="X283" allowBlank="true" errorStyle="stop" showErrorMessage="true" showInputMessage="true">
      <formula1>"Aceita,Não aceito"</formula1>
    </dataValidation>
    <dataValidation type="list" sqref="Y283" allowBlank="true" errorStyle="stop" showErrorMessage="true" showInputMessage="true">
      <formula1>"Clássico,Premium"</formula1>
    </dataValidation>
    <dataValidation type="list" sqref="AA283" allowBlank="true" errorStyle="stop" showErrorMessage="true" showInputMessage="true">
      <formula1>"Ativo,Inativo"</formula1>
    </dataValidation>
    <dataValidation type="list" sqref="AB283" allowBlank="true" errorStyle="stop" showErrorMessage="true" showInputMessage="true">
      <formula1>"Garantia do vendedor,Garantia de fábrica,Sem garantia"</formula1>
    </dataValidation>
    <dataValidation type="list" sqref="AD283" allowBlank="true" errorStyle="stop" showErrorMessage="true" showInputMessage="true">
      <formula1>"dias,meses,anos"</formula1>
    </dataValidation>
    <dataValidation type="list" sqref="J284" allowBlank="true" errorStyle="stop" showErrorMessage="true" showInputMessage="true">
      <formula1>"R$"</formula1>
    </dataValidation>
    <dataValidation type="list" sqref="U284" allowBlank="true" errorStyle="stop" showErrorMessage="true" showInputMessage="true">
      <formula1>"Usado,Novo,Recondicionado"</formula1>
    </dataValidation>
    <dataValidation type="list" sqref="W284" allowBlank="true" errorStyle="stop" showErrorMessage="true" showInputMessage="true">
      <formula1>"Mercado Envios por conta do comprador,Mercado Envios grátis"</formula1>
    </dataValidation>
    <dataValidation type="list" sqref="X284" allowBlank="true" errorStyle="stop" showErrorMessage="true" showInputMessage="true">
      <formula1>"Aceita,Não aceito"</formula1>
    </dataValidation>
    <dataValidation type="list" sqref="Y284" allowBlank="true" errorStyle="stop" showErrorMessage="true" showInputMessage="true">
      <formula1>"Clássico,Premium"</formula1>
    </dataValidation>
    <dataValidation type="list" sqref="AA284" allowBlank="true" errorStyle="stop" showErrorMessage="true" showInputMessage="true">
      <formula1>"Ativo,Inativo"</formula1>
    </dataValidation>
    <dataValidation type="list" sqref="AB284" allowBlank="true" errorStyle="stop" showErrorMessage="true" showInputMessage="true">
      <formula1>"Garantia do vendedor,Garantia de fábrica,Sem garantia"</formula1>
    </dataValidation>
    <dataValidation type="list" sqref="AD284" allowBlank="true" errorStyle="stop" showErrorMessage="true" showInputMessage="true">
      <formula1>"dias,meses,anos"</formula1>
    </dataValidation>
    <dataValidation type="list" sqref="J285" allowBlank="true" errorStyle="stop" showErrorMessage="true" showInputMessage="true">
      <formula1>"R$"</formula1>
    </dataValidation>
    <dataValidation type="list" sqref="U285" allowBlank="true" errorStyle="stop" showErrorMessage="true" showInputMessage="true">
      <formula1>"Usado,Novo"</formula1>
    </dataValidation>
    <dataValidation type="list" sqref="W285" allowBlank="true" errorStyle="stop" showErrorMessage="true" showInputMessage="true">
      <formula1>"Mercado Envios por conta do comprador,Mercado Envios grátis"</formula1>
    </dataValidation>
    <dataValidation type="list" sqref="X285" allowBlank="true" errorStyle="stop" showErrorMessage="true" showInputMessage="true">
      <formula1>"Aceita,Não aceito"</formula1>
    </dataValidation>
    <dataValidation type="list" sqref="Y285" allowBlank="true" errorStyle="stop" showErrorMessage="true" showInputMessage="true">
      <formula1>"Clássico,Premium"</formula1>
    </dataValidation>
    <dataValidation type="list" sqref="AA285" allowBlank="true" errorStyle="stop" showErrorMessage="true" showInputMessage="true">
      <formula1>"Ativo,Inativo"</formula1>
    </dataValidation>
    <dataValidation type="list" sqref="AB285" allowBlank="true" errorStyle="stop" showErrorMessage="true" showInputMessage="true">
      <formula1>"Garantia do vendedor,Garantia de fábrica,Sem garantia"</formula1>
    </dataValidation>
    <dataValidation type="list" sqref="AD285" allowBlank="true" errorStyle="stop" showErrorMessage="true" showInputMessage="true">
      <formula1>"dias,meses,anos"</formula1>
    </dataValidation>
    <dataValidation type="list" sqref="J286" allowBlank="true" errorStyle="stop" showErrorMessage="true" showInputMessage="true">
      <formula1>"R$"</formula1>
    </dataValidation>
    <dataValidation type="list" sqref="U286" allowBlank="true" errorStyle="stop" showErrorMessage="true" showInputMessage="true">
      <formula1>"Usado,Novo"</formula1>
    </dataValidation>
    <dataValidation type="list" sqref="W286" allowBlank="true" errorStyle="stop" showErrorMessage="true" showInputMessage="true">
      <formula1>"Mercado Envios por conta do comprador,Mercado Envios grátis"</formula1>
    </dataValidation>
    <dataValidation type="list" sqref="X286" allowBlank="true" errorStyle="stop" showErrorMessage="true" showInputMessage="true">
      <formula1>"Aceita,Não aceito"</formula1>
    </dataValidation>
    <dataValidation type="list" sqref="Y286" allowBlank="true" errorStyle="stop" showErrorMessage="true" showInputMessage="true">
      <formula1>"Clássico,Premium"</formula1>
    </dataValidation>
    <dataValidation type="list" sqref="AA286" allowBlank="true" errorStyle="stop" showErrorMessage="true" showInputMessage="true">
      <formula1>"Ativo,Inativo"</formula1>
    </dataValidation>
    <dataValidation type="list" sqref="AB286" allowBlank="true" errorStyle="stop" showErrorMessage="true" showInputMessage="true">
      <formula1>"Garantia do vendedor,Garantia de fábrica,Sem garantia"</formula1>
    </dataValidation>
    <dataValidation type="list" sqref="AD286" allowBlank="true" errorStyle="stop" showErrorMessage="true" showInputMessage="true">
      <formula1>"dias,meses,anos"</formula1>
    </dataValidation>
    <dataValidation type="list" sqref="J287" allowBlank="true" errorStyle="stop" showErrorMessage="true" showInputMessage="true">
      <formula1>"R$"</formula1>
    </dataValidation>
    <dataValidation type="list" sqref="U287" allowBlank="true" errorStyle="stop" showErrorMessage="true" showInputMessage="true">
      <formula1>"Usado,Novo"</formula1>
    </dataValidation>
    <dataValidation type="list" sqref="W287" allowBlank="true" errorStyle="stop" showErrorMessage="true" showInputMessage="true">
      <formula1>"Mercado Envios por conta do comprador,Mercado Envios grátis"</formula1>
    </dataValidation>
    <dataValidation type="list" sqref="X287" allowBlank="true" errorStyle="stop" showErrorMessage="true" showInputMessage="true">
      <formula1>"Aceita,Não aceito"</formula1>
    </dataValidation>
    <dataValidation type="list" sqref="Y287" allowBlank="true" errorStyle="stop" showErrorMessage="true" showInputMessage="true">
      <formula1>"Clássico,Premium"</formula1>
    </dataValidation>
    <dataValidation type="list" sqref="AA287" allowBlank="true" errorStyle="stop" showErrorMessage="true" showInputMessage="true">
      <formula1>"Ativo,Inativo"</formula1>
    </dataValidation>
    <dataValidation type="list" sqref="AB287" allowBlank="true" errorStyle="stop" showErrorMessage="true" showInputMessage="true">
      <formula1>"Garantia do vendedor,Garantia de fábrica,Sem garantia"</formula1>
    </dataValidation>
    <dataValidation type="list" sqref="AD287" allowBlank="true" errorStyle="stop" showErrorMessage="true" showInputMessage="true">
      <formula1>"dias,meses,anos"</formula1>
    </dataValidation>
    <dataValidation type="list" sqref="J288" allowBlank="true" errorStyle="stop" showErrorMessage="true" showInputMessage="true">
      <formula1>"R$"</formula1>
    </dataValidation>
    <dataValidation type="list" sqref="U288" allowBlank="true" errorStyle="stop" showErrorMessage="true" showInputMessage="true">
      <formula1>"Usado,Novo"</formula1>
    </dataValidation>
    <dataValidation type="list" sqref="W288" allowBlank="true" errorStyle="stop" showErrorMessage="true" showInputMessage="true">
      <formula1>"Mercado Envios por conta do comprador,Mercado Envios grátis"</formula1>
    </dataValidation>
    <dataValidation type="list" sqref="X288" allowBlank="true" errorStyle="stop" showErrorMessage="true" showInputMessage="true">
      <formula1>"Aceita,Não aceito"</formula1>
    </dataValidation>
    <dataValidation type="list" sqref="Y288" allowBlank="true" errorStyle="stop" showErrorMessage="true" showInputMessage="true">
      <formula1>"Clássico,Premium"</formula1>
    </dataValidation>
    <dataValidation type="list" sqref="AA288" allowBlank="true" errorStyle="stop" showErrorMessage="true" showInputMessage="true">
      <formula1>"Ativo,Inativo"</formula1>
    </dataValidation>
    <dataValidation type="list" sqref="AB288" allowBlank="true" errorStyle="stop" showErrorMessage="true" showInputMessage="true">
      <formula1>"Garantia do vendedor,Garantia de fábrica,Sem garantia"</formula1>
    </dataValidation>
    <dataValidation type="list" sqref="AD288" allowBlank="true" errorStyle="stop" showErrorMessage="true" showInputMessage="true">
      <formula1>"dias,meses,anos"</formula1>
    </dataValidation>
    <dataValidation type="list" sqref="J289" allowBlank="true" errorStyle="stop" showErrorMessage="true" showInputMessage="true">
      <formula1>"R$"</formula1>
    </dataValidation>
    <dataValidation type="list" sqref="U289" allowBlank="true" errorStyle="stop" showErrorMessage="true" showInputMessage="true">
      <formula1>"Novo,Usado"</formula1>
    </dataValidation>
    <dataValidation type="list" sqref="W289" allowBlank="true" errorStyle="stop" showErrorMessage="true" showInputMessage="true">
      <formula1>"Mercado Envios por conta do comprador,Mercado Envios grátis"</formula1>
    </dataValidation>
    <dataValidation type="list" sqref="X289" allowBlank="true" errorStyle="stop" showErrorMessage="true" showInputMessage="true">
      <formula1>"Aceita,Não aceito"</formula1>
    </dataValidation>
    <dataValidation type="list" sqref="Y289" allowBlank="true" errorStyle="stop" showErrorMessage="true" showInputMessage="true">
      <formula1>"Clássico,Premium"</formula1>
    </dataValidation>
    <dataValidation type="list" sqref="AA289" allowBlank="true" errorStyle="stop" showErrorMessage="true" showInputMessage="true">
      <formula1>"Ativo,Inativo"</formula1>
    </dataValidation>
    <dataValidation type="list" sqref="AB289" allowBlank="true" errorStyle="stop" showErrorMessage="true" showInputMessage="true">
      <formula1>"Garantia do vendedor,Garantia de fábrica,Sem garantia"</formula1>
    </dataValidation>
    <dataValidation type="list" sqref="AD289" allowBlank="true" errorStyle="stop" showErrorMessage="true" showInputMessage="true">
      <formula1>"dias,meses,anos"</formula1>
    </dataValidation>
    <dataValidation type="list" sqref="J290" allowBlank="true" errorStyle="stop" showErrorMessage="true" showInputMessage="true">
      <formula1>"R$"</formula1>
    </dataValidation>
    <dataValidation type="list" sqref="U290" allowBlank="true" errorStyle="stop" showErrorMessage="true" showInputMessage="true">
      <formula1>"Novo,Usado"</formula1>
    </dataValidation>
    <dataValidation type="list" sqref="W290" allowBlank="true" errorStyle="stop" showErrorMessage="true" showInputMessage="true">
      <formula1>"Mercado Envios por conta do comprador,Mercado Envios grátis"</formula1>
    </dataValidation>
    <dataValidation type="list" sqref="X290" allowBlank="true" errorStyle="stop" showErrorMessage="true" showInputMessage="true">
      <formula1>"Aceita,Não aceito"</formula1>
    </dataValidation>
    <dataValidation type="list" sqref="Y290" allowBlank="true" errorStyle="stop" showErrorMessage="true" showInputMessage="true">
      <formula1>"Clássico,Premium"</formula1>
    </dataValidation>
    <dataValidation type="list" sqref="AA290" allowBlank="true" errorStyle="stop" showErrorMessage="true" showInputMessage="true">
      <formula1>"Ativo,Inativo"</formula1>
    </dataValidation>
    <dataValidation type="list" sqref="AB290" allowBlank="true" errorStyle="stop" showErrorMessage="true" showInputMessage="true">
      <formula1>"Garantia do vendedor,Garantia de fábrica,Sem garantia"</formula1>
    </dataValidation>
    <dataValidation type="list" sqref="AD290" allowBlank="true" errorStyle="stop" showErrorMessage="true" showInputMessage="true">
      <formula1>"dias,meses,anos"</formula1>
    </dataValidation>
    <dataValidation type="list" sqref="J291" allowBlank="true" errorStyle="stop" showErrorMessage="true" showInputMessage="true">
      <formula1>"R$"</formula1>
    </dataValidation>
    <dataValidation type="list" sqref="U291" allowBlank="true" errorStyle="stop" showErrorMessage="true" showInputMessage="true">
      <formula1>"Usado,Novo"</formula1>
    </dataValidation>
    <dataValidation type="list" sqref="W291" allowBlank="true" errorStyle="stop" showErrorMessage="true" showInputMessage="true">
      <formula1>"Mercado Envios por conta do comprador,Mercado Envios grátis"</formula1>
    </dataValidation>
    <dataValidation type="list" sqref="X291" allowBlank="true" errorStyle="stop" showErrorMessage="true" showInputMessage="true">
      <formula1>"Aceita,Não aceito"</formula1>
    </dataValidation>
    <dataValidation type="list" sqref="Y291" allowBlank="true" errorStyle="stop" showErrorMessage="true" showInputMessage="true">
      <formula1>"Clássico,Premium"</formula1>
    </dataValidation>
    <dataValidation type="list" sqref="AA291" allowBlank="true" errorStyle="stop" showErrorMessage="true" showInputMessage="true">
      <formula1>"Ativo,Inativo"</formula1>
    </dataValidation>
    <dataValidation type="list" sqref="AB291" allowBlank="true" errorStyle="stop" showErrorMessage="true" showInputMessage="true">
      <formula1>"Garantia do vendedor,Garantia de fábrica,Sem garantia"</formula1>
    </dataValidation>
    <dataValidation type="list" sqref="AD291" allowBlank="true" errorStyle="stop" showErrorMessage="true" showInputMessage="true">
      <formula1>"dias,meses,anos"</formula1>
    </dataValidation>
    <dataValidation type="list" sqref="J292" allowBlank="true" errorStyle="stop" showErrorMessage="true" showInputMessage="true">
      <formula1>"R$"</formula1>
    </dataValidation>
    <dataValidation type="list" sqref="U292" allowBlank="true" errorStyle="stop" showErrorMessage="true" showInputMessage="true">
      <formula1>"Usado,Novo"</formula1>
    </dataValidation>
    <dataValidation type="list" sqref="W292" allowBlank="true" errorStyle="stop" showErrorMessage="true" showInputMessage="true">
      <formula1>"Mercado Envios por conta do comprador,Mercado Envios grátis"</formula1>
    </dataValidation>
    <dataValidation type="list" sqref="X292" allowBlank="true" errorStyle="stop" showErrorMessage="true" showInputMessage="true">
      <formula1>"Aceita,Não aceito"</formula1>
    </dataValidation>
    <dataValidation type="list" sqref="Y292" allowBlank="true" errorStyle="stop" showErrorMessage="true" showInputMessage="true">
      <formula1>"Clássico,Premium"</formula1>
    </dataValidation>
    <dataValidation type="list" sqref="AA292" allowBlank="true" errorStyle="stop" showErrorMessage="true" showInputMessage="true">
      <formula1>"Ativo,Inativo"</formula1>
    </dataValidation>
    <dataValidation type="list" sqref="AB292" allowBlank="true" errorStyle="stop" showErrorMessage="true" showInputMessage="true">
      <formula1>"Garantia do vendedor,Garantia de fábrica,Sem garantia"</formula1>
    </dataValidation>
    <dataValidation type="list" sqref="AD292" allowBlank="true" errorStyle="stop" showErrorMessage="true" showInputMessage="true">
      <formula1>"dias,meses,anos"</formula1>
    </dataValidation>
    <dataValidation type="list" sqref="J293" allowBlank="true" errorStyle="stop" showErrorMessage="true" showInputMessage="true">
      <formula1>"R$"</formula1>
    </dataValidation>
    <dataValidation type="list" sqref="U293" allowBlank="true" errorStyle="stop" showErrorMessage="true" showInputMessage="true">
      <formula1>"Novo,Usado,Recondicionado"</formula1>
    </dataValidation>
    <dataValidation type="list" sqref="W293" allowBlank="true" errorStyle="stop" showErrorMessage="true" showInputMessage="true">
      <formula1>"Mercado Envios por conta do comprador,Mercado Envios grátis"</formula1>
    </dataValidation>
    <dataValidation type="list" sqref="X293" allowBlank="true" errorStyle="stop" showErrorMessage="true" showInputMessage="true">
      <formula1>"Aceita,Não aceito"</formula1>
    </dataValidation>
    <dataValidation type="list" sqref="Y293" allowBlank="true" errorStyle="stop" showErrorMessage="true" showInputMessage="true">
      <formula1>"Clássico,Premium"</formula1>
    </dataValidation>
    <dataValidation type="list" sqref="AA293" allowBlank="true" errorStyle="stop" showErrorMessage="true" showInputMessage="true">
      <formula1>"Ativo,Inativo"</formula1>
    </dataValidation>
    <dataValidation type="list" sqref="AB293" allowBlank="true" errorStyle="stop" showErrorMessage="true" showInputMessage="true">
      <formula1>"Garantia do vendedor,Garantia de fábrica,Sem garantia"</formula1>
    </dataValidation>
    <dataValidation type="list" sqref="AD293" allowBlank="true" errorStyle="stop" showErrorMessage="true" showInputMessage="true">
      <formula1>"dias,meses,anos"</formula1>
    </dataValidation>
    <dataValidation type="list" sqref="J294" allowBlank="true" errorStyle="stop" showErrorMessage="true" showInputMessage="true">
      <formula1>"R$"</formula1>
    </dataValidation>
    <dataValidation type="list" sqref="W294" allowBlank="true" errorStyle="stop" showErrorMessage="true" showInputMessage="true">
      <formula1>"Mercado Envios por conta do comprador,Mercado Envios grátis"</formula1>
    </dataValidation>
    <dataValidation type="list" sqref="X294" allowBlank="true" errorStyle="stop" showErrorMessage="true" showInputMessage="true">
      <formula1>"Aceita,Não aceito"</formula1>
    </dataValidation>
    <dataValidation type="list" sqref="Y294" allowBlank="true" errorStyle="stop" showErrorMessage="true" showInputMessage="true">
      <formula1>"Clássico,Premium"</formula1>
    </dataValidation>
    <dataValidation type="list" sqref="AA294" allowBlank="true" errorStyle="stop" showErrorMessage="true" showInputMessage="true">
      <formula1>"Ativo,Inativo"</formula1>
    </dataValidation>
    <dataValidation type="list" sqref="AB294" allowBlank="true" errorStyle="stop" showErrorMessage="true" showInputMessage="true">
      <formula1>"Garantia do vendedor,Garantia de fábrica,Sem garantia"</formula1>
    </dataValidation>
    <dataValidation type="list" sqref="AD294" allowBlank="true" errorStyle="stop" showErrorMessage="true" showInputMessage="true">
      <formula1>"dias,meses,anos"</formula1>
    </dataValidation>
    <dataValidation type="list" sqref="J295" allowBlank="true" errorStyle="stop" showErrorMessage="true" showInputMessage="true">
      <formula1>"R$"</formula1>
    </dataValidation>
    <dataValidation type="list" sqref="W295" allowBlank="true" errorStyle="stop" showErrorMessage="true" showInputMessage="true">
      <formula1>"Mercado Envios por conta do comprador,Mercado Envios grátis"</formula1>
    </dataValidation>
    <dataValidation type="list" sqref="X295" allowBlank="true" errorStyle="stop" showErrorMessage="true" showInputMessage="true">
      <formula1>"Aceita,Não aceito"</formula1>
    </dataValidation>
    <dataValidation type="list" sqref="Y295" allowBlank="true" errorStyle="stop" showErrorMessage="true" showInputMessage="true">
      <formula1>"Clássico,Premium"</formula1>
    </dataValidation>
    <dataValidation type="list" sqref="AA295" allowBlank="true" errorStyle="stop" showErrorMessage="true" showInputMessage="true">
      <formula1>"Ativo,Inativo"</formula1>
    </dataValidation>
    <dataValidation type="list" sqref="AB295" allowBlank="true" errorStyle="stop" showErrorMessage="true" showInputMessage="true">
      <formula1>"Garantia do vendedor,Garantia de fábrica,Sem garantia"</formula1>
    </dataValidation>
    <dataValidation type="list" sqref="AD295" allowBlank="true" errorStyle="stop" showErrorMessage="true" showInputMessage="true">
      <formula1>"dias,meses,anos"</formula1>
    </dataValidation>
    <dataValidation type="list" sqref="J296" allowBlank="true" errorStyle="stop" showErrorMessage="true" showInputMessage="true">
      <formula1>"R$"</formula1>
    </dataValidation>
    <dataValidation type="list" sqref="U296" allowBlank="true" errorStyle="stop" showErrorMessage="true" showInputMessage="true">
      <formula1>"Usado,Novo"</formula1>
    </dataValidation>
    <dataValidation type="list" sqref="W296" allowBlank="true" errorStyle="stop" showErrorMessage="true" showInputMessage="true">
      <formula1>"Mercado Envios por conta do comprador,Mercado Envios grátis"</formula1>
    </dataValidation>
    <dataValidation type="list" sqref="X296" allowBlank="true" errorStyle="stop" showErrorMessage="true" showInputMessage="true">
      <formula1>"Aceita,Não aceito"</formula1>
    </dataValidation>
    <dataValidation type="list" sqref="Y296" allowBlank="true" errorStyle="stop" showErrorMessage="true" showInputMessage="true">
      <formula1>"Clássico,Premium"</formula1>
    </dataValidation>
    <dataValidation type="list" sqref="AA296" allowBlank="true" errorStyle="stop" showErrorMessage="true" showInputMessage="true">
      <formula1>"Ativo,Inativo"</formula1>
    </dataValidation>
    <dataValidation type="list" sqref="AB296" allowBlank="true" errorStyle="stop" showErrorMessage="true" showInputMessage="true">
      <formula1>"Garantia do vendedor,Garantia de fábrica,Sem garantia"</formula1>
    </dataValidation>
    <dataValidation type="list" sqref="AD296" allowBlank="true" errorStyle="stop" showErrorMessage="true" showInputMessage="true">
      <formula1>"dias,meses,anos"</formula1>
    </dataValidation>
    <dataValidation type="list" sqref="J297" allowBlank="true" errorStyle="stop" showErrorMessage="true" showInputMessage="true">
      <formula1>"R$"</formula1>
    </dataValidation>
    <dataValidation type="list" sqref="U297" allowBlank="true" errorStyle="stop" showErrorMessage="true" showInputMessage="true">
      <formula1>"Novo,Usado"</formula1>
    </dataValidation>
    <dataValidation type="list" sqref="W297" allowBlank="true" errorStyle="stop" showErrorMessage="true" showInputMessage="true">
      <formula1>"Mercado Envios por conta do comprador,Mercado Envios grátis"</formula1>
    </dataValidation>
    <dataValidation type="list" sqref="X297" allowBlank="true" errorStyle="stop" showErrorMessage="true" showInputMessage="true">
      <formula1>"Aceita,Não aceito"</formula1>
    </dataValidation>
    <dataValidation type="list" sqref="Y297" allowBlank="true" errorStyle="stop" showErrorMessage="true" showInputMessage="true">
      <formula1>"Clássico,Premium"</formula1>
    </dataValidation>
    <dataValidation type="list" sqref="AA297" allowBlank="true" errorStyle="stop" showErrorMessage="true" showInputMessage="true">
      <formula1>"Ativo,Inativo"</formula1>
    </dataValidation>
    <dataValidation type="list" sqref="AB297" allowBlank="true" errorStyle="stop" showErrorMessage="true" showInputMessage="true">
      <formula1>"Garantia do vendedor,Garantia de fábrica,Sem garantia"</formula1>
    </dataValidation>
    <dataValidation type="list" sqref="AD297" allowBlank="true" errorStyle="stop" showErrorMessage="true" showInputMessage="true">
      <formula1>"dias,meses,anos"</formula1>
    </dataValidation>
    <dataValidation type="list" sqref="J298" allowBlank="true" errorStyle="stop" showErrorMessage="true" showInputMessage="true">
      <formula1>"R$"</formula1>
    </dataValidation>
    <dataValidation type="list" sqref="W298" allowBlank="true" errorStyle="stop" showErrorMessage="true" showInputMessage="true">
      <formula1>"Mercado Envios por conta do comprador,Mercado Envios grátis"</formula1>
    </dataValidation>
    <dataValidation type="list" sqref="X298" allowBlank="true" errorStyle="stop" showErrorMessage="true" showInputMessage="true">
      <formula1>"Aceita,Não aceito"</formula1>
    </dataValidation>
    <dataValidation type="list" sqref="Y298" allowBlank="true" errorStyle="stop" showErrorMessage="true" showInputMessage="true">
      <formula1>"Clássico,Premium"</formula1>
    </dataValidation>
    <dataValidation type="list" sqref="AA298" allowBlank="true" errorStyle="stop" showErrorMessage="true" showInputMessage="true">
      <formula1>"Ativo,Inativo"</formula1>
    </dataValidation>
    <dataValidation type="list" sqref="AB298" allowBlank="true" errorStyle="stop" showErrorMessage="true" showInputMessage="true">
      <formula1>"Garantia do vendedor,Garantia de fábrica,Sem garantia"</formula1>
    </dataValidation>
    <dataValidation type="list" sqref="AD298" allowBlank="true" errorStyle="stop" showErrorMessage="true" showInputMessage="true">
      <formula1>"dias,meses,anos"</formula1>
    </dataValidation>
    <dataValidation type="list" sqref="J299" allowBlank="true" errorStyle="stop" showErrorMessage="true" showInputMessage="true">
      <formula1>"R$"</formula1>
    </dataValidation>
    <dataValidation type="list" sqref="U299" allowBlank="true" errorStyle="stop" showErrorMessage="true" showInputMessage="true">
      <formula1>"Usado,Novo"</formula1>
    </dataValidation>
    <dataValidation type="list" sqref="W299" allowBlank="true" errorStyle="stop" showErrorMessage="true" showInputMessage="true">
      <formula1>"Mercado Envios por conta do comprador,Mercado Envios grátis"</formula1>
    </dataValidation>
    <dataValidation type="list" sqref="X299" allowBlank="true" errorStyle="stop" showErrorMessage="true" showInputMessage="true">
      <formula1>"Aceita,Não aceito"</formula1>
    </dataValidation>
    <dataValidation type="list" sqref="Y299" allowBlank="true" errorStyle="stop" showErrorMessage="true" showInputMessage="true">
      <formula1>"Clássico,Premium"</formula1>
    </dataValidation>
    <dataValidation type="list" sqref="AA299" allowBlank="true" errorStyle="stop" showErrorMessage="true" showInputMessage="true">
      <formula1>"Ativo,Inativo"</formula1>
    </dataValidation>
    <dataValidation type="list" sqref="AB299" allowBlank="true" errorStyle="stop" showErrorMessage="true" showInputMessage="true">
      <formula1>"Garantia do vendedor,Garantia de fábrica,Sem garantia"</formula1>
    </dataValidation>
    <dataValidation type="list" sqref="AD299" allowBlank="true" errorStyle="stop" showErrorMessage="true" showInputMessage="true">
      <formula1>"dias,meses,anos"</formula1>
    </dataValidation>
    <dataValidation type="list" sqref="J300" allowBlank="true" errorStyle="stop" showErrorMessage="true" showInputMessage="true">
      <formula1>"R$"</formula1>
    </dataValidation>
    <dataValidation type="list" sqref="U300" allowBlank="true" errorStyle="stop" showErrorMessage="true" showInputMessage="true">
      <formula1>"Usado,Novo"</formula1>
    </dataValidation>
    <dataValidation type="list" sqref="W300" allowBlank="true" errorStyle="stop" showErrorMessage="true" showInputMessage="true">
      <formula1>"Mercado Envios por conta do comprador,Mercado Envios grátis"</formula1>
    </dataValidation>
    <dataValidation type="list" sqref="X300" allowBlank="true" errorStyle="stop" showErrorMessage="true" showInputMessage="true">
      <formula1>"Aceita,Não aceito"</formula1>
    </dataValidation>
    <dataValidation type="list" sqref="Y300" allowBlank="true" errorStyle="stop" showErrorMessage="true" showInputMessage="true">
      <formula1>"Clássico,Premium"</formula1>
    </dataValidation>
    <dataValidation type="list" sqref="AA300" allowBlank="true" errorStyle="stop" showErrorMessage="true" showInputMessage="true">
      <formula1>"Ativo,Inativo"</formula1>
    </dataValidation>
    <dataValidation type="list" sqref="AB300" allowBlank="true" errorStyle="stop" showErrorMessage="true" showInputMessage="true">
      <formula1>"Garantia do vendedor,Garantia de fábrica,Sem garantia"</formula1>
    </dataValidation>
    <dataValidation type="list" sqref="AD300" allowBlank="true" errorStyle="stop" showErrorMessage="true" showInputMessage="true">
      <formula1>"dias,meses,anos"</formula1>
    </dataValidation>
    <dataValidation type="list" sqref="J301" allowBlank="true" errorStyle="stop" showErrorMessage="true" showInputMessage="true">
      <formula1>"R$"</formula1>
    </dataValidation>
    <dataValidation type="list" sqref="U301" allowBlank="true" errorStyle="stop" showErrorMessage="true" showInputMessage="true">
      <formula1>"Usado,Novo,Recondicionado"</formula1>
    </dataValidation>
    <dataValidation type="list" sqref="W301" allowBlank="true" errorStyle="stop" showErrorMessage="true" showInputMessage="true">
      <formula1>"Mercado Envios por conta do comprador,Mercado Envios grátis"</formula1>
    </dataValidation>
    <dataValidation type="list" sqref="X301" allowBlank="true" errorStyle="stop" showErrorMessage="true" showInputMessage="true">
      <formula1>"Aceita,Não aceito"</formula1>
    </dataValidation>
    <dataValidation type="list" sqref="Y301" allowBlank="true" errorStyle="stop" showErrorMessage="true" showInputMessage="true">
      <formula1>"Clássico,Premium"</formula1>
    </dataValidation>
    <dataValidation type="list" sqref="AA301" allowBlank="true" errorStyle="stop" showErrorMessage="true" showInputMessage="true">
      <formula1>"Ativo,Inativo"</formula1>
    </dataValidation>
    <dataValidation type="list" sqref="AB301" allowBlank="true" errorStyle="stop" showErrorMessage="true" showInputMessage="true">
      <formula1>"Garantia do vendedor,Garantia de fábrica,Sem garantia"</formula1>
    </dataValidation>
    <dataValidation type="list" sqref="AD301" allowBlank="true" errorStyle="stop" showErrorMessage="true" showInputMessage="true">
      <formula1>"dias,meses,anos"</formula1>
    </dataValidation>
    <dataValidation type="list" sqref="J302" allowBlank="true" errorStyle="stop" showErrorMessage="true" showInputMessage="true">
      <formula1>"R$"</formula1>
    </dataValidation>
    <dataValidation type="list" sqref="U302" allowBlank="true" errorStyle="stop" showErrorMessage="true" showInputMessage="true">
      <formula1>"Novo,Usado"</formula1>
    </dataValidation>
    <dataValidation type="list" sqref="W302" allowBlank="true" errorStyle="stop" showErrorMessage="true" showInputMessage="true">
      <formula1>"Mercado Envios por conta do comprador,Mercado Envios grátis"</formula1>
    </dataValidation>
    <dataValidation type="list" sqref="X302" allowBlank="true" errorStyle="stop" showErrorMessage="true" showInputMessage="true">
      <formula1>"Aceita,Não aceito"</formula1>
    </dataValidation>
    <dataValidation type="list" sqref="Y302" allowBlank="true" errorStyle="stop" showErrorMessage="true" showInputMessage="true">
      <formula1>"Clássico,Premium"</formula1>
    </dataValidation>
    <dataValidation type="list" sqref="AA302" allowBlank="true" errorStyle="stop" showErrorMessage="true" showInputMessage="true">
      <formula1>"Ativo,Inativo"</formula1>
    </dataValidation>
    <dataValidation type="list" sqref="AB302" allowBlank="true" errorStyle="stop" showErrorMessage="true" showInputMessage="true">
      <formula1>"Garantia do vendedor,Garantia de fábrica,Sem garantia"</formula1>
    </dataValidation>
    <dataValidation type="list" sqref="AD302" allowBlank="true" errorStyle="stop" showErrorMessage="true" showInputMessage="true">
      <formula1>"dias,meses,anos"</formula1>
    </dataValidation>
    <dataValidation type="list" sqref="J303" allowBlank="true" errorStyle="stop" showErrorMessage="true" showInputMessage="true">
      <formula1>"R$"</formula1>
    </dataValidation>
    <dataValidation type="list" sqref="U303" allowBlank="true" errorStyle="stop" showErrorMessage="true" showInputMessage="true">
      <formula1>"Novo,Usado"</formula1>
    </dataValidation>
    <dataValidation type="list" sqref="W303" allowBlank="true" errorStyle="stop" showErrorMessage="true" showInputMessage="true">
      <formula1>"Mercado Envios por conta do comprador,Mercado Envios grátis"</formula1>
    </dataValidation>
    <dataValidation type="list" sqref="X303" allowBlank="true" errorStyle="stop" showErrorMessage="true" showInputMessage="true">
      <formula1>"Aceita,Não aceito"</formula1>
    </dataValidation>
    <dataValidation type="list" sqref="Y303" allowBlank="true" errorStyle="stop" showErrorMessage="true" showInputMessage="true">
      <formula1>"Clássico,Premium"</formula1>
    </dataValidation>
    <dataValidation type="list" sqref="AA303" allowBlank="true" errorStyle="stop" showErrorMessage="true" showInputMessage="true">
      <formula1>"Ativo,Inativo"</formula1>
    </dataValidation>
    <dataValidation type="list" sqref="AB303" allowBlank="true" errorStyle="stop" showErrorMessage="true" showInputMessage="true">
      <formula1>"Garantia do vendedor,Garantia de fábrica,Sem garantia"</formula1>
    </dataValidation>
    <dataValidation type="list" sqref="AD303" allowBlank="true" errorStyle="stop" showErrorMessage="true" showInputMessage="true">
      <formula1>"dias,meses,anos"</formula1>
    </dataValidation>
    <dataValidation type="list" sqref="J304" allowBlank="true" errorStyle="stop" showErrorMessage="true" showInputMessage="true">
      <formula1>"R$"</formula1>
    </dataValidation>
    <dataValidation type="list" sqref="W304" allowBlank="true" errorStyle="stop" showErrorMessage="true" showInputMessage="true">
      <formula1>"Mercado Envios por conta do comprador,Mercado Envios grátis"</formula1>
    </dataValidation>
    <dataValidation type="list" sqref="X304" allowBlank="true" errorStyle="stop" showErrorMessage="true" showInputMessage="true">
      <formula1>"Aceita,Não aceito"</formula1>
    </dataValidation>
    <dataValidation type="list" sqref="Y304" allowBlank="true" errorStyle="stop" showErrorMessage="true" showInputMessage="true">
      <formula1>"Clássico,Premium"</formula1>
    </dataValidation>
    <dataValidation type="list" sqref="AA304" allowBlank="true" errorStyle="stop" showErrorMessage="true" showInputMessage="true">
      <formula1>"Ativo,Inativo"</formula1>
    </dataValidation>
    <dataValidation type="list" sqref="AB304" allowBlank="true" errorStyle="stop" showErrorMessage="true" showInputMessage="true">
      <formula1>"Garantia do vendedor,Garantia de fábrica,Sem garantia"</formula1>
    </dataValidation>
    <dataValidation type="list" sqref="AD304" allowBlank="true" errorStyle="stop" showErrorMessage="true" showInputMessage="true">
      <formula1>"dias,meses,anos"</formula1>
    </dataValidation>
    <dataValidation type="list" sqref="J305" allowBlank="true" errorStyle="stop" showErrorMessage="true" showInputMessage="true">
      <formula1>"R$"</formula1>
    </dataValidation>
    <dataValidation type="list" sqref="U305" allowBlank="true" errorStyle="stop" showErrorMessage="true" showInputMessage="true">
      <formula1>"Usado,Novo"</formula1>
    </dataValidation>
    <dataValidation type="list" sqref="W305" allowBlank="true" errorStyle="stop" showErrorMessage="true" showInputMessage="true">
      <formula1>"Mercado Envios por conta do comprador,Mercado Envios grátis"</formula1>
    </dataValidation>
    <dataValidation type="list" sqref="X305" allowBlank="true" errorStyle="stop" showErrorMessage="true" showInputMessage="true">
      <formula1>"Aceita,Não aceito"</formula1>
    </dataValidation>
    <dataValidation type="list" sqref="Y305" allowBlank="true" errorStyle="stop" showErrorMessage="true" showInputMessage="true">
      <formula1>"Clássico,Premium"</formula1>
    </dataValidation>
    <dataValidation type="list" sqref="AA305" allowBlank="true" errorStyle="stop" showErrorMessage="true" showInputMessage="true">
      <formula1>"Ativo,Inativo"</formula1>
    </dataValidation>
    <dataValidation type="list" sqref="AB305" allowBlank="true" errorStyle="stop" showErrorMessage="true" showInputMessage="true">
      <formula1>"Garantia do vendedor,Garantia de fábrica,Sem garantia"</formula1>
    </dataValidation>
    <dataValidation type="list" sqref="AD305" allowBlank="true" errorStyle="stop" showErrorMessage="true" showInputMessage="true">
      <formula1>"dias,meses,anos"</formula1>
    </dataValidation>
    <dataValidation type="list" sqref="J306" allowBlank="true" errorStyle="stop" showErrorMessage="true" showInputMessage="true">
      <formula1>"R$"</formula1>
    </dataValidation>
    <dataValidation type="list" sqref="U306" allowBlank="true" errorStyle="stop" showErrorMessage="true" showInputMessage="true">
      <formula1>"Usado,Novo"</formula1>
    </dataValidation>
    <dataValidation type="list" sqref="W306" allowBlank="true" errorStyle="stop" showErrorMessage="true" showInputMessage="true">
      <formula1>"Mercado Envios por conta do comprador,Mercado Envios grátis"</formula1>
    </dataValidation>
    <dataValidation type="list" sqref="X306" allowBlank="true" errorStyle="stop" showErrorMessage="true" showInputMessage="true">
      <formula1>"Aceita,Não aceito"</formula1>
    </dataValidation>
    <dataValidation type="list" sqref="Y306" allowBlank="true" errorStyle="stop" showErrorMessage="true" showInputMessage="true">
      <formula1>"Clássico,Premium"</formula1>
    </dataValidation>
    <dataValidation type="list" sqref="AA306" allowBlank="true" errorStyle="stop" showErrorMessage="true" showInputMessage="true">
      <formula1>"Ativo,Inativo"</formula1>
    </dataValidation>
    <dataValidation type="list" sqref="AB306" allowBlank="true" errorStyle="stop" showErrorMessage="true" showInputMessage="true">
      <formula1>"Garantia do vendedor,Garantia de fábrica,Sem garantia"</formula1>
    </dataValidation>
    <dataValidation type="list" sqref="AD306" allowBlank="true" errorStyle="stop" showErrorMessage="true" showInputMessage="true">
      <formula1>"dias,meses,anos"</formula1>
    </dataValidation>
    <dataValidation type="list" sqref="J307" allowBlank="true" errorStyle="stop" showErrorMessage="true" showInputMessage="true">
      <formula1>"R$"</formula1>
    </dataValidation>
    <dataValidation type="list" sqref="U307" allowBlank="true" errorStyle="stop" showErrorMessage="true" showInputMessage="true">
      <formula1>"Usado,Novo"</formula1>
    </dataValidation>
    <dataValidation type="list" sqref="W307" allowBlank="true" errorStyle="stop" showErrorMessage="true" showInputMessage="true">
      <formula1>"Mercado Envios por conta do comprador,Mercado Envios grátis"</formula1>
    </dataValidation>
    <dataValidation type="list" sqref="X307" allowBlank="true" errorStyle="stop" showErrorMessage="true" showInputMessage="true">
      <formula1>"Aceita,Não aceito"</formula1>
    </dataValidation>
    <dataValidation type="list" sqref="Y307" allowBlank="true" errorStyle="stop" showErrorMessage="true" showInputMessage="true">
      <formula1>"Clássico,Premium"</formula1>
    </dataValidation>
    <dataValidation type="list" sqref="AA307" allowBlank="true" errorStyle="stop" showErrorMessage="true" showInputMessage="true">
      <formula1>"Ativo,Inativo"</formula1>
    </dataValidation>
    <dataValidation type="list" sqref="AB307" allowBlank="true" errorStyle="stop" showErrorMessage="true" showInputMessage="true">
      <formula1>"Garantia do vendedor,Garantia de fábrica,Sem garantia"</formula1>
    </dataValidation>
    <dataValidation type="list" sqref="AD307" allowBlank="true" errorStyle="stop" showErrorMessage="true" showInputMessage="true">
      <formula1>"dias,meses,anos"</formula1>
    </dataValidation>
    <dataValidation type="list" sqref="J308" allowBlank="true" errorStyle="stop" showErrorMessage="true" showInputMessage="true">
      <formula1>"R$"</formula1>
    </dataValidation>
    <dataValidation type="list" sqref="U308" allowBlank="true" errorStyle="stop" showErrorMessage="true" showInputMessage="true">
      <formula1>"Usado,Novo,Recondicionado - Excelente,Recondicionado - Bom,Recondicionado - Aceitável,Caixa aberto"</formula1>
    </dataValidation>
    <dataValidation type="list" sqref="W308" allowBlank="true" errorStyle="stop" showErrorMessage="true" showInputMessage="true">
      <formula1>"Mercado Envios por conta do comprador,Mercado Envios grátis"</formula1>
    </dataValidation>
    <dataValidation type="list" sqref="X308" allowBlank="true" errorStyle="stop" showErrorMessage="true" showInputMessage="true">
      <formula1>"Aceita,Não aceito"</formula1>
    </dataValidation>
    <dataValidation type="list" sqref="Y308" allowBlank="true" errorStyle="stop" showErrorMessage="true" showInputMessage="true">
      <formula1>"Clássico,Premium"</formula1>
    </dataValidation>
    <dataValidation type="list" sqref="AA308" allowBlank="true" errorStyle="stop" showErrorMessage="true" showInputMessage="true">
      <formula1>"Ativo,Inativo"</formula1>
    </dataValidation>
    <dataValidation type="list" sqref="AB308" allowBlank="true" errorStyle="stop" showErrorMessage="true" showInputMessage="true">
      <formula1>"Garantia do vendedor,Garantia de fábrica,Sem garantia"</formula1>
    </dataValidation>
    <dataValidation type="list" sqref="AD308" allowBlank="true" errorStyle="stop" showErrorMessage="true" showInputMessage="true">
      <formula1>"dias,meses,anos"</formula1>
    </dataValidation>
    <dataValidation type="list" sqref="J309" allowBlank="true" errorStyle="stop" showErrorMessage="true" showInputMessage="true">
      <formula1>"R$"</formula1>
    </dataValidation>
    <dataValidation type="list" sqref="U309" allowBlank="true" errorStyle="stop" showErrorMessage="true" showInputMessage="true">
      <formula1>"Usado,Novo"</formula1>
    </dataValidation>
    <dataValidation type="list" sqref="W309" allowBlank="true" errorStyle="stop" showErrorMessage="true" showInputMessage="true">
      <formula1>"Mercado Envios por conta do comprador,Mercado Envios grátis"</formula1>
    </dataValidation>
    <dataValidation type="list" sqref="X309" allowBlank="true" errorStyle="stop" showErrorMessage="true" showInputMessage="true">
      <formula1>"Aceita,Não aceito"</formula1>
    </dataValidation>
    <dataValidation type="list" sqref="Y309" allowBlank="true" errorStyle="stop" showErrorMessage="true" showInputMessage="true">
      <formula1>"Clássico,Premium"</formula1>
    </dataValidation>
    <dataValidation type="list" sqref="AA309" allowBlank="true" errorStyle="stop" showErrorMessage="true" showInputMessage="true">
      <formula1>"Ativo,Inativo"</formula1>
    </dataValidation>
    <dataValidation type="list" sqref="AB309" allowBlank="true" errorStyle="stop" showErrorMessage="true" showInputMessage="true">
      <formula1>"Garantia do vendedor,Garantia de fábrica,Sem garantia"</formula1>
    </dataValidation>
    <dataValidation type="list" sqref="AD309" allowBlank="true" errorStyle="stop" showErrorMessage="true" showInputMessage="true">
      <formula1>"dias,meses,anos"</formula1>
    </dataValidation>
    <dataValidation type="list" sqref="J310" allowBlank="true" errorStyle="stop" showErrorMessage="true" showInputMessage="true">
      <formula1>"R$"</formula1>
    </dataValidation>
    <dataValidation type="list" sqref="U310" allowBlank="true" errorStyle="stop" showErrorMessage="true" showInputMessage="true">
      <formula1>"Usado,Novo"</formula1>
    </dataValidation>
    <dataValidation type="list" sqref="W310" allowBlank="true" errorStyle="stop" showErrorMessage="true" showInputMessage="true">
      <formula1>"Mercado Envios por conta do comprador,Mercado Envios grátis"</formula1>
    </dataValidation>
    <dataValidation type="list" sqref="X310" allowBlank="true" errorStyle="stop" showErrorMessage="true" showInputMessage="true">
      <formula1>"Aceita,Não aceito"</formula1>
    </dataValidation>
    <dataValidation type="list" sqref="Y310" allowBlank="true" errorStyle="stop" showErrorMessage="true" showInputMessage="true">
      <formula1>"Clássico,Premium"</formula1>
    </dataValidation>
    <dataValidation type="list" sqref="AA310" allowBlank="true" errorStyle="stop" showErrorMessage="true" showInputMessage="true">
      <formula1>"Ativo,Inativo"</formula1>
    </dataValidation>
    <dataValidation type="list" sqref="AB310" allowBlank="true" errorStyle="stop" showErrorMessage="true" showInputMessage="true">
      <formula1>"Garantia do vendedor,Garantia de fábrica,Sem garantia"</formula1>
    </dataValidation>
    <dataValidation type="list" sqref="AD310" allowBlank="true" errorStyle="stop" showErrorMessage="true" showInputMessage="true">
      <formula1>"dias,meses,anos"</formula1>
    </dataValidation>
    <dataValidation type="list" sqref="J311" allowBlank="true" errorStyle="stop" showErrorMessage="true" showInputMessage="true">
      <formula1>"R$"</formula1>
    </dataValidation>
    <dataValidation type="list" sqref="U311" allowBlank="true" errorStyle="stop" showErrorMessage="true" showInputMessage="true">
      <formula1>"Usado,Novo"</formula1>
    </dataValidation>
    <dataValidation type="list" sqref="W311" allowBlank="true" errorStyle="stop" showErrorMessage="true" showInputMessage="true">
      <formula1>"Mercado Envios por conta do comprador,Mercado Envios grátis"</formula1>
    </dataValidation>
    <dataValidation type="list" sqref="X311" allowBlank="true" errorStyle="stop" showErrorMessage="true" showInputMessage="true">
      <formula1>"Aceita,Não aceito"</formula1>
    </dataValidation>
    <dataValidation type="list" sqref="Y311" allowBlank="true" errorStyle="stop" showErrorMessage="true" showInputMessage="true">
      <formula1>"Clássico,Premium"</formula1>
    </dataValidation>
    <dataValidation type="list" sqref="AA311" allowBlank="true" errorStyle="stop" showErrorMessage="true" showInputMessage="true">
      <formula1>"Ativo,Inativo"</formula1>
    </dataValidation>
    <dataValidation type="list" sqref="AB311" allowBlank="true" errorStyle="stop" showErrorMessage="true" showInputMessage="true">
      <formula1>"Garantia do vendedor,Garantia de fábrica,Sem garantia"</formula1>
    </dataValidation>
    <dataValidation type="list" sqref="AD311" allowBlank="true" errorStyle="stop" showErrorMessage="true" showInputMessage="true">
      <formula1>"dias,meses,anos"</formula1>
    </dataValidation>
    <dataValidation type="list" sqref="J312" allowBlank="true" errorStyle="stop" showErrorMessage="true" showInputMessage="true">
      <formula1>"R$"</formula1>
    </dataValidation>
    <dataValidation type="list" sqref="W312" allowBlank="true" errorStyle="stop" showErrorMessage="true" showInputMessage="true">
      <formula1>"Mercado Envios por conta do comprador,Mercado Envios grátis"</formula1>
    </dataValidation>
    <dataValidation type="list" sqref="X312" allowBlank="true" errorStyle="stop" showErrorMessage="true" showInputMessage="true">
      <formula1>"Aceita,Não aceito"</formula1>
    </dataValidation>
    <dataValidation type="list" sqref="Y312" allowBlank="true" errorStyle="stop" showErrorMessage="true" showInputMessage="true">
      <formula1>"Clássico,Premium"</formula1>
    </dataValidation>
    <dataValidation type="list" sqref="AA312" allowBlank="true" errorStyle="stop" showErrorMessage="true" showInputMessage="true">
      <formula1>"Ativo,Inativo"</formula1>
    </dataValidation>
    <dataValidation type="list" sqref="AB312" allowBlank="true" errorStyle="stop" showErrorMessage="true" showInputMessage="true">
      <formula1>"Garantia do vendedor,Garantia de fábrica,Sem garantia"</formula1>
    </dataValidation>
    <dataValidation type="list" sqref="AD312" allowBlank="true" errorStyle="stop" showErrorMessage="true" showInputMessage="true">
      <formula1>"dias,meses,anos"</formula1>
    </dataValidation>
    <dataValidation type="list" sqref="J313" allowBlank="true" errorStyle="stop" showErrorMessage="true" showInputMessage="true">
      <formula1>"R$"</formula1>
    </dataValidation>
    <dataValidation type="list" sqref="U313" allowBlank="true" errorStyle="stop" showErrorMessage="true" showInputMessage="true">
      <formula1>"Usado,Novo"</formula1>
    </dataValidation>
    <dataValidation type="list" sqref="W313" allowBlank="true" errorStyle="stop" showErrorMessage="true" showInputMessage="true">
      <formula1>"Mercado Envios por conta do comprador,Mercado Envios grátis"</formula1>
    </dataValidation>
    <dataValidation type="list" sqref="X313" allowBlank="true" errorStyle="stop" showErrorMessage="true" showInputMessage="true">
      <formula1>"Aceita,Não aceito"</formula1>
    </dataValidation>
    <dataValidation type="list" sqref="Y313" allowBlank="true" errorStyle="stop" showErrorMessage="true" showInputMessage="true">
      <formula1>"Clássico,Premium"</formula1>
    </dataValidation>
    <dataValidation type="list" sqref="AA313" allowBlank="true" errorStyle="stop" showErrorMessage="true" showInputMessage="true">
      <formula1>"Ativo,Inativo"</formula1>
    </dataValidation>
    <dataValidation type="list" sqref="AB313" allowBlank="true" errorStyle="stop" showErrorMessage="true" showInputMessage="true">
      <formula1>"Garantia do vendedor,Garantia de fábrica,Sem garantia"</formula1>
    </dataValidation>
    <dataValidation type="list" sqref="AD313" allowBlank="true" errorStyle="stop" showErrorMessage="true" showInputMessage="true">
      <formula1>"dias,meses,anos"</formula1>
    </dataValidation>
    <dataValidation type="list" sqref="J314" allowBlank="true" errorStyle="stop" showErrorMessage="true" showInputMessage="true">
      <formula1>"R$"</formula1>
    </dataValidation>
    <dataValidation type="list" sqref="U314" allowBlank="true" errorStyle="stop" showErrorMessage="true" showInputMessage="true">
      <formula1>"Usado,Novo"</formula1>
    </dataValidation>
    <dataValidation type="list" sqref="W314" allowBlank="true" errorStyle="stop" showErrorMessage="true" showInputMessage="true">
      <formula1>"Mercado Envios por conta do comprador,Mercado Envios grátis"</formula1>
    </dataValidation>
    <dataValidation type="list" sqref="X314" allowBlank="true" errorStyle="stop" showErrorMessage="true" showInputMessage="true">
      <formula1>"Aceita,Não aceito"</formula1>
    </dataValidation>
    <dataValidation type="list" sqref="Y314" allowBlank="true" errorStyle="stop" showErrorMessage="true" showInputMessage="true">
      <formula1>"Clássico,Premium"</formula1>
    </dataValidation>
    <dataValidation type="list" sqref="AA314" allowBlank="true" errorStyle="stop" showErrorMessage="true" showInputMessage="true">
      <formula1>"Ativo,Inativo"</formula1>
    </dataValidation>
    <dataValidation type="list" sqref="AB314" allowBlank="true" errorStyle="stop" showErrorMessage="true" showInputMessage="true">
      <formula1>"Garantia do vendedor,Garantia de fábrica,Sem garantia"</formula1>
    </dataValidation>
    <dataValidation type="list" sqref="AD314" allowBlank="true" errorStyle="stop" showErrorMessage="true" showInputMessage="true">
      <formula1>"dias,meses,anos"</formula1>
    </dataValidation>
    <dataValidation type="list" sqref="J315" allowBlank="true" errorStyle="stop" showErrorMessage="true" showInputMessage="true">
      <formula1>"R$"</formula1>
    </dataValidation>
    <dataValidation type="list" sqref="U315" allowBlank="true" errorStyle="stop" showErrorMessage="true" showInputMessage="true">
      <formula1>"Usado,Novo"</formula1>
    </dataValidation>
    <dataValidation type="list" sqref="W315" allowBlank="true" errorStyle="stop" showErrorMessage="true" showInputMessage="true">
      <formula1>"Mercado Envios por conta do comprador,Mercado Envios grátis"</formula1>
    </dataValidation>
    <dataValidation type="list" sqref="X315" allowBlank="true" errorStyle="stop" showErrorMessage="true" showInputMessage="true">
      <formula1>"Aceita,Não aceito"</formula1>
    </dataValidation>
    <dataValidation type="list" sqref="Y315" allowBlank="true" errorStyle="stop" showErrorMessage="true" showInputMessage="true">
      <formula1>"Clássico,Premium"</formula1>
    </dataValidation>
    <dataValidation type="list" sqref="AA315" allowBlank="true" errorStyle="stop" showErrorMessage="true" showInputMessage="true">
      <formula1>"Ativo,Inativo"</formula1>
    </dataValidation>
    <dataValidation type="list" sqref="AB315" allowBlank="true" errorStyle="stop" showErrorMessage="true" showInputMessage="true">
      <formula1>"Garantia do vendedor,Garantia de fábrica,Sem garantia"</formula1>
    </dataValidation>
    <dataValidation type="list" sqref="AD315" allowBlank="true" errorStyle="stop" showErrorMessage="true" showInputMessage="true">
      <formula1>"dias,meses,anos"</formula1>
    </dataValidation>
    <dataValidation type="list" sqref="J316" allowBlank="true" errorStyle="stop" showErrorMessage="true" showInputMessage="true">
      <formula1>"R$"</formula1>
    </dataValidation>
    <dataValidation type="list" sqref="W316" allowBlank="true" errorStyle="stop" showErrorMessage="true" showInputMessage="true">
      <formula1>"Mercado Envios por conta do comprador,Mercado Envios grátis"</formula1>
    </dataValidation>
    <dataValidation type="list" sqref="X316" allowBlank="true" errorStyle="stop" showErrorMessage="true" showInputMessage="true">
      <formula1>"Aceita,Não aceito"</formula1>
    </dataValidation>
    <dataValidation type="list" sqref="Y316" allowBlank="true" errorStyle="stop" showErrorMessage="true" showInputMessage="true">
      <formula1>"Clássico,Premium"</formula1>
    </dataValidation>
    <dataValidation type="list" sqref="AA316" allowBlank="true" errorStyle="stop" showErrorMessage="true" showInputMessage="true">
      <formula1>"Ativo,Inativo"</formula1>
    </dataValidation>
    <dataValidation type="list" sqref="AB316" allowBlank="true" errorStyle="stop" showErrorMessage="true" showInputMessage="true">
      <formula1>"Garantia do vendedor,Garantia de fábrica,Sem garantia"</formula1>
    </dataValidation>
    <dataValidation type="list" sqref="AD316" allowBlank="true" errorStyle="stop" showErrorMessage="true" showInputMessage="true">
      <formula1>"dias,meses,anos"</formula1>
    </dataValidation>
    <dataValidation type="list" sqref="J317" allowBlank="true" errorStyle="stop" showErrorMessage="true" showInputMessage="true">
      <formula1>"R$"</formula1>
    </dataValidation>
    <dataValidation type="list" sqref="W317" allowBlank="true" errorStyle="stop" showErrorMessage="true" showInputMessage="true">
      <formula1>"Mercado Envios por conta do comprador,Mercado Envios grátis"</formula1>
    </dataValidation>
    <dataValidation type="list" sqref="X317" allowBlank="true" errorStyle="stop" showErrorMessage="true" showInputMessage="true">
      <formula1>"Aceita,Não aceito"</formula1>
    </dataValidation>
    <dataValidation type="list" sqref="Y317" allowBlank="true" errorStyle="stop" showErrorMessage="true" showInputMessage="true">
      <formula1>"Clássico,Premium"</formula1>
    </dataValidation>
    <dataValidation type="list" sqref="AA317" allowBlank="true" errorStyle="stop" showErrorMessage="true" showInputMessage="true">
      <formula1>"Ativo,Inativo"</formula1>
    </dataValidation>
    <dataValidation type="list" sqref="AB317" allowBlank="true" errorStyle="stop" showErrorMessage="true" showInputMessage="true">
      <formula1>"Garantia do vendedor,Garantia de fábrica,Sem garantia"</formula1>
    </dataValidation>
    <dataValidation type="list" sqref="AD317" allowBlank="true" errorStyle="stop" showErrorMessage="true" showInputMessage="true">
      <formula1>"dias,meses,anos"</formula1>
    </dataValidation>
    <dataValidation type="list" sqref="J318" allowBlank="true" errorStyle="stop" showErrorMessage="true" showInputMessage="true">
      <formula1>"R$"</formula1>
    </dataValidation>
    <dataValidation type="list" sqref="U318" allowBlank="true" errorStyle="stop" showErrorMessage="true" showInputMessage="true">
      <formula1>"Usado,Novo"</formula1>
    </dataValidation>
    <dataValidation type="list" sqref="W318" allowBlank="true" errorStyle="stop" showErrorMessage="true" showInputMessage="true">
      <formula1>"Mercado Envios por conta do comprador,Mercado Envios grátis"</formula1>
    </dataValidation>
    <dataValidation type="list" sqref="X318" allowBlank="true" errorStyle="stop" showErrorMessage="true" showInputMessage="true">
      <formula1>"Aceita,Não aceito"</formula1>
    </dataValidation>
    <dataValidation type="list" sqref="Y318" allowBlank="true" errorStyle="stop" showErrorMessage="true" showInputMessage="true">
      <formula1>"Clássico,Premium"</formula1>
    </dataValidation>
    <dataValidation type="list" sqref="AA318" allowBlank="true" errorStyle="stop" showErrorMessage="true" showInputMessage="true">
      <formula1>"Ativo,Inativo"</formula1>
    </dataValidation>
    <dataValidation type="list" sqref="AB318" allowBlank="true" errorStyle="stop" showErrorMessage="true" showInputMessage="true">
      <formula1>"Garantia do vendedor,Garantia de fábrica,Sem garantia"</formula1>
    </dataValidation>
    <dataValidation type="list" sqref="AD318" allowBlank="true" errorStyle="stop" showErrorMessage="true" showInputMessage="true">
      <formula1>"dias,meses,anos"</formula1>
    </dataValidation>
    <dataValidation type="list" sqref="J319" allowBlank="true" errorStyle="stop" showErrorMessage="true" showInputMessage="true">
      <formula1>"R$"</formula1>
    </dataValidation>
    <dataValidation type="list" sqref="U319" allowBlank="true" errorStyle="stop" showErrorMessage="true" showInputMessage="true">
      <formula1>"Usado,Novo"</formula1>
    </dataValidation>
    <dataValidation type="list" sqref="W319" allowBlank="true" errorStyle="stop" showErrorMessage="true" showInputMessage="true">
      <formula1>"Mercado Envios por conta do comprador,Mercado Envios grátis"</formula1>
    </dataValidation>
    <dataValidation type="list" sqref="X319" allowBlank="true" errorStyle="stop" showErrorMessage="true" showInputMessage="true">
      <formula1>"Aceita,Não aceito"</formula1>
    </dataValidation>
    <dataValidation type="list" sqref="Y319" allowBlank="true" errorStyle="stop" showErrorMessage="true" showInputMessage="true">
      <formula1>"Clássico,Premium"</formula1>
    </dataValidation>
    <dataValidation type="list" sqref="AA319" allowBlank="true" errorStyle="stop" showErrorMessage="true" showInputMessage="true">
      <formula1>"Ativo,Inativo"</formula1>
    </dataValidation>
    <dataValidation type="list" sqref="AB319" allowBlank="true" errorStyle="stop" showErrorMessage="true" showInputMessage="true">
      <formula1>"Garantia do vendedor,Garantia de fábrica,Sem garantia"</formula1>
    </dataValidation>
    <dataValidation type="list" sqref="AD319" allowBlank="true" errorStyle="stop" showErrorMessage="true" showInputMessage="true">
      <formula1>"dias,meses,anos"</formula1>
    </dataValidation>
    <dataValidation type="list" sqref="J320" allowBlank="true" errorStyle="stop" showErrorMessage="true" showInputMessage="true">
      <formula1>"R$"</formula1>
    </dataValidation>
    <dataValidation type="list" sqref="U320" allowBlank="true" errorStyle="stop" showErrorMessage="true" showInputMessage="true">
      <formula1>"Novo,Usado"</formula1>
    </dataValidation>
    <dataValidation type="list" sqref="W320" allowBlank="true" errorStyle="stop" showErrorMessage="true" showInputMessage="true">
      <formula1>"Mercado Envios por conta do comprador,Mercado Envios grátis"</formula1>
    </dataValidation>
    <dataValidation type="list" sqref="X320" allowBlank="true" errorStyle="stop" showErrorMessage="true" showInputMessage="true">
      <formula1>"Aceita,Não aceito"</formula1>
    </dataValidation>
    <dataValidation type="list" sqref="Y320" allowBlank="true" errorStyle="stop" showErrorMessage="true" showInputMessage="true">
      <formula1>"Clássico,Premium"</formula1>
    </dataValidation>
    <dataValidation type="list" sqref="AA320" allowBlank="true" errorStyle="stop" showErrorMessage="true" showInputMessage="true">
      <formula1>"Ativo,Inativo"</formula1>
    </dataValidation>
    <dataValidation type="list" sqref="AB320" allowBlank="true" errorStyle="stop" showErrorMessage="true" showInputMessage="true">
      <formula1>"Garantia do vendedor,Garantia de fábrica,Sem garantia"</formula1>
    </dataValidation>
    <dataValidation type="list" sqref="AD320" allowBlank="true" errorStyle="stop" showErrorMessage="true" showInputMessage="true">
      <formula1>"dias,meses,anos"</formula1>
    </dataValidation>
    <dataValidation type="list" sqref="J321" allowBlank="true" errorStyle="stop" showErrorMessage="true" showInputMessage="true">
      <formula1>"R$"</formula1>
    </dataValidation>
    <dataValidation type="list" sqref="U321" allowBlank="true" errorStyle="stop" showErrorMessage="true" showInputMessage="true">
      <formula1>"Usado,Novo"</formula1>
    </dataValidation>
    <dataValidation type="list" sqref="W321" allowBlank="true" errorStyle="stop" showErrorMessage="true" showInputMessage="true">
      <formula1>"Mercado Envios por conta do comprador,Mercado Envios grátis"</formula1>
    </dataValidation>
    <dataValidation type="list" sqref="X321" allowBlank="true" errorStyle="stop" showErrorMessage="true" showInputMessage="true">
      <formula1>"Aceita,Não aceito"</formula1>
    </dataValidation>
    <dataValidation type="list" sqref="Y321" allowBlank="true" errorStyle="stop" showErrorMessage="true" showInputMessage="true">
      <formula1>"Clássico,Premium"</formula1>
    </dataValidation>
    <dataValidation type="list" sqref="AA321" allowBlank="true" errorStyle="stop" showErrorMessage="true" showInputMessage="true">
      <formula1>"Ativo,Inativo"</formula1>
    </dataValidation>
    <dataValidation type="list" sqref="AB321" allowBlank="true" errorStyle="stop" showErrorMessage="true" showInputMessage="true">
      <formula1>"Garantia do vendedor,Garantia de fábrica,Sem garantia"</formula1>
    </dataValidation>
    <dataValidation type="list" sqref="AD321" allowBlank="true" errorStyle="stop" showErrorMessage="true" showInputMessage="true">
      <formula1>"dias,meses,anos"</formula1>
    </dataValidation>
    <dataValidation type="list" sqref="J322" allowBlank="true" errorStyle="stop" showErrorMessage="true" showInputMessage="true">
      <formula1>"R$"</formula1>
    </dataValidation>
    <dataValidation type="list" sqref="U322" allowBlank="true" errorStyle="stop" showErrorMessage="true" showInputMessage="true">
      <formula1>"Novo,Usado"</formula1>
    </dataValidation>
    <dataValidation type="list" sqref="W322" allowBlank="true" errorStyle="stop" showErrorMessage="true" showInputMessage="true">
      <formula1>"Mercado Envios por conta do comprador,Mercado Envios grátis"</formula1>
    </dataValidation>
    <dataValidation type="list" sqref="X322" allowBlank="true" errorStyle="stop" showErrorMessage="true" showInputMessage="true">
      <formula1>"Aceita,Não aceito"</formula1>
    </dataValidation>
    <dataValidation type="list" sqref="Y322" allowBlank="true" errorStyle="stop" showErrorMessage="true" showInputMessage="true">
      <formula1>"Clássico,Premium"</formula1>
    </dataValidation>
    <dataValidation type="list" sqref="AA322" allowBlank="true" errorStyle="stop" showErrorMessage="true" showInputMessage="true">
      <formula1>"Ativo,Inativo"</formula1>
    </dataValidation>
    <dataValidation type="list" sqref="AB322" allowBlank="true" errorStyle="stop" showErrorMessage="true" showInputMessage="true">
      <formula1>"Garantia do vendedor,Garantia de fábrica,Sem garantia"</formula1>
    </dataValidation>
    <dataValidation type="list" sqref="AD322" allowBlank="true" errorStyle="stop" showErrorMessage="true" showInputMessage="true">
      <formula1>"dias,meses,anos"</formula1>
    </dataValidation>
    <dataValidation type="list" sqref="J323" allowBlank="true" errorStyle="stop" showErrorMessage="true" showInputMessage="true">
      <formula1>"R$"</formula1>
    </dataValidation>
    <dataValidation type="list" sqref="U323" allowBlank="true" errorStyle="stop" showErrorMessage="true" showInputMessage="true">
      <formula1>"Usado,Novo"</formula1>
    </dataValidation>
    <dataValidation type="list" sqref="W323" allowBlank="true" errorStyle="stop" showErrorMessage="true" showInputMessage="true">
      <formula1>"Mercado Envios por conta do comprador,Mercado Envios grátis"</formula1>
    </dataValidation>
    <dataValidation type="list" sqref="X323" allowBlank="true" errorStyle="stop" showErrorMessage="true" showInputMessage="true">
      <formula1>"Aceita,Não aceito"</formula1>
    </dataValidation>
    <dataValidation type="list" sqref="Y323" allowBlank="true" errorStyle="stop" showErrorMessage="true" showInputMessage="true">
      <formula1>"Clássico,Premium"</formula1>
    </dataValidation>
    <dataValidation type="list" sqref="AA323" allowBlank="true" errorStyle="stop" showErrorMessage="true" showInputMessage="true">
      <formula1>"Ativo,Inativo"</formula1>
    </dataValidation>
    <dataValidation type="list" sqref="AB323" allowBlank="true" errorStyle="stop" showErrorMessage="true" showInputMessage="true">
      <formula1>"Garantia do vendedor,Garantia de fábrica,Sem garantia"</formula1>
    </dataValidation>
    <dataValidation type="list" sqref="AD323" allowBlank="true" errorStyle="stop" showErrorMessage="true" showInputMessage="true">
      <formula1>"dias,meses,anos"</formula1>
    </dataValidation>
    <dataValidation type="list" sqref="J324" allowBlank="true" errorStyle="stop" showErrorMessage="true" showInputMessage="true">
      <formula1>"R$"</formula1>
    </dataValidation>
    <dataValidation type="list" sqref="U324" allowBlank="true" errorStyle="stop" showErrorMessage="true" showInputMessage="true">
      <formula1>"Usado,Novo"</formula1>
    </dataValidation>
    <dataValidation type="list" sqref="W324" allowBlank="true" errorStyle="stop" showErrorMessage="true" showInputMessage="true">
      <formula1>"Mercado Envios por conta do comprador,Mercado Envios grátis"</formula1>
    </dataValidation>
    <dataValidation type="list" sqref="X324" allowBlank="true" errorStyle="stop" showErrorMessage="true" showInputMessage="true">
      <formula1>"Aceita,Não aceito"</formula1>
    </dataValidation>
    <dataValidation type="list" sqref="Y324" allowBlank="true" errorStyle="stop" showErrorMessage="true" showInputMessage="true">
      <formula1>"Clássico,Premium"</formula1>
    </dataValidation>
    <dataValidation type="list" sqref="AA324" allowBlank="true" errorStyle="stop" showErrorMessage="true" showInputMessage="true">
      <formula1>"Ativo,Inativo"</formula1>
    </dataValidation>
    <dataValidation type="list" sqref="AB324" allowBlank="true" errorStyle="stop" showErrorMessage="true" showInputMessage="true">
      <formula1>"Garantia do vendedor,Garantia de fábrica,Sem garantia"</formula1>
    </dataValidation>
    <dataValidation type="list" sqref="AD324" allowBlank="true" errorStyle="stop" showErrorMessage="true" showInputMessage="true">
      <formula1>"dias,meses,anos"</formula1>
    </dataValidation>
    <dataValidation type="list" sqref="J325" allowBlank="true" errorStyle="stop" showErrorMessage="true" showInputMessage="true">
      <formula1>"R$"</formula1>
    </dataValidation>
    <dataValidation type="list" sqref="U325" allowBlank="true" errorStyle="stop" showErrorMessage="true" showInputMessage="true">
      <formula1>"Usado,Novo"</formula1>
    </dataValidation>
    <dataValidation type="list" sqref="W325" allowBlank="true" errorStyle="stop" showErrorMessage="true" showInputMessage="true">
      <formula1>"Mercado Envios por conta do comprador,Mercado Envios grátis"</formula1>
    </dataValidation>
    <dataValidation type="list" sqref="X325" allowBlank="true" errorStyle="stop" showErrorMessage="true" showInputMessage="true">
      <formula1>"Aceita,Não aceito"</formula1>
    </dataValidation>
    <dataValidation type="list" sqref="Y325" allowBlank="true" errorStyle="stop" showErrorMessage="true" showInputMessage="true">
      <formula1>"Clássico,Premium"</formula1>
    </dataValidation>
    <dataValidation type="list" sqref="AA325" allowBlank="true" errorStyle="stop" showErrorMessage="true" showInputMessage="true">
      <formula1>"Ativo,Inativo"</formula1>
    </dataValidation>
    <dataValidation type="list" sqref="AB325" allowBlank="true" errorStyle="stop" showErrorMessage="true" showInputMessage="true">
      <formula1>"Garantia do vendedor,Garantia de fábrica,Sem garantia"</formula1>
    </dataValidation>
    <dataValidation type="list" sqref="AD325" allowBlank="true" errorStyle="stop" showErrorMessage="true" showInputMessage="true">
      <formula1>"dias,meses,anos"</formula1>
    </dataValidation>
    <dataValidation type="list" sqref="J326" allowBlank="true" errorStyle="stop" showErrorMessage="true" showInputMessage="true">
      <formula1>"R$"</formula1>
    </dataValidation>
    <dataValidation type="list" sqref="U326" allowBlank="true" errorStyle="stop" showErrorMessage="true" showInputMessage="true">
      <formula1>"Novo,Usado"</formula1>
    </dataValidation>
    <dataValidation type="list" sqref="W326" allowBlank="true" errorStyle="stop" showErrorMessage="true" showInputMessage="true">
      <formula1>"Mercado Envios por conta do comprador,Mercado Envios grátis"</formula1>
    </dataValidation>
    <dataValidation type="list" sqref="X326" allowBlank="true" errorStyle="stop" showErrorMessage="true" showInputMessage="true">
      <formula1>"Aceita,Não aceito"</formula1>
    </dataValidation>
    <dataValidation type="list" sqref="Y326" allowBlank="true" errorStyle="stop" showErrorMessage="true" showInputMessage="true">
      <formula1>"Clássico,Premium"</formula1>
    </dataValidation>
    <dataValidation type="list" sqref="AA326" allowBlank="true" errorStyle="stop" showErrorMessage="true" showInputMessage="true">
      <formula1>"Ativo,Inativo"</formula1>
    </dataValidation>
    <dataValidation type="list" sqref="AB326" allowBlank="true" errorStyle="stop" showErrorMessage="true" showInputMessage="true">
      <formula1>"Garantia do vendedor,Garantia de fábrica,Sem garantia"</formula1>
    </dataValidation>
    <dataValidation type="list" sqref="AD326" allowBlank="true" errorStyle="stop" showErrorMessage="true" showInputMessage="true">
      <formula1>"dias,meses,anos"</formula1>
    </dataValidation>
    <dataValidation type="list" sqref="J327" allowBlank="true" errorStyle="stop" showErrorMessage="true" showInputMessage="true">
      <formula1>"R$"</formula1>
    </dataValidation>
    <dataValidation type="list" sqref="U327" allowBlank="true" errorStyle="stop" showErrorMessage="true" showInputMessage="true">
      <formula1>"Novo,Usado"</formula1>
    </dataValidation>
    <dataValidation type="list" sqref="W327" allowBlank="true" errorStyle="stop" showErrorMessage="true" showInputMessage="true">
      <formula1>"Mercado Envios por conta do comprador,Mercado Envios grátis"</formula1>
    </dataValidation>
    <dataValidation type="list" sqref="X327" allowBlank="true" errorStyle="stop" showErrorMessage="true" showInputMessage="true">
      <formula1>"Aceita,Não aceito"</formula1>
    </dataValidation>
    <dataValidation type="list" sqref="Y327" allowBlank="true" errorStyle="stop" showErrorMessage="true" showInputMessage="true">
      <formula1>"Clássico,Premium"</formula1>
    </dataValidation>
    <dataValidation type="list" sqref="AA327" allowBlank="true" errorStyle="stop" showErrorMessage="true" showInputMessage="true">
      <formula1>"Ativo,Inativo"</formula1>
    </dataValidation>
    <dataValidation type="list" sqref="AB327" allowBlank="true" errorStyle="stop" showErrorMessage="true" showInputMessage="true">
      <formula1>"Garantia do vendedor,Garantia de fábrica,Sem garantia"</formula1>
    </dataValidation>
    <dataValidation type="list" sqref="AD327" allowBlank="true" errorStyle="stop" showErrorMessage="true" showInputMessage="true">
      <formula1>"dias,meses,anos"</formula1>
    </dataValidation>
    <dataValidation type="list" sqref="J328" allowBlank="true" errorStyle="stop" showErrorMessage="true" showInputMessage="true">
      <formula1>"R$"</formula1>
    </dataValidation>
    <dataValidation type="list" sqref="U328" allowBlank="true" errorStyle="stop" showErrorMessage="true" showInputMessage="true">
      <formula1>"Usado,Novo"</formula1>
    </dataValidation>
    <dataValidation type="list" sqref="W328" allowBlank="true" errorStyle="stop" showErrorMessage="true" showInputMessage="true">
      <formula1>"Mercado Envios por conta do comprador,Mercado Envios grátis"</formula1>
    </dataValidation>
    <dataValidation type="list" sqref="X328" allowBlank="true" errorStyle="stop" showErrorMessage="true" showInputMessage="true">
      <formula1>"Aceita,Não aceito"</formula1>
    </dataValidation>
    <dataValidation type="list" sqref="Y328" allowBlank="true" errorStyle="stop" showErrorMessage="true" showInputMessage="true">
      <formula1>"Clássico,Premium"</formula1>
    </dataValidation>
    <dataValidation type="list" sqref="AA328" allowBlank="true" errorStyle="stop" showErrorMessage="true" showInputMessage="true">
      <formula1>"Ativo,Inativo"</formula1>
    </dataValidation>
    <dataValidation type="list" sqref="AB328" allowBlank="true" errorStyle="stop" showErrorMessage="true" showInputMessage="true">
      <formula1>"Garantia do vendedor,Garantia de fábrica,Sem garantia"</formula1>
    </dataValidation>
    <dataValidation type="list" sqref="AD328" allowBlank="true" errorStyle="stop" showErrorMessage="true" showInputMessage="true">
      <formula1>"dias,meses,anos"</formula1>
    </dataValidation>
    <dataValidation type="list" sqref="J329" allowBlank="true" errorStyle="stop" showErrorMessage="true" showInputMessage="true">
      <formula1>"R$"</formula1>
    </dataValidation>
    <dataValidation type="list" sqref="W329" allowBlank="true" errorStyle="stop" showErrorMessage="true" showInputMessage="true">
      <formula1>"Mercado Envios por conta do comprador,Mercado Envios grátis"</formula1>
    </dataValidation>
    <dataValidation type="list" sqref="X329" allowBlank="true" errorStyle="stop" showErrorMessage="true" showInputMessage="true">
      <formula1>"Aceita,Não aceito"</formula1>
    </dataValidation>
    <dataValidation type="list" sqref="Y329" allowBlank="true" errorStyle="stop" showErrorMessage="true" showInputMessage="true">
      <formula1>"Clássico,Premium"</formula1>
    </dataValidation>
    <dataValidation type="list" sqref="AA329" allowBlank="true" errorStyle="stop" showErrorMessage="true" showInputMessage="true">
      <formula1>"Ativo,Inativo"</formula1>
    </dataValidation>
    <dataValidation type="list" sqref="AB329" allowBlank="true" errorStyle="stop" showErrorMessage="true" showInputMessage="true">
      <formula1>"Garantia do vendedor,Garantia de fábrica,Sem garantia"</formula1>
    </dataValidation>
    <dataValidation type="list" sqref="AD329" allowBlank="true" errorStyle="stop" showErrorMessage="true" showInputMessage="true">
      <formula1>"dias,meses,anos"</formula1>
    </dataValidation>
    <dataValidation type="list" sqref="J330" allowBlank="true" errorStyle="stop" showErrorMessage="true" showInputMessage="true">
      <formula1>"R$"</formula1>
    </dataValidation>
    <dataValidation type="list" sqref="U330" allowBlank="true" errorStyle="stop" showErrorMessage="true" showInputMessage="true">
      <formula1>"Usado,Novo"</formula1>
    </dataValidation>
    <dataValidation type="list" sqref="W330" allowBlank="true" errorStyle="stop" showErrorMessage="true" showInputMessage="true">
      <formula1>"Mercado Envios por conta do comprador,Mercado Envios grátis"</formula1>
    </dataValidation>
    <dataValidation type="list" sqref="X330" allowBlank="true" errorStyle="stop" showErrorMessage="true" showInputMessage="true">
      <formula1>"Aceita,Não aceito"</formula1>
    </dataValidation>
    <dataValidation type="list" sqref="Y330" allowBlank="true" errorStyle="stop" showErrorMessage="true" showInputMessage="true">
      <formula1>"Clássico,Premium"</formula1>
    </dataValidation>
    <dataValidation type="list" sqref="AA330" allowBlank="true" errorStyle="stop" showErrorMessage="true" showInputMessage="true">
      <formula1>"Ativo,Inativo"</formula1>
    </dataValidation>
    <dataValidation type="list" sqref="AB330" allowBlank="true" errorStyle="stop" showErrorMessage="true" showInputMessage="true">
      <formula1>"Garantia do vendedor,Garantia de fábrica,Sem garantia"</formula1>
    </dataValidation>
    <dataValidation type="list" sqref="AD330" allowBlank="true" errorStyle="stop" showErrorMessage="true" showInputMessage="true">
      <formula1>"dias,meses,anos"</formula1>
    </dataValidation>
    <dataValidation type="list" sqref="J331" allowBlank="true" errorStyle="stop" showErrorMessage="true" showInputMessage="true">
      <formula1>"R$"</formula1>
    </dataValidation>
    <dataValidation type="list" sqref="U331" allowBlank="true" errorStyle="stop" showErrorMessage="true" showInputMessage="true">
      <formula1>"Usado,Novo"</formula1>
    </dataValidation>
    <dataValidation type="list" sqref="W331" allowBlank="true" errorStyle="stop" showErrorMessage="true" showInputMessage="true">
      <formula1>"Mercado Envios por conta do comprador,Mercado Envios grátis"</formula1>
    </dataValidation>
    <dataValidation type="list" sqref="X331" allowBlank="true" errorStyle="stop" showErrorMessage="true" showInputMessage="true">
      <formula1>"Aceita,Não aceito"</formula1>
    </dataValidation>
    <dataValidation type="list" sqref="Y331" allowBlank="true" errorStyle="stop" showErrorMessage="true" showInputMessage="true">
      <formula1>"Clássico,Premium"</formula1>
    </dataValidation>
    <dataValidation type="list" sqref="AA331" allowBlank="true" errorStyle="stop" showErrorMessage="true" showInputMessage="true">
      <formula1>"Ativo,Inativo"</formula1>
    </dataValidation>
    <dataValidation type="list" sqref="AB331" allowBlank="true" errorStyle="stop" showErrorMessage="true" showInputMessage="true">
      <formula1>"Garantia do vendedor,Garantia de fábrica,Sem garantia"</formula1>
    </dataValidation>
    <dataValidation type="list" sqref="AD331" allowBlank="true" errorStyle="stop" showErrorMessage="true" showInputMessage="true">
      <formula1>"dias,meses,anos"</formula1>
    </dataValidation>
    <dataValidation type="list" sqref="J332" allowBlank="true" errorStyle="stop" showErrorMessage="true" showInputMessage="true">
      <formula1>"R$"</formula1>
    </dataValidation>
    <dataValidation type="list" sqref="U332" allowBlank="true" errorStyle="stop" showErrorMessage="true" showInputMessage="true">
      <formula1>"Usado,Novo"</formula1>
    </dataValidation>
    <dataValidation type="list" sqref="W332" allowBlank="true" errorStyle="stop" showErrorMessage="true" showInputMessage="true">
      <formula1>"Mercado Envios por conta do comprador,Mercado Envios grátis"</formula1>
    </dataValidation>
    <dataValidation type="list" sqref="X332" allowBlank="true" errorStyle="stop" showErrorMessage="true" showInputMessage="true">
      <formula1>"Aceita,Não aceito"</formula1>
    </dataValidation>
    <dataValidation type="list" sqref="Y332" allowBlank="true" errorStyle="stop" showErrorMessage="true" showInputMessage="true">
      <formula1>"Clássico,Premium"</formula1>
    </dataValidation>
    <dataValidation type="list" sqref="AA332" allowBlank="true" errorStyle="stop" showErrorMessage="true" showInputMessage="true">
      <formula1>"Ativo,Inativo"</formula1>
    </dataValidation>
    <dataValidation type="list" sqref="AB332" allowBlank="true" errorStyle="stop" showErrorMessage="true" showInputMessage="true">
      <formula1>"Garantia do vendedor,Garantia de fábrica,Sem garantia"</formula1>
    </dataValidation>
    <dataValidation type="list" sqref="AD332" allowBlank="true" errorStyle="stop" showErrorMessage="true" showInputMessage="true">
      <formula1>"dias,meses,anos"</formula1>
    </dataValidation>
    <dataValidation type="list" sqref="J333" allowBlank="true" errorStyle="stop" showErrorMessage="true" showInputMessage="true">
      <formula1>"R$"</formula1>
    </dataValidation>
    <dataValidation type="list" sqref="U333" allowBlank="true" errorStyle="stop" showErrorMessage="true" showInputMessage="true">
      <formula1>"Usado,Novo"</formula1>
    </dataValidation>
    <dataValidation type="list" sqref="W333" allowBlank="true" errorStyle="stop" showErrorMessage="true" showInputMessage="true">
      <formula1>"Mercado Envios por conta do comprador,Mercado Envios grátis"</formula1>
    </dataValidation>
    <dataValidation type="list" sqref="X333" allowBlank="true" errorStyle="stop" showErrorMessage="true" showInputMessage="true">
      <formula1>"Aceita,Não aceito"</formula1>
    </dataValidation>
    <dataValidation type="list" sqref="Y333" allowBlank="true" errorStyle="stop" showErrorMessage="true" showInputMessage="true">
      <formula1>"Clássico,Premium"</formula1>
    </dataValidation>
    <dataValidation type="list" sqref="AA333" allowBlank="true" errorStyle="stop" showErrorMessage="true" showInputMessage="true">
      <formula1>"Ativo,Inativo"</formula1>
    </dataValidation>
    <dataValidation type="list" sqref="AB333" allowBlank="true" errorStyle="stop" showErrorMessage="true" showInputMessage="true">
      <formula1>"Garantia do vendedor,Garantia de fábrica,Sem garantia"</formula1>
    </dataValidation>
    <dataValidation type="list" sqref="AD333" allowBlank="true" errorStyle="stop" showErrorMessage="true" showInputMessage="true">
      <formula1>"dias,meses,anos"</formula1>
    </dataValidation>
    <dataValidation type="list" sqref="J334" allowBlank="true" errorStyle="stop" showErrorMessage="true" showInputMessage="true">
      <formula1>"R$"</formula1>
    </dataValidation>
    <dataValidation type="list" sqref="U334" allowBlank="true" errorStyle="stop" showErrorMessage="true" showInputMessage="true">
      <formula1>"Usado,Novo"</formula1>
    </dataValidation>
    <dataValidation type="list" sqref="W334" allowBlank="true" errorStyle="stop" showErrorMessage="true" showInputMessage="true">
      <formula1>"Mercado Envios por conta do comprador,Mercado Envios grátis"</formula1>
    </dataValidation>
    <dataValidation type="list" sqref="X334" allowBlank="true" errorStyle="stop" showErrorMessage="true" showInputMessage="true">
      <formula1>"Aceita,Não aceito"</formula1>
    </dataValidation>
    <dataValidation type="list" sqref="Y334" allowBlank="true" errorStyle="stop" showErrorMessage="true" showInputMessage="true">
      <formula1>"Clássico,Premium"</formula1>
    </dataValidation>
    <dataValidation type="list" sqref="AA334" allowBlank="true" errorStyle="stop" showErrorMessage="true" showInputMessage="true">
      <formula1>"Ativo,Inativo"</formula1>
    </dataValidation>
    <dataValidation type="list" sqref="AB334" allowBlank="true" errorStyle="stop" showErrorMessage="true" showInputMessage="true">
      <formula1>"Garantia do vendedor,Garantia de fábrica,Sem garantia"</formula1>
    </dataValidation>
    <dataValidation type="list" sqref="AD334" allowBlank="true" errorStyle="stop" showErrorMessage="true" showInputMessage="true">
      <formula1>"dias,meses,anos"</formula1>
    </dataValidation>
    <dataValidation type="list" sqref="J335" allowBlank="true" errorStyle="stop" showErrorMessage="true" showInputMessage="true">
      <formula1>"R$"</formula1>
    </dataValidation>
    <dataValidation type="list" sqref="U335" allowBlank="true" errorStyle="stop" showErrorMessage="true" showInputMessage="true">
      <formula1>"Novo,Usado"</formula1>
    </dataValidation>
    <dataValidation type="list" sqref="W335" allowBlank="true" errorStyle="stop" showErrorMessage="true" showInputMessage="true">
      <formula1>"Mercado Envios por conta do comprador,Mercado Envios grátis"</formula1>
    </dataValidation>
    <dataValidation type="list" sqref="X335" allowBlank="true" errorStyle="stop" showErrorMessage="true" showInputMessage="true">
      <formula1>"Aceita,Não aceito"</formula1>
    </dataValidation>
    <dataValidation type="list" sqref="Y335" allowBlank="true" errorStyle="stop" showErrorMessage="true" showInputMessage="true">
      <formula1>"Clássico,Premium"</formula1>
    </dataValidation>
    <dataValidation type="list" sqref="AA335" allowBlank="true" errorStyle="stop" showErrorMessage="true" showInputMessage="true">
      <formula1>"Ativo,Inativo"</formula1>
    </dataValidation>
    <dataValidation type="list" sqref="AB335" allowBlank="true" errorStyle="stop" showErrorMessage="true" showInputMessage="true">
      <formula1>"Garantia do vendedor,Garantia de fábrica,Sem garantia"</formula1>
    </dataValidation>
    <dataValidation type="list" sqref="AD335" allowBlank="true" errorStyle="stop" showErrorMessage="true" showInputMessage="true">
      <formula1>"dias,meses,anos"</formula1>
    </dataValidation>
    <dataValidation type="list" sqref="J336" allowBlank="true" errorStyle="stop" showErrorMessage="true" showInputMessage="true">
      <formula1>"R$"</formula1>
    </dataValidation>
    <dataValidation type="list" sqref="U336" allowBlank="true" errorStyle="stop" showErrorMessage="true" showInputMessage="true">
      <formula1>"Novo,Usado"</formula1>
    </dataValidation>
    <dataValidation type="list" sqref="W336" allowBlank="true" errorStyle="stop" showErrorMessage="true" showInputMessage="true">
      <formula1>"Mercado Envios por conta do comprador,Mercado Envios grátis"</formula1>
    </dataValidation>
    <dataValidation type="list" sqref="X336" allowBlank="true" errorStyle="stop" showErrorMessage="true" showInputMessage="true">
      <formula1>"Aceita,Não aceito"</formula1>
    </dataValidation>
    <dataValidation type="list" sqref="Y336" allowBlank="true" errorStyle="stop" showErrorMessage="true" showInputMessage="true">
      <formula1>"Clássico,Premium"</formula1>
    </dataValidation>
    <dataValidation type="list" sqref="AA336" allowBlank="true" errorStyle="stop" showErrorMessage="true" showInputMessage="true">
      <formula1>"Ativo,Inativo"</formula1>
    </dataValidation>
    <dataValidation type="list" sqref="AB336" allowBlank="true" errorStyle="stop" showErrorMessage="true" showInputMessage="true">
      <formula1>"Garantia do vendedor,Garantia de fábrica,Sem garantia"</formula1>
    </dataValidation>
    <dataValidation type="list" sqref="AD336" allowBlank="true" errorStyle="stop" showErrorMessage="true" showInputMessage="true">
      <formula1>"dias,meses,anos"</formula1>
    </dataValidation>
    <dataValidation type="list" sqref="J337" allowBlank="true" errorStyle="stop" showErrorMessage="true" showInputMessage="true">
      <formula1>"R$"</formula1>
    </dataValidation>
    <dataValidation type="list" sqref="U337" allowBlank="true" errorStyle="stop" showErrorMessage="true" showInputMessage="true">
      <formula1>"Novo,Usado"</formula1>
    </dataValidation>
    <dataValidation type="list" sqref="W337" allowBlank="true" errorStyle="stop" showErrorMessage="true" showInputMessage="true">
      <formula1>"Mercado Envios por conta do comprador,Mercado Envios grátis"</formula1>
    </dataValidation>
    <dataValidation type="list" sqref="X337" allowBlank="true" errorStyle="stop" showErrorMessage="true" showInputMessage="true">
      <formula1>"Aceita,Não aceito"</formula1>
    </dataValidation>
    <dataValidation type="list" sqref="Y337" allowBlank="true" errorStyle="stop" showErrorMessage="true" showInputMessage="true">
      <formula1>"Clássico,Premium"</formula1>
    </dataValidation>
    <dataValidation type="list" sqref="AA337" allowBlank="true" errorStyle="stop" showErrorMessage="true" showInputMessage="true">
      <formula1>"Ativo,Inativo"</formula1>
    </dataValidation>
    <dataValidation type="list" sqref="AB337" allowBlank="true" errorStyle="stop" showErrorMessage="true" showInputMessage="true">
      <formula1>"Garantia do vendedor,Garantia de fábrica,Sem garantia"</formula1>
    </dataValidation>
    <dataValidation type="list" sqref="AD337" allowBlank="true" errorStyle="stop" showErrorMessage="true" showInputMessage="true">
      <formula1>"dias,meses,anos"</formula1>
    </dataValidation>
    <dataValidation type="list" sqref="J338" allowBlank="true" errorStyle="stop" showErrorMessage="true" showInputMessage="true">
      <formula1>"R$"</formula1>
    </dataValidation>
    <dataValidation type="list" sqref="U338" allowBlank="true" errorStyle="stop" showErrorMessage="true" showInputMessage="true">
      <formula1>"Novo,Usado"</formula1>
    </dataValidation>
    <dataValidation type="list" sqref="W338" allowBlank="true" errorStyle="stop" showErrorMessage="true" showInputMessage="true">
      <formula1>"Mercado Envios por conta do comprador,Mercado Envios grátis"</formula1>
    </dataValidation>
    <dataValidation type="list" sqref="X338" allowBlank="true" errorStyle="stop" showErrorMessage="true" showInputMessage="true">
      <formula1>"Aceita,Não aceito"</formula1>
    </dataValidation>
    <dataValidation type="list" sqref="Y338" allowBlank="true" errorStyle="stop" showErrorMessage="true" showInputMessage="true">
      <formula1>"Clássico,Premium"</formula1>
    </dataValidation>
    <dataValidation type="list" sqref="AA338" allowBlank="true" errorStyle="stop" showErrorMessage="true" showInputMessage="true">
      <formula1>"Ativo,Inativo"</formula1>
    </dataValidation>
    <dataValidation type="list" sqref="AB338" allowBlank="true" errorStyle="stop" showErrorMessage="true" showInputMessage="true">
      <formula1>"Garantia do vendedor,Garantia de fábrica,Sem garantia"</formula1>
    </dataValidation>
    <dataValidation type="list" sqref="AD338" allowBlank="true" errorStyle="stop" showErrorMessage="true" showInputMessage="true">
      <formula1>"dias,meses,anos"</formula1>
    </dataValidation>
    <dataValidation type="list" sqref="J339" allowBlank="true" errorStyle="stop" showErrorMessage="true" showInputMessage="true">
      <formula1>"R$"</formula1>
    </dataValidation>
    <dataValidation type="list" sqref="U339" allowBlank="true" errorStyle="stop" showErrorMessage="true" showInputMessage="true">
      <formula1>"Usado,Novo,Recondicionado"</formula1>
    </dataValidation>
    <dataValidation type="list" sqref="W339" allowBlank="true" errorStyle="stop" showErrorMessage="true" showInputMessage="true">
      <formula1>"Mercado Envios por conta do comprador,Mercado Envios grátis"</formula1>
    </dataValidation>
    <dataValidation type="list" sqref="X339" allowBlank="true" errorStyle="stop" showErrorMessage="true" showInputMessage="true">
      <formula1>"Aceita,Não aceito"</formula1>
    </dataValidation>
    <dataValidation type="list" sqref="Y339" allowBlank="true" errorStyle="stop" showErrorMessage="true" showInputMessage="true">
      <formula1>"Clássico,Premium"</formula1>
    </dataValidation>
    <dataValidation type="list" sqref="AA339" allowBlank="true" errorStyle="stop" showErrorMessage="true" showInputMessage="true">
      <formula1>"Ativo,Inativo"</formula1>
    </dataValidation>
    <dataValidation type="list" sqref="AB339" allowBlank="true" errorStyle="stop" showErrorMessage="true" showInputMessage="true">
      <formula1>"Garantia do vendedor,Garantia de fábrica,Sem garantia"</formula1>
    </dataValidation>
    <dataValidation type="list" sqref="AD339" allowBlank="true" errorStyle="stop" showErrorMessage="true" showInputMessage="true">
      <formula1>"dias,meses,anos"</formula1>
    </dataValidation>
    <dataValidation type="list" sqref="J340" allowBlank="true" errorStyle="stop" showErrorMessage="true" showInputMessage="true">
      <formula1>"R$"</formula1>
    </dataValidation>
    <dataValidation type="list" sqref="U340" allowBlank="true" errorStyle="stop" showErrorMessage="true" showInputMessage="true">
      <formula1>"Usado,Novo"</formula1>
    </dataValidation>
    <dataValidation type="list" sqref="W340" allowBlank="true" errorStyle="stop" showErrorMessage="true" showInputMessage="true">
      <formula1>"Envios por minha conta a cargo do comprador,Frete grátis por conta própria,Não faço envios"</formula1>
    </dataValidation>
    <dataValidation type="list" sqref="X340" allowBlank="true" errorStyle="stop" showErrorMessage="true" showInputMessage="true">
      <formula1>"Aceita,Não aceito"</formula1>
    </dataValidation>
    <dataValidation type="list" sqref="Y340" allowBlank="true" errorStyle="stop" showErrorMessage="true" showInputMessage="true">
      <formula1>"Clássico,Premium"</formula1>
    </dataValidation>
    <dataValidation type="list" sqref="AA340" allowBlank="true" errorStyle="stop" showErrorMessage="true" showInputMessage="true">
      <formula1>"Ativo,Inativo"</formula1>
    </dataValidation>
    <dataValidation type="list" sqref="AB340" allowBlank="true" errorStyle="stop" showErrorMessage="true" showInputMessage="true">
      <formula1>"Garantia do vendedor,Garantia de fábrica,Sem garantia"</formula1>
    </dataValidation>
    <dataValidation type="list" sqref="AD340" allowBlank="true" errorStyle="stop" showErrorMessage="true" showInputMessage="true">
      <formula1>"dias,meses,anos"</formula1>
    </dataValidation>
    <dataValidation type="list" sqref="J341" allowBlank="true" errorStyle="stop" showErrorMessage="true" showInputMessage="true">
      <formula1>"R$"</formula1>
    </dataValidation>
    <dataValidation type="list" sqref="U341" allowBlank="true" errorStyle="stop" showErrorMessage="true" showInputMessage="true">
      <formula1>"Novo,Usado"</formula1>
    </dataValidation>
    <dataValidation type="list" sqref="W341" allowBlank="true" errorStyle="stop" showErrorMessage="true" showInputMessage="true">
      <formula1>"Mercado Envios por conta do comprador,Mercado Envios grátis"</formula1>
    </dataValidation>
    <dataValidation type="list" sqref="X341" allowBlank="true" errorStyle="stop" showErrorMessage="true" showInputMessage="true">
      <formula1>"Aceita,Não aceito"</formula1>
    </dataValidation>
    <dataValidation type="list" sqref="Y341" allowBlank="true" errorStyle="stop" showErrorMessage="true" showInputMessage="true">
      <formula1>"Clássico,Premium"</formula1>
    </dataValidation>
    <dataValidation type="list" sqref="AA341" allowBlank="true" errorStyle="stop" showErrorMessage="true" showInputMessage="true">
      <formula1>"Ativo,Inativo"</formula1>
    </dataValidation>
    <dataValidation type="list" sqref="AB341" allowBlank="true" errorStyle="stop" showErrorMessage="true" showInputMessage="true">
      <formula1>"Garantia do vendedor,Garantia de fábrica,Sem garantia"</formula1>
    </dataValidation>
    <dataValidation type="list" sqref="AD341" allowBlank="true" errorStyle="stop" showErrorMessage="true" showInputMessage="true">
      <formula1>"dias,meses,anos"</formula1>
    </dataValidation>
    <dataValidation type="list" sqref="J342" allowBlank="true" errorStyle="stop" showErrorMessage="true" showInputMessage="true">
      <formula1>"R$"</formula1>
    </dataValidation>
    <dataValidation type="list" sqref="U342" allowBlank="true" errorStyle="stop" showErrorMessage="true" showInputMessage="true">
      <formula1>"Usado,Novo"</formula1>
    </dataValidation>
    <dataValidation type="list" sqref="W342" allowBlank="true" errorStyle="stop" showErrorMessage="true" showInputMessage="true">
      <formula1>"Mercado Envios por conta do comprador,Mercado Envios grátis"</formula1>
    </dataValidation>
    <dataValidation type="list" sqref="X342" allowBlank="true" errorStyle="stop" showErrorMessage="true" showInputMessage="true">
      <formula1>"Aceita,Não aceito"</formula1>
    </dataValidation>
    <dataValidation type="list" sqref="Y342" allowBlank="true" errorStyle="stop" showErrorMessage="true" showInputMessage="true">
      <formula1>"Clássico,Premium"</formula1>
    </dataValidation>
    <dataValidation type="list" sqref="AA342" allowBlank="true" errorStyle="stop" showErrorMessage="true" showInputMessage="true">
      <formula1>"Ativo,Inativo"</formula1>
    </dataValidation>
    <dataValidation type="list" sqref="AB342" allowBlank="true" errorStyle="stop" showErrorMessage="true" showInputMessage="true">
      <formula1>"Garantia do vendedor,Garantia de fábrica,Sem garantia"</formula1>
    </dataValidation>
    <dataValidation type="list" sqref="AD342" allowBlank="true" errorStyle="stop" showErrorMessage="true" showInputMessage="true">
      <formula1>"dias,meses,anos"</formula1>
    </dataValidation>
    <dataValidation type="list" sqref="J343" allowBlank="true" errorStyle="stop" showErrorMessage="true" showInputMessage="true">
      <formula1>"R$"</formula1>
    </dataValidation>
    <dataValidation type="list" sqref="W343" allowBlank="true" errorStyle="stop" showErrorMessage="true" showInputMessage="true">
      <formula1>"Mercado Envios por conta do comprador,Mercado Envios grátis"</formula1>
    </dataValidation>
    <dataValidation type="list" sqref="X343" allowBlank="true" errorStyle="stop" showErrorMessage="true" showInputMessage="true">
      <formula1>"Aceita,Não aceito"</formula1>
    </dataValidation>
    <dataValidation type="list" sqref="Y343" allowBlank="true" errorStyle="stop" showErrorMessage="true" showInputMessage="true">
      <formula1>"Clássico,Premium"</formula1>
    </dataValidation>
    <dataValidation type="list" sqref="AA343" allowBlank="true" errorStyle="stop" showErrorMessage="true" showInputMessage="true">
      <formula1>"Ativo,Inativo"</formula1>
    </dataValidation>
    <dataValidation type="list" sqref="AB343" allowBlank="true" errorStyle="stop" showErrorMessage="true" showInputMessage="true">
      <formula1>"Garantia do vendedor,Garantia de fábrica,Sem garantia"</formula1>
    </dataValidation>
    <dataValidation type="list" sqref="AD343" allowBlank="true" errorStyle="stop" showErrorMessage="true" showInputMessage="true">
      <formula1>"dias,meses,anos"</formula1>
    </dataValidation>
    <dataValidation type="list" sqref="J344" allowBlank="true" errorStyle="stop" showErrorMessage="true" showInputMessage="true">
      <formula1>"R$"</formula1>
    </dataValidation>
    <dataValidation type="list" sqref="W344" allowBlank="true" errorStyle="stop" showErrorMessage="true" showInputMessage="true">
      <formula1>"Mercado Envios por conta do comprador,Mercado Envios grátis"</formula1>
    </dataValidation>
    <dataValidation type="list" sqref="X344" allowBlank="true" errorStyle="stop" showErrorMessage="true" showInputMessage="true">
      <formula1>"Aceita,Não aceito"</formula1>
    </dataValidation>
    <dataValidation type="list" sqref="Y344" allowBlank="true" errorStyle="stop" showErrorMessage="true" showInputMessage="true">
      <formula1>"Clássico,Premium"</formula1>
    </dataValidation>
    <dataValidation type="list" sqref="AA344" allowBlank="true" errorStyle="stop" showErrorMessage="true" showInputMessage="true">
      <formula1>"Ativo,Inativo"</formula1>
    </dataValidation>
    <dataValidation type="list" sqref="AB344" allowBlank="true" errorStyle="stop" showErrorMessage="true" showInputMessage="true">
      <formula1>"Garantia do vendedor,Garantia de fábrica,Sem garantia"</formula1>
    </dataValidation>
    <dataValidation type="list" sqref="AD344" allowBlank="true" errorStyle="stop" showErrorMessage="true" showInputMessage="true">
      <formula1>"dias,meses,anos"</formula1>
    </dataValidation>
    <dataValidation type="list" sqref="J345" allowBlank="true" errorStyle="stop" showErrorMessage="true" showInputMessage="true">
      <formula1>"R$"</formula1>
    </dataValidation>
    <dataValidation type="list" sqref="U345" allowBlank="true" errorStyle="stop" showErrorMessage="true" showInputMessage="true">
      <formula1>"Usado,Novo"</formula1>
    </dataValidation>
    <dataValidation type="list" sqref="W345" allowBlank="true" errorStyle="stop" showErrorMessage="true" showInputMessage="true">
      <formula1>"Mercado Envios por conta do comprador,Mercado Envios grátis"</formula1>
    </dataValidation>
    <dataValidation type="list" sqref="X345" allowBlank="true" errorStyle="stop" showErrorMessage="true" showInputMessage="true">
      <formula1>"Aceita,Não aceito"</formula1>
    </dataValidation>
    <dataValidation type="list" sqref="Y345" allowBlank="true" errorStyle="stop" showErrorMessage="true" showInputMessage="true">
      <formula1>"Clássico,Premium"</formula1>
    </dataValidation>
    <dataValidation type="list" sqref="AA345" allowBlank="true" errorStyle="stop" showErrorMessage="true" showInputMessage="true">
      <formula1>"Ativo,Inativo"</formula1>
    </dataValidation>
    <dataValidation type="list" sqref="AB345" allowBlank="true" errorStyle="stop" showErrorMessage="true" showInputMessage="true">
      <formula1>"Garantia do vendedor,Garantia de fábrica,Sem garantia"</formula1>
    </dataValidation>
    <dataValidation type="list" sqref="AD345" allowBlank="true" errorStyle="stop" showErrorMessage="true" showInputMessage="true">
      <formula1>"dias,meses,anos"</formula1>
    </dataValidation>
    <dataValidation type="list" sqref="J346" allowBlank="true" errorStyle="stop" showErrorMessage="true" showInputMessage="true">
      <formula1>"R$"</formula1>
    </dataValidation>
    <dataValidation type="list" sqref="W346" allowBlank="true" errorStyle="stop" showErrorMessage="true" showInputMessage="true">
      <formula1>"Mercado Envios por conta do comprador,Mercado Envios grátis"</formula1>
    </dataValidation>
    <dataValidation type="list" sqref="X346" allowBlank="true" errorStyle="stop" showErrorMessage="true" showInputMessage="true">
      <formula1>"Aceita,Não aceito"</formula1>
    </dataValidation>
    <dataValidation type="list" sqref="Y346" allowBlank="true" errorStyle="stop" showErrorMessage="true" showInputMessage="true">
      <formula1>"Clássico,Premium"</formula1>
    </dataValidation>
    <dataValidation type="list" sqref="AA346" allowBlank="true" errorStyle="stop" showErrorMessage="true" showInputMessage="true">
      <formula1>"Ativo,Inativo"</formula1>
    </dataValidation>
    <dataValidation type="list" sqref="AB346" allowBlank="true" errorStyle="stop" showErrorMessage="true" showInputMessage="true">
      <formula1>"Garantia do vendedor,Garantia de fábrica,Sem garantia"</formula1>
    </dataValidation>
    <dataValidation type="list" sqref="AD346" allowBlank="true" errorStyle="stop" showErrorMessage="true" showInputMessage="true">
      <formula1>"dias,meses,anos"</formula1>
    </dataValidation>
    <dataValidation type="list" sqref="J347" allowBlank="true" errorStyle="stop" showErrorMessage="true" showInputMessage="true">
      <formula1>"R$"</formula1>
    </dataValidation>
    <dataValidation type="list" sqref="U347" allowBlank="true" errorStyle="stop" showErrorMessage="true" showInputMessage="true">
      <formula1>"Novo,Usado,Recondicionado"</formula1>
    </dataValidation>
    <dataValidation type="list" sqref="W347" allowBlank="true" errorStyle="stop" showErrorMessage="true" showInputMessage="true">
      <formula1>"Mercado Envios por conta do comprador,Mercado Envios grátis"</formula1>
    </dataValidation>
    <dataValidation type="list" sqref="X347" allowBlank="true" errorStyle="stop" showErrorMessage="true" showInputMessage="true">
      <formula1>"Aceita,Não aceito"</formula1>
    </dataValidation>
    <dataValidation type="list" sqref="Y347" allowBlank="true" errorStyle="stop" showErrorMessage="true" showInputMessage="true">
      <formula1>"Clássico,Premium"</formula1>
    </dataValidation>
    <dataValidation type="list" sqref="AA347" allowBlank="true" errorStyle="stop" showErrorMessage="true" showInputMessage="true">
      <formula1>"Ativo,Inativo"</formula1>
    </dataValidation>
    <dataValidation type="list" sqref="AB347" allowBlank="true" errorStyle="stop" showErrorMessage="true" showInputMessage="true">
      <formula1>"Garantia do vendedor,Garantia de fábrica,Sem garantia"</formula1>
    </dataValidation>
    <dataValidation type="list" sqref="AD347" allowBlank="true" errorStyle="stop" showErrorMessage="true" showInputMessage="true">
      <formula1>"dias,meses,anos"</formula1>
    </dataValidation>
    <dataValidation type="list" sqref="J348" allowBlank="true" errorStyle="stop" showErrorMessage="true" showInputMessage="true">
      <formula1>"R$"</formula1>
    </dataValidation>
    <dataValidation type="list" sqref="U348" allowBlank="true" errorStyle="stop" showErrorMessage="true" showInputMessage="true">
      <formula1>"Usado,Novo"</formula1>
    </dataValidation>
    <dataValidation type="list" sqref="W348" allowBlank="true" errorStyle="stop" showErrorMessage="true" showInputMessage="true">
      <formula1>"Mercado Envios por conta do comprador,Mercado Envios grátis"</formula1>
    </dataValidation>
    <dataValidation type="list" sqref="X348" allowBlank="true" errorStyle="stop" showErrorMessage="true" showInputMessage="true">
      <formula1>"Aceita,Não aceito"</formula1>
    </dataValidation>
    <dataValidation type="list" sqref="Y348" allowBlank="true" errorStyle="stop" showErrorMessage="true" showInputMessage="true">
      <formula1>"Clássico,Premium"</formula1>
    </dataValidation>
    <dataValidation type="list" sqref="AA348" allowBlank="true" errorStyle="stop" showErrorMessage="true" showInputMessage="true">
      <formula1>"Ativo,Inativo"</formula1>
    </dataValidation>
    <dataValidation type="list" sqref="AB348" allowBlank="true" errorStyle="stop" showErrorMessage="true" showInputMessage="true">
      <formula1>"Garantia do vendedor,Garantia de fábrica,Sem garantia"</formula1>
    </dataValidation>
    <dataValidation type="list" sqref="AD348" allowBlank="true" errorStyle="stop" showErrorMessage="true" showInputMessage="true">
      <formula1>"dias,meses,anos"</formula1>
    </dataValidation>
    <dataValidation type="list" sqref="J349" allowBlank="true" errorStyle="stop" showErrorMessage="true" showInputMessage="true">
      <formula1>"R$"</formula1>
    </dataValidation>
    <dataValidation type="list" sqref="U349" allowBlank="true" errorStyle="stop" showErrorMessage="true" showInputMessage="true">
      <formula1>"Novo,Usado"</formula1>
    </dataValidation>
    <dataValidation type="list" sqref="W349" allowBlank="true" errorStyle="stop" showErrorMessage="true" showInputMessage="true">
      <formula1>"Mercado Envios por conta do comprador,Mercado Envios grátis"</formula1>
    </dataValidation>
    <dataValidation type="list" sqref="X349" allowBlank="true" errorStyle="stop" showErrorMessage="true" showInputMessage="true">
      <formula1>"Aceita,Não aceito"</formula1>
    </dataValidation>
    <dataValidation type="list" sqref="Y349" allowBlank="true" errorStyle="stop" showErrorMessage="true" showInputMessage="true">
      <formula1>"Clássico,Premium"</formula1>
    </dataValidation>
    <dataValidation type="list" sqref="AA349" allowBlank="true" errorStyle="stop" showErrorMessage="true" showInputMessage="true">
      <formula1>"Ativo,Inativo"</formula1>
    </dataValidation>
    <dataValidation type="list" sqref="AB349" allowBlank="true" errorStyle="stop" showErrorMessage="true" showInputMessage="true">
      <formula1>"Garantia do vendedor,Garantia de fábrica,Sem garantia"</formula1>
    </dataValidation>
    <dataValidation type="list" sqref="AD349" allowBlank="true" errorStyle="stop" showErrorMessage="true" showInputMessage="true">
      <formula1>"dias,meses,anos"</formula1>
    </dataValidation>
    <dataValidation type="list" sqref="J350" allowBlank="true" errorStyle="stop" showErrorMessage="true" showInputMessage="true">
      <formula1>"R$"</formula1>
    </dataValidation>
    <dataValidation type="list" sqref="U350" allowBlank="true" errorStyle="stop" showErrorMessage="true" showInputMessage="true">
      <formula1>"Usado,Novo"</formula1>
    </dataValidation>
    <dataValidation type="list" sqref="W350" allowBlank="true" errorStyle="stop" showErrorMessage="true" showInputMessage="true">
      <formula1>"Mercado Envios por conta do comprador,Mercado Envios grátis"</formula1>
    </dataValidation>
    <dataValidation type="list" sqref="X350" allowBlank="true" errorStyle="stop" showErrorMessage="true" showInputMessage="true">
      <formula1>"Aceita,Não aceito"</formula1>
    </dataValidation>
    <dataValidation type="list" sqref="Y350" allowBlank="true" errorStyle="stop" showErrorMessage="true" showInputMessage="true">
      <formula1>"Clássico,Premium"</formula1>
    </dataValidation>
    <dataValidation type="list" sqref="AA350" allowBlank="true" errorStyle="stop" showErrorMessage="true" showInputMessage="true">
      <formula1>"Ativo,Inativo"</formula1>
    </dataValidation>
    <dataValidation type="list" sqref="AB350" allowBlank="true" errorStyle="stop" showErrorMessage="true" showInputMessage="true">
      <formula1>"Garantia do vendedor,Garantia de fábrica,Sem garantia"</formula1>
    </dataValidation>
    <dataValidation type="list" sqref="AD350" allowBlank="true" errorStyle="stop" showErrorMessage="true" showInputMessage="true">
      <formula1>"dias,meses,anos"</formula1>
    </dataValidation>
    <dataValidation type="list" sqref="J351" allowBlank="true" errorStyle="stop" showErrorMessage="true" showInputMessage="true">
      <formula1>"R$"</formula1>
    </dataValidation>
    <dataValidation type="list" sqref="U351" allowBlank="true" errorStyle="stop" showErrorMessage="true" showInputMessage="true">
      <formula1>"Novo,Usado,Recondicionado"</formula1>
    </dataValidation>
    <dataValidation type="list" sqref="W351" allowBlank="true" errorStyle="stop" showErrorMessage="true" showInputMessage="true">
      <formula1>"Envios por minha conta a cargo do comprador,Frete grátis por conta própria,Não faço envios"</formula1>
    </dataValidation>
    <dataValidation type="list" sqref="X351" allowBlank="true" errorStyle="stop" showErrorMessage="true" showInputMessage="true">
      <formula1>"Aceita,Não aceito"</formula1>
    </dataValidation>
    <dataValidation type="list" sqref="Y351" allowBlank="true" errorStyle="stop" showErrorMessage="true" showInputMessage="true">
      <formula1>"Clássico,Premium"</formula1>
    </dataValidation>
    <dataValidation type="list" sqref="AA351" allowBlank="true" errorStyle="stop" showErrorMessage="true" showInputMessage="true">
      <formula1>"Ativo,Inativo"</formula1>
    </dataValidation>
    <dataValidation type="list" sqref="AB351" allowBlank="true" errorStyle="stop" showErrorMessage="true" showInputMessage="true">
      <formula1>"Garantia do vendedor,Garantia de fábrica,Sem garantia"</formula1>
    </dataValidation>
    <dataValidation type="list" sqref="AD351" allowBlank="true" errorStyle="stop" showErrorMessage="true" showInputMessage="true">
      <formula1>"dias,meses,anos"</formula1>
    </dataValidation>
    <dataValidation type="list" sqref="J352" allowBlank="true" errorStyle="stop" showErrorMessage="true" showInputMessage="true">
      <formula1>"R$"</formula1>
    </dataValidation>
    <dataValidation type="list" sqref="U352" allowBlank="true" errorStyle="stop" showErrorMessage="true" showInputMessage="true">
      <formula1>"Usado,Novo"</formula1>
    </dataValidation>
    <dataValidation type="list" sqref="W352" allowBlank="true" errorStyle="stop" showErrorMessage="true" showInputMessage="true">
      <formula1>"Mercado Envios por conta do comprador,Mercado Envios grátis"</formula1>
    </dataValidation>
    <dataValidation type="list" sqref="X352" allowBlank="true" errorStyle="stop" showErrorMessage="true" showInputMessage="true">
      <formula1>"Aceita,Não aceito"</formula1>
    </dataValidation>
    <dataValidation type="list" sqref="Y352" allowBlank="true" errorStyle="stop" showErrorMessage="true" showInputMessage="true">
      <formula1>"Clássico,Premium"</formula1>
    </dataValidation>
    <dataValidation type="list" sqref="AA352" allowBlank="true" errorStyle="stop" showErrorMessage="true" showInputMessage="true">
      <formula1>"Ativo,Inativo"</formula1>
    </dataValidation>
    <dataValidation type="list" sqref="AB352" allowBlank="true" errorStyle="stop" showErrorMessage="true" showInputMessage="true">
      <formula1>"Garantia do vendedor,Garantia de fábrica,Sem garantia"</formula1>
    </dataValidation>
    <dataValidation type="list" sqref="AD352" allowBlank="true" errorStyle="stop" showErrorMessage="true" showInputMessage="true">
      <formula1>"dias,meses,anos"</formula1>
    </dataValidation>
    <dataValidation type="list" sqref="J353" allowBlank="true" errorStyle="stop" showErrorMessage="true" showInputMessage="true">
      <formula1>"R$"</formula1>
    </dataValidation>
    <dataValidation type="list" sqref="U353" allowBlank="true" errorStyle="stop" showErrorMessage="true" showInputMessage="true">
      <formula1>"Usado,Novo"</formula1>
    </dataValidation>
    <dataValidation type="list" sqref="W353" allowBlank="true" errorStyle="stop" showErrorMessage="true" showInputMessage="true">
      <formula1>"Mercado Envios por conta do comprador,Mercado Envios grátis"</formula1>
    </dataValidation>
    <dataValidation type="list" sqref="X353" allowBlank="true" errorStyle="stop" showErrorMessage="true" showInputMessage="true">
      <formula1>"Aceita,Não aceito"</formula1>
    </dataValidation>
    <dataValidation type="list" sqref="Y353" allowBlank="true" errorStyle="stop" showErrorMessage="true" showInputMessage="true">
      <formula1>"Clássico,Premium"</formula1>
    </dataValidation>
    <dataValidation type="list" sqref="AA353" allowBlank="true" errorStyle="stop" showErrorMessage="true" showInputMessage="true">
      <formula1>"Ativo,Inativo"</formula1>
    </dataValidation>
    <dataValidation type="list" sqref="AB353" allowBlank="true" errorStyle="stop" showErrorMessage="true" showInputMessage="true">
      <formula1>"Garantia do vendedor,Garantia de fábrica,Sem garantia"</formula1>
    </dataValidation>
    <dataValidation type="list" sqref="AD353" allowBlank="true" errorStyle="stop" showErrorMessage="true" showInputMessage="true">
      <formula1>"dias,meses,anos"</formula1>
    </dataValidation>
    <dataValidation type="list" sqref="J354" allowBlank="true" errorStyle="stop" showErrorMessage="true" showInputMessage="true">
      <formula1>"R$"</formula1>
    </dataValidation>
    <dataValidation type="list" sqref="W354" allowBlank="true" errorStyle="stop" showErrorMessage="true" showInputMessage="true">
      <formula1>"Mercado Envios por conta do comprador,Mercado Envios grátis"</formula1>
    </dataValidation>
    <dataValidation type="list" sqref="X354" allowBlank="true" errorStyle="stop" showErrorMessage="true" showInputMessage="true">
      <formula1>"Aceita,Não aceito"</formula1>
    </dataValidation>
    <dataValidation type="list" sqref="Y354" allowBlank="true" errorStyle="stop" showErrorMessage="true" showInputMessage="true">
      <formula1>"Clássico,Premium"</formula1>
    </dataValidation>
    <dataValidation type="list" sqref="AA354" allowBlank="true" errorStyle="stop" showErrorMessage="true" showInputMessage="true">
      <formula1>"Ativo,Inativo"</formula1>
    </dataValidation>
    <dataValidation type="list" sqref="AB354" allowBlank="true" errorStyle="stop" showErrorMessage="true" showInputMessage="true">
      <formula1>"Garantia do vendedor,Garantia de fábrica,Sem garantia"</formula1>
    </dataValidation>
    <dataValidation type="list" sqref="AD354" allowBlank="true" errorStyle="stop" showErrorMessage="true" showInputMessage="true">
      <formula1>"dias,meses,anos"</formula1>
    </dataValidation>
    <dataValidation type="list" sqref="J355" allowBlank="true" errorStyle="stop" showErrorMessage="true" showInputMessage="true">
      <formula1>"R$"</formula1>
    </dataValidation>
    <dataValidation type="list" sqref="U355" allowBlank="true" errorStyle="stop" showErrorMessage="true" showInputMessage="true">
      <formula1>"Usado,Novo"</formula1>
    </dataValidation>
    <dataValidation type="list" sqref="W355" allowBlank="true" errorStyle="stop" showErrorMessage="true" showInputMessage="true">
      <formula1>"Mercado Envios por conta do comprador,Envios por conta própria"</formula1>
    </dataValidation>
    <dataValidation type="list" sqref="X355" allowBlank="true" errorStyle="stop" showErrorMessage="true" showInputMessage="true">
      <formula1>"Aceita,Não aceito"</formula1>
    </dataValidation>
    <dataValidation type="list" sqref="Y355" allowBlank="true" errorStyle="stop" showErrorMessage="true" showInputMessage="true">
      <formula1>"Clássico,Premium"</formula1>
    </dataValidation>
    <dataValidation type="list" sqref="AA355" allowBlank="true" errorStyle="stop" showErrorMessage="true" showInputMessage="true">
      <formula1>"Ativo,Inativo"</formula1>
    </dataValidation>
    <dataValidation type="list" sqref="AB355" allowBlank="true" errorStyle="stop" showErrorMessage="true" showInputMessage="true">
      <formula1>"Garantia do vendedor,Garantia de fábrica,Sem garantia"</formula1>
    </dataValidation>
    <dataValidation type="list" sqref="AD355" allowBlank="true" errorStyle="stop" showErrorMessage="true" showInputMessage="true">
      <formula1>"dias,meses,anos"</formula1>
    </dataValidation>
    <dataValidation type="list" sqref="J356" allowBlank="true" errorStyle="stop" showErrorMessage="true" showInputMessage="true">
      <formula1>"R$"</formula1>
    </dataValidation>
    <dataValidation type="list" sqref="U356" allowBlank="true" errorStyle="stop" showErrorMessage="true" showInputMessage="true">
      <formula1>"Usado,Novo"</formula1>
    </dataValidation>
    <dataValidation type="list" sqref="W356" allowBlank="true" errorStyle="stop" showErrorMessage="true" showInputMessage="true">
      <formula1>"Mercado Envios por conta do comprador,Mercado Envios grátis"</formula1>
    </dataValidation>
    <dataValidation type="list" sqref="X356" allowBlank="true" errorStyle="stop" showErrorMessage="true" showInputMessage="true">
      <formula1>"Aceita,Não aceito"</formula1>
    </dataValidation>
    <dataValidation type="list" sqref="Y356" allowBlank="true" errorStyle="stop" showErrorMessage="true" showInputMessage="true">
      <formula1>"Clássico,Premium"</formula1>
    </dataValidation>
    <dataValidation type="list" sqref="AA356" allowBlank="true" errorStyle="stop" showErrorMessage="true" showInputMessage="true">
      <formula1>"Ativo,Inativo"</formula1>
    </dataValidation>
    <dataValidation type="list" sqref="AB356" allowBlank="true" errorStyle="stop" showErrorMessage="true" showInputMessage="true">
      <formula1>"Garantia do vendedor,Garantia de fábrica,Sem garantia"</formula1>
    </dataValidation>
    <dataValidation type="list" sqref="AD356" allowBlank="true" errorStyle="stop" showErrorMessage="true" showInputMessage="true">
      <formula1>"dias,meses,anos"</formula1>
    </dataValidation>
    <dataValidation type="list" sqref="J357" allowBlank="true" errorStyle="stop" showErrorMessage="true" showInputMessage="true">
      <formula1>"R$"</formula1>
    </dataValidation>
    <dataValidation type="list" sqref="U357" allowBlank="true" errorStyle="stop" showErrorMessage="true" showInputMessage="true">
      <formula1>"Usado,Novo"</formula1>
    </dataValidation>
    <dataValidation type="list" sqref="W357" allowBlank="true" errorStyle="stop" showErrorMessage="true" showInputMessage="true">
      <formula1>"Mercado Envios por conta do comprador,Mercado Envios grátis"</formula1>
    </dataValidation>
    <dataValidation type="list" sqref="X357" allowBlank="true" errorStyle="stop" showErrorMessage="true" showInputMessage="true">
      <formula1>"Aceita,Não aceito"</formula1>
    </dataValidation>
    <dataValidation type="list" sqref="Y357" allowBlank="true" errorStyle="stop" showErrorMessage="true" showInputMessage="true">
      <formula1>"Clássico,Premium"</formula1>
    </dataValidation>
    <dataValidation type="list" sqref="AA357" allowBlank="true" errorStyle="stop" showErrorMessage="true" showInputMessage="true">
      <formula1>"Ativo,Inativo"</formula1>
    </dataValidation>
    <dataValidation type="list" sqref="AB357" allowBlank="true" errorStyle="stop" showErrorMessage="true" showInputMessage="true">
      <formula1>"Garantia do vendedor,Garantia de fábrica,Sem garantia"</formula1>
    </dataValidation>
    <dataValidation type="list" sqref="AD357" allowBlank="true" errorStyle="stop" showErrorMessage="true" showInputMessage="true">
      <formula1>"dias,meses,anos"</formula1>
    </dataValidation>
    <dataValidation type="list" sqref="J358" allowBlank="true" errorStyle="stop" showErrorMessage="true" showInputMessage="true">
      <formula1>"R$"</formula1>
    </dataValidation>
    <dataValidation type="list" sqref="U358" allowBlank="true" errorStyle="stop" showErrorMessage="true" showInputMessage="true">
      <formula1>"Usado,Novo"</formula1>
    </dataValidation>
    <dataValidation type="list" sqref="W358" allowBlank="true" errorStyle="stop" showErrorMessage="true" showInputMessage="true">
      <formula1>"Mercado Envios por conta do comprador,Mercado Envios grátis"</formula1>
    </dataValidation>
    <dataValidation type="list" sqref="X358" allowBlank="true" errorStyle="stop" showErrorMessage="true" showInputMessage="true">
      <formula1>"Aceita,Não aceito"</formula1>
    </dataValidation>
    <dataValidation type="list" sqref="Y358" allowBlank="true" errorStyle="stop" showErrorMessage="true" showInputMessage="true">
      <formula1>"Clássico,Premium"</formula1>
    </dataValidation>
    <dataValidation type="list" sqref="AA358" allowBlank="true" errorStyle="stop" showErrorMessage="true" showInputMessage="true">
      <formula1>"Ativo,Inativo"</formula1>
    </dataValidation>
    <dataValidation type="list" sqref="AB358" allowBlank="true" errorStyle="stop" showErrorMessage="true" showInputMessage="true">
      <formula1>"Garantia do vendedor,Garantia de fábrica,Sem garantia"</formula1>
    </dataValidation>
    <dataValidation type="list" sqref="AD358" allowBlank="true" errorStyle="stop" showErrorMessage="true" showInputMessage="true">
      <formula1>"dias,meses,anos"</formula1>
    </dataValidation>
    <dataValidation type="list" sqref="J359" allowBlank="true" errorStyle="stop" showErrorMessage="true" showInputMessage="true">
      <formula1>"R$"</formula1>
    </dataValidation>
    <dataValidation type="list" sqref="U359" allowBlank="true" errorStyle="stop" showErrorMessage="true" showInputMessage="true">
      <formula1>"Usado,Novo"</formula1>
    </dataValidation>
    <dataValidation type="list" sqref="W359" allowBlank="true" errorStyle="stop" showErrorMessage="true" showInputMessage="true">
      <formula1>"Mercado Envios por conta do comprador,Envios por conta própria"</formula1>
    </dataValidation>
    <dataValidation type="list" sqref="X359" allowBlank="true" errorStyle="stop" showErrorMessage="true" showInputMessage="true">
      <formula1>"Aceita,Não aceito"</formula1>
    </dataValidation>
    <dataValidation type="list" sqref="Y359" allowBlank="true" errorStyle="stop" showErrorMessage="true" showInputMessage="true">
      <formula1>"Clássico,Premium"</formula1>
    </dataValidation>
    <dataValidation type="list" sqref="AA359" allowBlank="true" errorStyle="stop" showErrorMessage="true" showInputMessage="true">
      <formula1>"Ativo,Inativo"</formula1>
    </dataValidation>
    <dataValidation type="list" sqref="AB359" allowBlank="true" errorStyle="stop" showErrorMessage="true" showInputMessage="true">
      <formula1>"Garantia do vendedor,Garantia de fábrica,Sem garantia"</formula1>
    </dataValidation>
    <dataValidation type="list" sqref="AD359" allowBlank="true" errorStyle="stop" showErrorMessage="true" showInputMessage="true">
      <formula1>"dias,meses,anos"</formula1>
    </dataValidation>
    <dataValidation type="list" sqref="J360" allowBlank="true" errorStyle="stop" showErrorMessage="true" showInputMessage="true">
      <formula1>"R$"</formula1>
    </dataValidation>
    <dataValidation type="list" sqref="U360" allowBlank="true" errorStyle="stop" showErrorMessage="true" showInputMessage="true">
      <formula1>"Usado,Novo"</formula1>
    </dataValidation>
    <dataValidation type="list" sqref="W360" allowBlank="true" errorStyle="stop" showErrorMessage="true" showInputMessage="true">
      <formula1>"Mercado Envios por conta do comprador,Envios por conta própria"</formula1>
    </dataValidation>
    <dataValidation type="list" sqref="X360" allowBlank="true" errorStyle="stop" showErrorMessage="true" showInputMessage="true">
      <formula1>"Aceita,Não aceito"</formula1>
    </dataValidation>
    <dataValidation type="list" sqref="Y360" allowBlank="true" errorStyle="stop" showErrorMessage="true" showInputMessage="true">
      <formula1>"Clássico,Premium"</formula1>
    </dataValidation>
    <dataValidation type="list" sqref="AA360" allowBlank="true" errorStyle="stop" showErrorMessage="true" showInputMessage="true">
      <formula1>"Ativo,Inativo"</formula1>
    </dataValidation>
    <dataValidation type="list" sqref="AB360" allowBlank="true" errorStyle="stop" showErrorMessage="true" showInputMessage="true">
      <formula1>"Garantia do vendedor,Garantia de fábrica,Sem garantia"</formula1>
    </dataValidation>
    <dataValidation type="list" sqref="AD360" allowBlank="true" errorStyle="stop" showErrorMessage="true" showInputMessage="true">
      <formula1>"dias,meses,anos"</formula1>
    </dataValidation>
    <dataValidation type="list" sqref="J361" allowBlank="true" errorStyle="stop" showErrorMessage="true" showInputMessage="true">
      <formula1>"R$"</formula1>
    </dataValidation>
    <dataValidation type="list" sqref="U361" allowBlank="true" errorStyle="stop" showErrorMessage="true" showInputMessage="true">
      <formula1>"Usado,Novo"</formula1>
    </dataValidation>
    <dataValidation type="list" sqref="W361" allowBlank="true" errorStyle="stop" showErrorMessage="true" showInputMessage="true">
      <formula1>"Mercado Envios por conta do comprador,Envios por conta própria"</formula1>
    </dataValidation>
    <dataValidation type="list" sqref="X361" allowBlank="true" errorStyle="stop" showErrorMessage="true" showInputMessage="true">
      <formula1>"Aceita,Não aceito"</formula1>
    </dataValidation>
    <dataValidation type="list" sqref="Y361" allowBlank="true" errorStyle="stop" showErrorMessage="true" showInputMessage="true">
      <formula1>"Clássico,Premium"</formula1>
    </dataValidation>
    <dataValidation type="list" sqref="AA361" allowBlank="true" errorStyle="stop" showErrorMessage="true" showInputMessage="true">
      <formula1>"Ativo,Inativo"</formula1>
    </dataValidation>
    <dataValidation type="list" sqref="AB361" allowBlank="true" errorStyle="stop" showErrorMessage="true" showInputMessage="true">
      <formula1>"Garantia do vendedor,Garantia de fábrica,Sem garantia"</formula1>
    </dataValidation>
    <dataValidation type="list" sqref="AD361" allowBlank="true" errorStyle="stop" showErrorMessage="true" showInputMessage="true">
      <formula1>"dias,meses,anos"</formula1>
    </dataValidation>
    <dataValidation type="list" sqref="J362" allowBlank="true" errorStyle="stop" showErrorMessage="true" showInputMessage="true">
      <formula1>"R$"</formula1>
    </dataValidation>
    <dataValidation type="list" sqref="U362" allowBlank="true" errorStyle="stop" showErrorMessage="true" showInputMessage="true">
      <formula1>"Usado,Novo"</formula1>
    </dataValidation>
    <dataValidation type="list" sqref="W362" allowBlank="true" errorStyle="stop" showErrorMessage="true" showInputMessage="true">
      <formula1>"Mercado Envios por conta do comprador,Envios por conta própria"</formula1>
    </dataValidation>
    <dataValidation type="list" sqref="X362" allowBlank="true" errorStyle="stop" showErrorMessage="true" showInputMessage="true">
      <formula1>"Aceita,Não aceito"</formula1>
    </dataValidation>
    <dataValidation type="list" sqref="Y362" allowBlank="true" errorStyle="stop" showErrorMessage="true" showInputMessage="true">
      <formula1>"Clássico,Premium"</formula1>
    </dataValidation>
    <dataValidation type="list" sqref="AA362" allowBlank="true" errorStyle="stop" showErrorMessage="true" showInputMessage="true">
      <formula1>"Ativo,Inativo"</formula1>
    </dataValidation>
    <dataValidation type="list" sqref="AB362" allowBlank="true" errorStyle="stop" showErrorMessage="true" showInputMessage="true">
      <formula1>"Garantia do vendedor,Garantia de fábrica,Sem garantia"</formula1>
    </dataValidation>
    <dataValidation type="list" sqref="AD362" allowBlank="true" errorStyle="stop" showErrorMessage="true" showInputMessage="true">
      <formula1>"dias,meses,anos"</formula1>
    </dataValidation>
    <dataValidation type="list" sqref="J363" allowBlank="true" errorStyle="stop" showErrorMessage="true" showInputMessage="true">
      <formula1>"R$"</formula1>
    </dataValidation>
    <dataValidation type="list" sqref="U363" allowBlank="true" errorStyle="stop" showErrorMessage="true" showInputMessage="true">
      <formula1>"Usado,Novo"</formula1>
    </dataValidation>
    <dataValidation type="list" sqref="W363" allowBlank="true" errorStyle="stop" showErrorMessage="true" showInputMessage="true">
      <formula1>"Mercado Envios por conta do comprador,Envios por conta própria"</formula1>
    </dataValidation>
    <dataValidation type="list" sqref="X363" allowBlank="true" errorStyle="stop" showErrorMessage="true" showInputMessage="true">
      <formula1>"Aceita,Não aceito"</formula1>
    </dataValidation>
    <dataValidation type="list" sqref="Y363" allowBlank="true" errorStyle="stop" showErrorMessage="true" showInputMessage="true">
      <formula1>"Clássico,Premium"</formula1>
    </dataValidation>
    <dataValidation type="list" sqref="AA363" allowBlank="true" errorStyle="stop" showErrorMessage="true" showInputMessage="true">
      <formula1>"Ativo,Inativo"</formula1>
    </dataValidation>
    <dataValidation type="list" sqref="AB363" allowBlank="true" errorStyle="stop" showErrorMessage="true" showInputMessage="true">
      <formula1>"Garantia do vendedor,Garantia de fábrica,Sem garantia"</formula1>
    </dataValidation>
    <dataValidation type="list" sqref="AD363" allowBlank="true" errorStyle="stop" showErrorMessage="true" showInputMessage="true">
      <formula1>"dias,meses,anos"</formula1>
    </dataValidation>
    <dataValidation type="list" sqref="J364" allowBlank="true" errorStyle="stop" showErrorMessage="true" showInputMessage="true">
      <formula1>"R$"</formula1>
    </dataValidation>
    <dataValidation type="list" sqref="U364" allowBlank="true" errorStyle="stop" showErrorMessage="true" showInputMessage="true">
      <formula1>"Usado,Novo"</formula1>
    </dataValidation>
    <dataValidation type="list" sqref="W364" allowBlank="true" errorStyle="stop" showErrorMessage="true" showInputMessage="true">
      <formula1>"Mercado Envios por conta do comprador,Envios por conta própria"</formula1>
    </dataValidation>
    <dataValidation type="list" sqref="X364" allowBlank="true" errorStyle="stop" showErrorMessage="true" showInputMessage="true">
      <formula1>"Aceita,Não aceito"</formula1>
    </dataValidation>
    <dataValidation type="list" sqref="Y364" allowBlank="true" errorStyle="stop" showErrorMessage="true" showInputMessage="true">
      <formula1>"Clássico,Premium"</formula1>
    </dataValidation>
    <dataValidation type="list" sqref="AA364" allowBlank="true" errorStyle="stop" showErrorMessage="true" showInputMessage="true">
      <formula1>"Ativo,Inativo"</formula1>
    </dataValidation>
    <dataValidation type="list" sqref="AB364" allowBlank="true" errorStyle="stop" showErrorMessage="true" showInputMessage="true">
      <formula1>"Garantia do vendedor,Garantia de fábrica,Sem garantia"</formula1>
    </dataValidation>
    <dataValidation type="list" sqref="AD364" allowBlank="true" errorStyle="stop" showErrorMessage="true" showInputMessage="true">
      <formula1>"dias,meses,anos"</formula1>
    </dataValidation>
    <dataValidation type="list" sqref="J365" allowBlank="true" errorStyle="stop" showErrorMessage="true" showInputMessage="true">
      <formula1>"R$"</formula1>
    </dataValidation>
    <dataValidation type="list" sqref="U365" allowBlank="true" errorStyle="stop" showErrorMessage="true" showInputMessage="true">
      <formula1>"Usado,Novo"</formula1>
    </dataValidation>
    <dataValidation type="list" sqref="W365" allowBlank="true" errorStyle="stop" showErrorMessage="true" showInputMessage="true">
      <formula1>"Mercado Envios por conta do comprador,Envios por conta própria"</formula1>
    </dataValidation>
    <dataValidation type="list" sqref="X365" allowBlank="true" errorStyle="stop" showErrorMessage="true" showInputMessage="true">
      <formula1>"Aceita,Não aceito"</formula1>
    </dataValidation>
    <dataValidation type="list" sqref="Y365" allowBlank="true" errorStyle="stop" showErrorMessage="true" showInputMessage="true">
      <formula1>"Clássico,Premium"</formula1>
    </dataValidation>
    <dataValidation type="list" sqref="AA365" allowBlank="true" errorStyle="stop" showErrorMessage="true" showInputMessage="true">
      <formula1>"Ativo,Inativo"</formula1>
    </dataValidation>
    <dataValidation type="list" sqref="AB365" allowBlank="true" errorStyle="stop" showErrorMessage="true" showInputMessage="true">
      <formula1>"Garantia do vendedor,Garantia de fábrica,Sem garantia"</formula1>
    </dataValidation>
    <dataValidation type="list" sqref="AD365" allowBlank="true" errorStyle="stop" showErrorMessage="true" showInputMessage="true">
      <formula1>"dias,meses,anos"</formula1>
    </dataValidation>
    <dataValidation type="list" sqref="J366" allowBlank="true" errorStyle="stop" showErrorMessage="true" showInputMessage="true">
      <formula1>"R$"</formula1>
    </dataValidation>
    <dataValidation type="list" sqref="U366" allowBlank="true" errorStyle="stop" showErrorMessage="true" showInputMessage="true">
      <formula1>"Usado,Novo"</formula1>
    </dataValidation>
    <dataValidation type="list" sqref="W366" allowBlank="true" errorStyle="stop" showErrorMessage="true" showInputMessage="true">
      <formula1>"Mercado Envios por conta do comprador,Envios por conta própria"</formula1>
    </dataValidation>
    <dataValidation type="list" sqref="X366" allowBlank="true" errorStyle="stop" showErrorMessage="true" showInputMessage="true">
      <formula1>"Aceita,Não aceito"</formula1>
    </dataValidation>
    <dataValidation type="list" sqref="Y366" allowBlank="true" errorStyle="stop" showErrorMessage="true" showInputMessage="true">
      <formula1>"Clássico,Premium"</formula1>
    </dataValidation>
    <dataValidation type="list" sqref="AA366" allowBlank="true" errorStyle="stop" showErrorMessage="true" showInputMessage="true">
      <formula1>"Ativo,Inativo"</formula1>
    </dataValidation>
    <dataValidation type="list" sqref="AB366" allowBlank="true" errorStyle="stop" showErrorMessage="true" showInputMessage="true">
      <formula1>"Garantia do vendedor,Garantia de fábrica,Sem garantia"</formula1>
    </dataValidation>
    <dataValidation type="list" sqref="AD366" allowBlank="true" errorStyle="stop" showErrorMessage="true" showInputMessage="true">
      <formula1>"dias,meses,anos"</formula1>
    </dataValidation>
    <dataValidation type="list" sqref="J367" allowBlank="true" errorStyle="stop" showErrorMessage="true" showInputMessage="true">
      <formula1>"R$"</formula1>
    </dataValidation>
    <dataValidation type="list" sqref="U367" allowBlank="true" errorStyle="stop" showErrorMessage="true" showInputMessage="true">
      <formula1>"Usado,Novo"</formula1>
    </dataValidation>
    <dataValidation type="list" sqref="W367" allowBlank="true" errorStyle="stop" showErrorMessage="true" showInputMessage="true">
      <formula1>"Mercado Envios por conta do comprador,Envios por conta própria"</formula1>
    </dataValidation>
    <dataValidation type="list" sqref="X367" allowBlank="true" errorStyle="stop" showErrorMessage="true" showInputMessage="true">
      <formula1>"Aceita,Não aceito"</formula1>
    </dataValidation>
    <dataValidation type="list" sqref="Y367" allowBlank="true" errorStyle="stop" showErrorMessage="true" showInputMessage="true">
      <formula1>"Clássico,Premium"</formula1>
    </dataValidation>
    <dataValidation type="list" sqref="AA367" allowBlank="true" errorStyle="stop" showErrorMessage="true" showInputMessage="true">
      <formula1>"Ativo,Inativo"</formula1>
    </dataValidation>
    <dataValidation type="list" sqref="AB367" allowBlank="true" errorStyle="stop" showErrorMessage="true" showInputMessage="true">
      <formula1>"Garantia do vendedor,Garantia de fábrica,Sem garantia"</formula1>
    </dataValidation>
    <dataValidation type="list" sqref="AD367" allowBlank="true" errorStyle="stop" showErrorMessage="true" showInputMessage="true">
      <formula1>"dias,meses,anos"</formula1>
    </dataValidation>
    <dataValidation type="list" sqref="J368" allowBlank="true" errorStyle="stop" showErrorMessage="true" showInputMessage="true">
      <formula1>"R$"</formula1>
    </dataValidation>
    <dataValidation type="list" sqref="U368" allowBlank="true" errorStyle="stop" showErrorMessage="true" showInputMessage="true">
      <formula1>"Usado,Novo"</formula1>
    </dataValidation>
    <dataValidation type="list" sqref="W368" allowBlank="true" errorStyle="stop" showErrorMessage="true" showInputMessage="true">
      <formula1>"Mercado Envios por conta do comprador,Envios por conta própria"</formula1>
    </dataValidation>
    <dataValidation type="list" sqref="X368" allowBlank="true" errorStyle="stop" showErrorMessage="true" showInputMessage="true">
      <formula1>"Aceita,Não aceito"</formula1>
    </dataValidation>
    <dataValidation type="list" sqref="Y368" allowBlank="true" errorStyle="stop" showErrorMessage="true" showInputMessage="true">
      <formula1>"Clássico,Premium"</formula1>
    </dataValidation>
    <dataValidation type="list" sqref="AA368" allowBlank="true" errorStyle="stop" showErrorMessage="true" showInputMessage="true">
      <formula1>"Ativo,Inativo"</formula1>
    </dataValidation>
    <dataValidation type="list" sqref="AB368" allowBlank="true" errorStyle="stop" showErrorMessage="true" showInputMessage="true">
      <formula1>"Garantia do vendedor,Garantia de fábrica,Sem garantia"</formula1>
    </dataValidation>
    <dataValidation type="list" sqref="AD368" allowBlank="true" errorStyle="stop" showErrorMessage="true" showInputMessage="true">
      <formula1>"dias,meses,anos"</formula1>
    </dataValidation>
    <dataValidation type="list" sqref="J369" allowBlank="true" errorStyle="stop" showErrorMessage="true" showInputMessage="true">
      <formula1>"R$"</formula1>
    </dataValidation>
    <dataValidation type="list" sqref="U369" allowBlank="true" errorStyle="stop" showErrorMessage="true" showInputMessage="true">
      <formula1>"Usado,Novo"</formula1>
    </dataValidation>
    <dataValidation type="list" sqref="W369" allowBlank="true" errorStyle="stop" showErrorMessage="true" showInputMessage="true">
      <formula1>"Mercado Envios por conta do comprador,Envios por conta própria"</formula1>
    </dataValidation>
    <dataValidation type="list" sqref="X369" allowBlank="true" errorStyle="stop" showErrorMessage="true" showInputMessage="true">
      <formula1>"Aceita,Não aceito"</formula1>
    </dataValidation>
    <dataValidation type="list" sqref="Y369" allowBlank="true" errorStyle="stop" showErrorMessage="true" showInputMessage="true">
      <formula1>"Clássico,Premium"</formula1>
    </dataValidation>
    <dataValidation type="list" sqref="AA369" allowBlank="true" errorStyle="stop" showErrorMessage="true" showInputMessage="true">
      <formula1>"Ativo,Inativo"</formula1>
    </dataValidation>
    <dataValidation type="list" sqref="AB369" allowBlank="true" errorStyle="stop" showErrorMessage="true" showInputMessage="true">
      <formula1>"Garantia do vendedor,Garantia de fábrica,Sem garantia"</formula1>
    </dataValidation>
    <dataValidation type="list" sqref="AD369" allowBlank="true" errorStyle="stop" showErrorMessage="true" showInputMessage="true">
      <formula1>"dias,meses,anos"</formula1>
    </dataValidation>
    <dataValidation type="list" sqref="J370" allowBlank="true" errorStyle="stop" showErrorMessage="true" showInputMessage="true">
      <formula1>"R$"</formula1>
    </dataValidation>
    <dataValidation type="list" sqref="U370" allowBlank="true" errorStyle="stop" showErrorMessage="true" showInputMessage="true">
      <formula1>"Usado,Novo"</formula1>
    </dataValidation>
    <dataValidation type="list" sqref="W370" allowBlank="true" errorStyle="stop" showErrorMessage="true" showInputMessage="true">
      <formula1>"Mercado Envios por conta do comprador,Envios por conta própria"</formula1>
    </dataValidation>
    <dataValidation type="list" sqref="X370" allowBlank="true" errorStyle="stop" showErrorMessage="true" showInputMessage="true">
      <formula1>"Aceita,Não aceito"</formula1>
    </dataValidation>
    <dataValidation type="list" sqref="Y370" allowBlank="true" errorStyle="stop" showErrorMessage="true" showInputMessage="true">
      <formula1>"Clássico,Premium"</formula1>
    </dataValidation>
    <dataValidation type="list" sqref="AA370" allowBlank="true" errorStyle="stop" showErrorMessage="true" showInputMessage="true">
      <formula1>"Ativo,Inativo"</formula1>
    </dataValidation>
    <dataValidation type="list" sqref="AB370" allowBlank="true" errorStyle="stop" showErrorMessage="true" showInputMessage="true">
      <formula1>"Garantia do vendedor,Garantia de fábrica,Sem garantia"</formula1>
    </dataValidation>
    <dataValidation type="list" sqref="AD370" allowBlank="true" errorStyle="stop" showErrorMessage="true" showInputMessage="true">
      <formula1>"dias,meses,anos"</formula1>
    </dataValidation>
    <dataValidation type="list" sqref="J371" allowBlank="true" errorStyle="stop" showErrorMessage="true" showInputMessage="true">
      <formula1>"R$"</formula1>
    </dataValidation>
    <dataValidation type="list" sqref="U371" allowBlank="true" errorStyle="stop" showErrorMessage="true" showInputMessage="true">
      <formula1>"Usado,Novo"</formula1>
    </dataValidation>
    <dataValidation type="list" sqref="W371" allowBlank="true" errorStyle="stop" showErrorMessage="true" showInputMessage="true">
      <formula1>"Mercado Envios por conta do comprador,Mercado Envios grátis"</formula1>
    </dataValidation>
    <dataValidation type="list" sqref="X371" allowBlank="true" errorStyle="stop" showErrorMessage="true" showInputMessage="true">
      <formula1>"Aceita,Não aceito"</formula1>
    </dataValidation>
    <dataValidation type="list" sqref="Y371" allowBlank="true" errorStyle="stop" showErrorMessage="true" showInputMessage="true">
      <formula1>"Clássico,Premium"</formula1>
    </dataValidation>
    <dataValidation type="list" sqref="AA371" allowBlank="true" errorStyle="stop" showErrorMessage="true" showInputMessage="true">
      <formula1>"Ativo,Inativo"</formula1>
    </dataValidation>
    <dataValidation type="list" sqref="AB371" allowBlank="true" errorStyle="stop" showErrorMessage="true" showInputMessage="true">
      <formula1>"Garantia do vendedor,Garantia de fábrica,Sem garantia"</formula1>
    </dataValidation>
    <dataValidation type="list" sqref="AD371" allowBlank="true" errorStyle="stop" showErrorMessage="true" showInputMessage="true">
      <formula1>"dias,meses,anos"</formula1>
    </dataValidation>
    <dataValidation type="list" sqref="J372" allowBlank="true" errorStyle="stop" showErrorMessage="true" showInputMessage="true">
      <formula1>"R$"</formula1>
    </dataValidation>
    <dataValidation type="list" sqref="U372" allowBlank="true" errorStyle="stop" showErrorMessage="true" showInputMessage="true">
      <formula1>"Usado,Novo"</formula1>
    </dataValidation>
    <dataValidation type="list" sqref="W372" allowBlank="true" errorStyle="stop" showErrorMessage="true" showInputMessage="true">
      <formula1>"Mercado Envios por conta do comprador,Mercado Envios grátis"</formula1>
    </dataValidation>
    <dataValidation type="list" sqref="X372" allowBlank="true" errorStyle="stop" showErrorMessage="true" showInputMessage="true">
      <formula1>"Aceita,Não aceito"</formula1>
    </dataValidation>
    <dataValidation type="list" sqref="Y372" allowBlank="true" errorStyle="stop" showErrorMessage="true" showInputMessage="true">
      <formula1>"Clássico,Premium"</formula1>
    </dataValidation>
    <dataValidation type="list" sqref="AA372" allowBlank="true" errorStyle="stop" showErrorMessage="true" showInputMessage="true">
      <formula1>"Ativo,Inativo"</formula1>
    </dataValidation>
    <dataValidation type="list" sqref="AB372" allowBlank="true" errorStyle="stop" showErrorMessage="true" showInputMessage="true">
      <formula1>"Garantia do vendedor,Garantia de fábrica,Sem garantia"</formula1>
    </dataValidation>
    <dataValidation type="list" sqref="AD372" allowBlank="true" errorStyle="stop" showErrorMessage="true" showInputMessage="true">
      <formula1>"dias,meses,anos"</formula1>
    </dataValidation>
    <dataValidation type="list" sqref="J373" allowBlank="true" errorStyle="stop" showErrorMessage="true" showInputMessage="true">
      <formula1>"R$"</formula1>
    </dataValidation>
    <dataValidation type="list" sqref="U373" allowBlank="true" errorStyle="stop" showErrorMessage="true" showInputMessage="true">
      <formula1>"Usado,Novo"</formula1>
    </dataValidation>
    <dataValidation type="list" sqref="W373" allowBlank="true" errorStyle="stop" showErrorMessage="true" showInputMessage="true">
      <formula1>"Mercado Envios por conta do comprador,Mercado Envios grátis"</formula1>
    </dataValidation>
    <dataValidation type="list" sqref="X373" allowBlank="true" errorStyle="stop" showErrorMessage="true" showInputMessage="true">
      <formula1>"Aceita,Não aceito"</formula1>
    </dataValidation>
    <dataValidation type="list" sqref="Y373" allowBlank="true" errorStyle="stop" showErrorMessage="true" showInputMessage="true">
      <formula1>"Clássico,Premium"</formula1>
    </dataValidation>
    <dataValidation type="list" sqref="AA373" allowBlank="true" errorStyle="stop" showErrorMessage="true" showInputMessage="true">
      <formula1>"Ativo,Inativo"</formula1>
    </dataValidation>
    <dataValidation type="list" sqref="AB373" allowBlank="true" errorStyle="stop" showErrorMessage="true" showInputMessage="true">
      <formula1>"Garantia do vendedor,Garantia de fábrica,Sem garantia"</formula1>
    </dataValidation>
    <dataValidation type="list" sqref="AD373" allowBlank="true" errorStyle="stop" showErrorMessage="true" showInputMessage="true">
      <formula1>"dias,meses,anos"</formula1>
    </dataValidation>
    <dataValidation type="list" sqref="J374" allowBlank="true" errorStyle="stop" showErrorMessage="true" showInputMessage="true">
      <formula1>"R$"</formula1>
    </dataValidation>
    <dataValidation type="list" sqref="U374" allowBlank="true" errorStyle="stop" showErrorMessage="true" showInputMessage="true">
      <formula1>"Usado,Novo"</formula1>
    </dataValidation>
    <dataValidation type="list" sqref="W374" allowBlank="true" errorStyle="stop" showErrorMessage="true" showInputMessage="true">
      <formula1>"Mercado Envios por conta do comprador,Mercado Envios grátis"</formula1>
    </dataValidation>
    <dataValidation type="list" sqref="X374" allowBlank="true" errorStyle="stop" showErrorMessage="true" showInputMessage="true">
      <formula1>"Aceita,Não aceito"</formula1>
    </dataValidation>
    <dataValidation type="list" sqref="Y374" allowBlank="true" errorStyle="stop" showErrorMessage="true" showInputMessage="true">
      <formula1>"Clássico,Premium"</formula1>
    </dataValidation>
    <dataValidation type="list" sqref="AA374" allowBlank="true" errorStyle="stop" showErrorMessage="true" showInputMessage="true">
      <formula1>"Ativo,Inativo"</formula1>
    </dataValidation>
    <dataValidation type="list" sqref="AB374" allowBlank="true" errorStyle="stop" showErrorMessage="true" showInputMessage="true">
      <formula1>"Garantia do vendedor,Garantia de fábrica,Sem garantia"</formula1>
    </dataValidation>
    <dataValidation type="list" sqref="AD374" allowBlank="true" errorStyle="stop" showErrorMessage="true" showInputMessage="true">
      <formula1>"dias,meses,anos"</formula1>
    </dataValidation>
    <dataValidation type="list" sqref="J375" allowBlank="true" errorStyle="stop" showErrorMessage="true" showInputMessage="true">
      <formula1>"R$"</formula1>
    </dataValidation>
    <dataValidation type="list" sqref="U375" allowBlank="true" errorStyle="stop" showErrorMessage="true" showInputMessage="true">
      <formula1>"Novo,Usado,Recondicionado"</formula1>
    </dataValidation>
    <dataValidation type="list" sqref="W375" allowBlank="true" errorStyle="stop" showErrorMessage="true" showInputMessage="true">
      <formula1>"Envios por minha conta a cargo do comprador,Frete grátis por conta própria,Não faço envios"</formula1>
    </dataValidation>
    <dataValidation type="list" sqref="X375" allowBlank="true" errorStyle="stop" showErrorMessage="true" showInputMessage="true">
      <formula1>"Aceita,Não aceito"</formula1>
    </dataValidation>
    <dataValidation type="list" sqref="Y375" allowBlank="true" errorStyle="stop" showErrorMessage="true" showInputMessage="true">
      <formula1>"Clássico,Premium"</formula1>
    </dataValidation>
    <dataValidation type="list" sqref="AA375" allowBlank="true" errorStyle="stop" showErrorMessage="true" showInputMessage="true">
      <formula1>"Ativo,Inativo"</formula1>
    </dataValidation>
    <dataValidation type="list" sqref="AB375" allowBlank="true" errorStyle="stop" showErrorMessage="true" showInputMessage="true">
      <formula1>"Garantia do vendedor,Garantia de fábrica,Sem garantia"</formula1>
    </dataValidation>
    <dataValidation type="list" sqref="AD375" allowBlank="true" errorStyle="stop" showErrorMessage="true" showInputMessage="true">
      <formula1>"dias,meses,anos"</formula1>
    </dataValidation>
    <dataValidation type="list" sqref="J376" allowBlank="true" errorStyle="stop" showErrorMessage="true" showInputMessage="true">
      <formula1>"R$"</formula1>
    </dataValidation>
    <dataValidation type="list" sqref="U376" allowBlank="true" errorStyle="stop" showErrorMessage="true" showInputMessage="true">
      <formula1>"Novo,Usado,Recondicionado"</formula1>
    </dataValidation>
    <dataValidation type="list" sqref="W376" allowBlank="true" errorStyle="stop" showErrorMessage="true" showInputMessage="true">
      <formula1>"Envios por minha conta a cargo do comprador,Frete grátis por conta própria,Não faço envios"</formula1>
    </dataValidation>
    <dataValidation type="list" sqref="X376" allowBlank="true" errorStyle="stop" showErrorMessage="true" showInputMessage="true">
      <formula1>"Aceita,Não aceito"</formula1>
    </dataValidation>
    <dataValidation type="list" sqref="Y376" allowBlank="true" errorStyle="stop" showErrorMessage="true" showInputMessage="true">
      <formula1>"Clássico,Premium"</formula1>
    </dataValidation>
    <dataValidation type="list" sqref="AA376" allowBlank="true" errorStyle="stop" showErrorMessage="true" showInputMessage="true">
      <formula1>"Ativo,Inativo"</formula1>
    </dataValidation>
    <dataValidation type="list" sqref="AB376" allowBlank="true" errorStyle="stop" showErrorMessage="true" showInputMessage="true">
      <formula1>"Garantia do vendedor,Garantia de fábrica,Sem garantia"</formula1>
    </dataValidation>
    <dataValidation type="list" sqref="AD376" allowBlank="true" errorStyle="stop" showErrorMessage="true" showInputMessage="true">
      <formula1>"dias,meses,anos"</formula1>
    </dataValidation>
    <dataValidation type="list" sqref="J377" allowBlank="true" errorStyle="stop" showErrorMessage="true" showInputMessage="true">
      <formula1>"R$"</formula1>
    </dataValidation>
    <dataValidation type="list" sqref="U377" allowBlank="true" errorStyle="stop" showErrorMessage="true" showInputMessage="true">
      <formula1>"Novo,Usado,Recondicionado"</formula1>
    </dataValidation>
    <dataValidation type="list" sqref="W377" allowBlank="true" errorStyle="stop" showErrorMessage="true" showInputMessage="true">
      <formula1>"Envios por minha conta a cargo do comprador,Frete grátis por conta própria,Não faço envios"</formula1>
    </dataValidation>
    <dataValidation type="list" sqref="X377" allowBlank="true" errorStyle="stop" showErrorMessage="true" showInputMessage="true">
      <formula1>"Aceita,Não aceito"</formula1>
    </dataValidation>
    <dataValidation type="list" sqref="Y377" allowBlank="true" errorStyle="stop" showErrorMessage="true" showInputMessage="true">
      <formula1>"Clássico,Premium"</formula1>
    </dataValidation>
    <dataValidation type="list" sqref="AA377" allowBlank="true" errorStyle="stop" showErrorMessage="true" showInputMessage="true">
      <formula1>"Ativo,Inativo"</formula1>
    </dataValidation>
    <dataValidation type="list" sqref="AB377" allowBlank="true" errorStyle="stop" showErrorMessage="true" showInputMessage="true">
      <formula1>"Garantia do vendedor,Garantia de fábrica,Sem garantia"</formula1>
    </dataValidation>
    <dataValidation type="list" sqref="AD377" allowBlank="true" errorStyle="stop" showErrorMessage="true" showInputMessage="true">
      <formula1>"dias,meses,anos"</formula1>
    </dataValidation>
    <dataValidation type="list" sqref="J378" allowBlank="true" errorStyle="stop" showErrorMessage="true" showInputMessage="true">
      <formula1>"R$"</formula1>
    </dataValidation>
    <dataValidation type="list" sqref="U378" allowBlank="true" errorStyle="stop" showErrorMessage="true" showInputMessage="true">
      <formula1>"Novo,Usado,Recondicionado"</formula1>
    </dataValidation>
    <dataValidation type="list" sqref="W378" allowBlank="true" errorStyle="stop" showErrorMessage="true" showInputMessage="true">
      <formula1>"Envios por minha conta a cargo do comprador,Frete grátis por conta própria,Não faço envios"</formula1>
    </dataValidation>
    <dataValidation type="list" sqref="X378" allowBlank="true" errorStyle="stop" showErrorMessage="true" showInputMessage="true">
      <formula1>"Aceita,Não aceito"</formula1>
    </dataValidation>
    <dataValidation type="list" sqref="Y378" allowBlank="true" errorStyle="stop" showErrorMessage="true" showInputMessage="true">
      <formula1>"Clássico,Premium"</formula1>
    </dataValidation>
    <dataValidation type="list" sqref="AA378" allowBlank="true" errorStyle="stop" showErrorMessage="true" showInputMessage="true">
      <formula1>"Ativo,Inativo"</formula1>
    </dataValidation>
    <dataValidation type="list" sqref="AB378" allowBlank="true" errorStyle="stop" showErrorMessage="true" showInputMessage="true">
      <formula1>"Garantia do vendedor,Garantia de fábrica,Sem garantia"</formula1>
    </dataValidation>
    <dataValidation type="list" sqref="AD378" allowBlank="true" errorStyle="stop" showErrorMessage="true" showInputMessage="true">
      <formula1>"dias,meses,anos"</formula1>
    </dataValidation>
    <dataValidation type="list" sqref="J379" allowBlank="true" errorStyle="stop" showErrorMessage="true" showInputMessage="true">
      <formula1>"R$"</formula1>
    </dataValidation>
    <dataValidation type="list" sqref="U379" allowBlank="true" errorStyle="stop" showErrorMessage="true" showInputMessage="true">
      <formula1>"Novo,Usado,Recondicionado"</formula1>
    </dataValidation>
    <dataValidation type="list" sqref="W379" allowBlank="true" errorStyle="stop" showErrorMessage="true" showInputMessage="true">
      <formula1>"Envios por minha conta a cargo do comprador,Frete grátis por conta própria,Não faço envios"</formula1>
    </dataValidation>
    <dataValidation type="list" sqref="X379" allowBlank="true" errorStyle="stop" showErrorMessage="true" showInputMessage="true">
      <formula1>"Aceita,Não aceito"</formula1>
    </dataValidation>
    <dataValidation type="list" sqref="Y379" allowBlank="true" errorStyle="stop" showErrorMessage="true" showInputMessage="true">
      <formula1>"Clássico,Premium"</formula1>
    </dataValidation>
    <dataValidation type="list" sqref="AA379" allowBlank="true" errorStyle="stop" showErrorMessage="true" showInputMessage="true">
      <formula1>"Ativo,Inativo"</formula1>
    </dataValidation>
    <dataValidation type="list" sqref="AB379" allowBlank="true" errorStyle="stop" showErrorMessage="true" showInputMessage="true">
      <formula1>"Garantia do vendedor,Garantia de fábrica,Sem garantia"</formula1>
    </dataValidation>
    <dataValidation type="list" sqref="AD379" allowBlank="true" errorStyle="stop" showErrorMessage="true" showInputMessage="true">
      <formula1>"dias,meses,anos"</formula1>
    </dataValidation>
    <dataValidation type="list" sqref="J380" allowBlank="true" errorStyle="stop" showErrorMessage="true" showInputMessage="true">
      <formula1>"R$"</formula1>
    </dataValidation>
    <dataValidation type="list" sqref="U380" allowBlank="true" errorStyle="stop" showErrorMessage="true" showInputMessage="true">
      <formula1>"Novo,Usado,Recondicionado"</formula1>
    </dataValidation>
    <dataValidation type="list" sqref="W380" allowBlank="true" errorStyle="stop" showErrorMessage="true" showInputMessage="true">
      <formula1>"Envios por minha conta a cargo do comprador,Frete grátis por conta própria,Não faço envios"</formula1>
    </dataValidation>
    <dataValidation type="list" sqref="X380" allowBlank="true" errorStyle="stop" showErrorMessage="true" showInputMessage="true">
      <formula1>"Aceita,Não aceito"</formula1>
    </dataValidation>
    <dataValidation type="list" sqref="Y380" allowBlank="true" errorStyle="stop" showErrorMessage="true" showInputMessage="true">
      <formula1>"Clássico,Premium"</formula1>
    </dataValidation>
    <dataValidation type="list" sqref="AA380" allowBlank="true" errorStyle="stop" showErrorMessage="true" showInputMessage="true">
      <formula1>"Ativo,Inativo"</formula1>
    </dataValidation>
    <dataValidation type="list" sqref="AB380" allowBlank="true" errorStyle="stop" showErrorMessage="true" showInputMessage="true">
      <formula1>"Garantia do vendedor,Garantia de fábrica,Sem garantia"</formula1>
    </dataValidation>
    <dataValidation type="list" sqref="AD380" allowBlank="true" errorStyle="stop" showErrorMessage="true" showInputMessage="true">
      <formula1>"dias,meses,anos"</formula1>
    </dataValidation>
    <dataValidation type="list" sqref="J381" allowBlank="true" errorStyle="stop" showErrorMessage="true" showInputMessage="true">
      <formula1>"R$"</formula1>
    </dataValidation>
    <dataValidation type="list" sqref="U381" allowBlank="true" errorStyle="stop" showErrorMessage="true" showInputMessage="true">
      <formula1>"Novo,Usado,Recondicionado"</formula1>
    </dataValidation>
    <dataValidation type="list" sqref="W381" allowBlank="true" errorStyle="stop" showErrorMessage="true" showInputMessage="true">
      <formula1>"Envios por minha conta a cargo do comprador,Frete grátis por conta própria,Não faço envios"</formula1>
    </dataValidation>
    <dataValidation type="list" sqref="X381" allowBlank="true" errorStyle="stop" showErrorMessage="true" showInputMessage="true">
      <formula1>"Aceita,Não aceito"</formula1>
    </dataValidation>
    <dataValidation type="list" sqref="Y381" allowBlank="true" errorStyle="stop" showErrorMessage="true" showInputMessage="true">
      <formula1>"Clássico,Premium"</formula1>
    </dataValidation>
    <dataValidation type="list" sqref="AA381" allowBlank="true" errorStyle="stop" showErrorMessage="true" showInputMessage="true">
      <formula1>"Ativo,Inativo"</formula1>
    </dataValidation>
    <dataValidation type="list" sqref="AB381" allowBlank="true" errorStyle="stop" showErrorMessage="true" showInputMessage="true">
      <formula1>"Garantia do vendedor,Garantia de fábrica,Sem garantia"</formula1>
    </dataValidation>
    <dataValidation type="list" sqref="AD381" allowBlank="true" errorStyle="stop" showErrorMessage="true" showInputMessage="true">
      <formula1>"dias,meses,anos"</formula1>
    </dataValidation>
    <dataValidation type="list" sqref="J382" allowBlank="true" errorStyle="stop" showErrorMessage="true" showInputMessage="true">
      <formula1>"R$"</formula1>
    </dataValidation>
    <dataValidation type="list" sqref="U382" allowBlank="true" errorStyle="stop" showErrorMessage="true" showInputMessage="true">
      <formula1>"Novo,Usado,Recondicionado"</formula1>
    </dataValidation>
    <dataValidation type="list" sqref="W382" allowBlank="true" errorStyle="stop" showErrorMessage="true" showInputMessage="true">
      <formula1>"Envios por minha conta a cargo do comprador,Frete grátis por conta própria,Não faço envios"</formula1>
    </dataValidation>
    <dataValidation type="list" sqref="X382" allowBlank="true" errorStyle="stop" showErrorMessage="true" showInputMessage="true">
      <formula1>"Aceita,Não aceito"</formula1>
    </dataValidation>
    <dataValidation type="list" sqref="Y382" allowBlank="true" errorStyle="stop" showErrorMessage="true" showInputMessage="true">
      <formula1>"Clássico,Premium"</formula1>
    </dataValidation>
    <dataValidation type="list" sqref="AA382" allowBlank="true" errorStyle="stop" showErrorMessage="true" showInputMessage="true">
      <formula1>"Ativo,Inativo"</formula1>
    </dataValidation>
    <dataValidation type="list" sqref="AB382" allowBlank="true" errorStyle="stop" showErrorMessage="true" showInputMessage="true">
      <formula1>"Garantia do vendedor,Garantia de fábrica,Sem garantia"</formula1>
    </dataValidation>
    <dataValidation type="list" sqref="AD382" allowBlank="true" errorStyle="stop" showErrorMessage="true" showInputMessage="true">
      <formula1>"dias,meses,anos"</formula1>
    </dataValidation>
    <dataValidation type="list" sqref="J383" allowBlank="true" errorStyle="stop" showErrorMessage="true" showInputMessage="true">
      <formula1>"R$"</formula1>
    </dataValidation>
    <dataValidation type="list" sqref="U383" allowBlank="true" errorStyle="stop" showErrorMessage="true" showInputMessage="true">
      <formula1>"Novo,Usado,Recondicionado"</formula1>
    </dataValidation>
    <dataValidation type="list" sqref="W383" allowBlank="true" errorStyle="stop" showErrorMessage="true" showInputMessage="true">
      <formula1>"Envios por minha conta a cargo do comprador,Frete grátis por conta própria,Não faço envios"</formula1>
    </dataValidation>
    <dataValidation type="list" sqref="X383" allowBlank="true" errorStyle="stop" showErrorMessage="true" showInputMessage="true">
      <formula1>"Aceita,Não aceito"</formula1>
    </dataValidation>
    <dataValidation type="list" sqref="Y383" allowBlank="true" errorStyle="stop" showErrorMessage="true" showInputMessage="true">
      <formula1>"Clássico,Premium"</formula1>
    </dataValidation>
    <dataValidation type="list" sqref="AA383" allowBlank="true" errorStyle="stop" showErrorMessage="true" showInputMessage="true">
      <formula1>"Ativo,Inativo"</formula1>
    </dataValidation>
    <dataValidation type="list" sqref="AB383" allowBlank="true" errorStyle="stop" showErrorMessage="true" showInputMessage="true">
      <formula1>"Garantia do vendedor,Garantia de fábrica,Sem garantia"</formula1>
    </dataValidation>
    <dataValidation type="list" sqref="AD383" allowBlank="true" errorStyle="stop" showErrorMessage="true" showInputMessage="true">
      <formula1>"dias,meses,anos"</formula1>
    </dataValidation>
    <dataValidation type="list" sqref="J384" allowBlank="true" errorStyle="stop" showErrorMessage="true" showInputMessage="true">
      <formula1>"R$"</formula1>
    </dataValidation>
    <dataValidation type="list" sqref="U384" allowBlank="true" errorStyle="stop" showErrorMessage="true" showInputMessage="true">
      <formula1>"Novo,Usado,Recondicionado"</formula1>
    </dataValidation>
    <dataValidation type="list" sqref="W384" allowBlank="true" errorStyle="stop" showErrorMessage="true" showInputMessage="true">
      <formula1>"Envios por minha conta a cargo do comprador,Frete grátis por conta própria,Não faço envios"</formula1>
    </dataValidation>
    <dataValidation type="list" sqref="X384" allowBlank="true" errorStyle="stop" showErrorMessage="true" showInputMessage="true">
      <formula1>"Aceita,Não aceito"</formula1>
    </dataValidation>
    <dataValidation type="list" sqref="Y384" allowBlank="true" errorStyle="stop" showErrorMessage="true" showInputMessage="true">
      <formula1>"Clássico,Premium"</formula1>
    </dataValidation>
    <dataValidation type="list" sqref="AA384" allowBlank="true" errorStyle="stop" showErrorMessage="true" showInputMessage="true">
      <formula1>"Ativo,Inativo"</formula1>
    </dataValidation>
    <dataValidation type="list" sqref="AB384" allowBlank="true" errorStyle="stop" showErrorMessage="true" showInputMessage="true">
      <formula1>"Garantia do vendedor,Garantia de fábrica,Sem garantia"</formula1>
    </dataValidation>
    <dataValidation type="list" sqref="AD384" allowBlank="true" errorStyle="stop" showErrorMessage="true" showInputMessage="true">
      <formula1>"dias,meses,anos"</formula1>
    </dataValidation>
    <dataValidation type="list" sqref="J385" allowBlank="true" errorStyle="stop" showErrorMessage="true" showInputMessage="true">
      <formula1>"R$"</formula1>
    </dataValidation>
    <dataValidation type="list" sqref="U385" allowBlank="true" errorStyle="stop" showErrorMessage="true" showInputMessage="true">
      <formula1>"Novo,Usado,Recondicionado"</formula1>
    </dataValidation>
    <dataValidation type="list" sqref="W385" allowBlank="true" errorStyle="stop" showErrorMessage="true" showInputMessage="true">
      <formula1>"Envios por minha conta a cargo do comprador,Frete grátis por conta própria,Não faço envios"</formula1>
    </dataValidation>
    <dataValidation type="list" sqref="X385" allowBlank="true" errorStyle="stop" showErrorMessage="true" showInputMessage="true">
      <formula1>"Aceita,Não aceito"</formula1>
    </dataValidation>
    <dataValidation type="list" sqref="Y385" allowBlank="true" errorStyle="stop" showErrorMessage="true" showInputMessage="true">
      <formula1>"Clássico,Premium"</formula1>
    </dataValidation>
    <dataValidation type="list" sqref="AA385" allowBlank="true" errorStyle="stop" showErrorMessage="true" showInputMessage="true">
      <formula1>"Ativo,Inativo"</formula1>
    </dataValidation>
    <dataValidation type="list" sqref="AB385" allowBlank="true" errorStyle="stop" showErrorMessage="true" showInputMessage="true">
      <formula1>"Garantia do vendedor,Garantia de fábrica,Sem garantia"</formula1>
    </dataValidation>
    <dataValidation type="list" sqref="AD385" allowBlank="true" errorStyle="stop" showErrorMessage="true" showInputMessage="true">
      <formula1>"dias,meses,anos"</formula1>
    </dataValidation>
    <dataValidation type="list" sqref="J386" allowBlank="true" errorStyle="stop" showErrorMessage="true" showInputMessage="true">
      <formula1>"R$"</formula1>
    </dataValidation>
    <dataValidation type="list" sqref="U386" allowBlank="true" errorStyle="stop" showErrorMessage="true" showInputMessage="true">
      <formula1>"Novo,Usado,Recondicionado"</formula1>
    </dataValidation>
    <dataValidation type="list" sqref="W386" allowBlank="true" errorStyle="stop" showErrorMessage="true" showInputMessage="true">
      <formula1>"Envios por minha conta a cargo do comprador,Frete grátis por conta própria,Não faço envios"</formula1>
    </dataValidation>
    <dataValidation type="list" sqref="X386" allowBlank="true" errorStyle="stop" showErrorMessage="true" showInputMessage="true">
      <formula1>"Aceita,Não aceito"</formula1>
    </dataValidation>
    <dataValidation type="list" sqref="Y386" allowBlank="true" errorStyle="stop" showErrorMessage="true" showInputMessage="true">
      <formula1>"Clássico,Premium"</formula1>
    </dataValidation>
    <dataValidation type="list" sqref="AA386" allowBlank="true" errorStyle="stop" showErrorMessage="true" showInputMessage="true">
      <formula1>"Ativo,Inativo"</formula1>
    </dataValidation>
    <dataValidation type="list" sqref="AB386" allowBlank="true" errorStyle="stop" showErrorMessage="true" showInputMessage="true">
      <formula1>"Garantia do vendedor,Garantia de fábrica,Sem garantia"</formula1>
    </dataValidation>
    <dataValidation type="list" sqref="AD386" allowBlank="true" errorStyle="stop" showErrorMessage="true" showInputMessage="true">
      <formula1>"dias,meses,anos"</formula1>
    </dataValidation>
    <dataValidation type="list" sqref="J387" allowBlank="true" errorStyle="stop" showErrorMessage="true" showInputMessage="true">
      <formula1>"R$"</formula1>
    </dataValidation>
    <dataValidation type="list" sqref="U387" allowBlank="true" errorStyle="stop" showErrorMessage="true" showInputMessage="true">
      <formula1>"Novo,Usado"</formula1>
    </dataValidation>
    <dataValidation type="list" sqref="W387" allowBlank="true" errorStyle="stop" showErrorMessage="true" showInputMessage="true">
      <formula1>"Mercado Envios por conta do comprador,Mercado Envios grátis"</formula1>
    </dataValidation>
    <dataValidation type="list" sqref="X387" allowBlank="true" errorStyle="stop" showErrorMessage="true" showInputMessage="true">
      <formula1>"Aceita,Não aceito"</formula1>
    </dataValidation>
    <dataValidation type="list" sqref="Y387" allowBlank="true" errorStyle="stop" showErrorMessage="true" showInputMessage="true">
      <formula1>"Clássico,Premium"</formula1>
    </dataValidation>
    <dataValidation type="list" sqref="AA387" allowBlank="true" errorStyle="stop" showErrorMessage="true" showInputMessage="true">
      <formula1>"Ativo,Inativo"</formula1>
    </dataValidation>
    <dataValidation type="list" sqref="AB387" allowBlank="true" errorStyle="stop" showErrorMessage="true" showInputMessage="true">
      <formula1>"Garantia do vendedor,Garantia de fábrica,Sem garantia"</formula1>
    </dataValidation>
    <dataValidation type="list" sqref="AD387" allowBlank="true" errorStyle="stop" showErrorMessage="true" showInputMessage="true">
      <formula1>"dias,meses,anos"</formula1>
    </dataValidation>
    <dataValidation type="list" sqref="J388" allowBlank="true" errorStyle="stop" showErrorMessage="true" showInputMessage="true">
      <formula1>"R$"</formula1>
    </dataValidation>
    <dataValidation type="list" sqref="U388" allowBlank="true" errorStyle="stop" showErrorMessage="true" showInputMessage="true">
      <formula1>"Novo,Usado"</formula1>
    </dataValidation>
    <dataValidation type="list" sqref="W388" allowBlank="true" errorStyle="stop" showErrorMessage="true" showInputMessage="true">
      <formula1>"Mercado Envios por conta do comprador,Mercado Envios grátis"</formula1>
    </dataValidation>
    <dataValidation type="list" sqref="X388" allowBlank="true" errorStyle="stop" showErrorMessage="true" showInputMessage="true">
      <formula1>"Aceita,Não aceito"</formula1>
    </dataValidation>
    <dataValidation type="list" sqref="Y388" allowBlank="true" errorStyle="stop" showErrorMessage="true" showInputMessage="true">
      <formula1>"Clássico,Premium"</formula1>
    </dataValidation>
    <dataValidation type="list" sqref="AA388" allowBlank="true" errorStyle="stop" showErrorMessage="true" showInputMessage="true">
      <formula1>"Ativo,Inativo"</formula1>
    </dataValidation>
    <dataValidation type="list" sqref="AB388" allowBlank="true" errorStyle="stop" showErrorMessage="true" showInputMessage="true">
      <formula1>"Garantia do vendedor,Garantia de fábrica,Sem garantia"</formula1>
    </dataValidation>
    <dataValidation type="list" sqref="AD388" allowBlank="true" errorStyle="stop" showErrorMessage="true" showInputMessage="true">
      <formula1>"dias,meses,anos"</formula1>
    </dataValidation>
    <dataValidation type="list" sqref="J389" allowBlank="true" errorStyle="stop" showErrorMessage="true" showInputMessage="true">
      <formula1>"R$"</formula1>
    </dataValidation>
    <dataValidation type="list" sqref="U389" allowBlank="true" errorStyle="stop" showErrorMessage="true" showInputMessage="true">
      <formula1>"Usado,Novo"</formula1>
    </dataValidation>
    <dataValidation type="list" sqref="W389" allowBlank="true" errorStyle="stop" showErrorMessage="true" showInputMessage="true">
      <formula1>"Mercado Envios por conta do comprador,Mercado Envios grátis"</formula1>
    </dataValidation>
    <dataValidation type="list" sqref="X389" allowBlank="true" errorStyle="stop" showErrorMessage="true" showInputMessage="true">
      <formula1>"Aceita,Não aceito"</formula1>
    </dataValidation>
    <dataValidation type="list" sqref="Y389" allowBlank="true" errorStyle="stop" showErrorMessage="true" showInputMessage="true">
      <formula1>"Clássico,Premium"</formula1>
    </dataValidation>
    <dataValidation type="list" sqref="AA389" allowBlank="true" errorStyle="stop" showErrorMessage="true" showInputMessage="true">
      <formula1>"Ativo,Inativo"</formula1>
    </dataValidation>
    <dataValidation type="list" sqref="AB389" allowBlank="true" errorStyle="stop" showErrorMessage="true" showInputMessage="true">
      <formula1>"Garantia do vendedor,Garantia de fábrica,Sem garantia"</formula1>
    </dataValidation>
    <dataValidation type="list" sqref="AD389" allowBlank="true" errorStyle="stop" showErrorMessage="true" showInputMessage="true">
      <formula1>"dias,meses,anos"</formula1>
    </dataValidation>
    <dataValidation type="list" sqref="J390" allowBlank="true" errorStyle="stop" showErrorMessage="true" showInputMessage="true">
      <formula1>"R$"</formula1>
    </dataValidation>
    <dataValidation type="list" sqref="U390" allowBlank="true" errorStyle="stop" showErrorMessage="true" showInputMessage="true">
      <formula1>"Novo,Usado"</formula1>
    </dataValidation>
    <dataValidation type="list" sqref="W390" allowBlank="true" errorStyle="stop" showErrorMessage="true" showInputMessage="true">
      <formula1>"Mercado Envios por conta do comprador,Mercado Envios grátis"</formula1>
    </dataValidation>
    <dataValidation type="list" sqref="X390" allowBlank="true" errorStyle="stop" showErrorMessage="true" showInputMessage="true">
      <formula1>"Aceita,Não aceito"</formula1>
    </dataValidation>
    <dataValidation type="list" sqref="Y390" allowBlank="true" errorStyle="stop" showErrorMessage="true" showInputMessage="true">
      <formula1>"Clássico,Premium"</formula1>
    </dataValidation>
    <dataValidation type="list" sqref="AA390" allowBlank="true" errorStyle="stop" showErrorMessage="true" showInputMessage="true">
      <formula1>"Ativo,Inativo"</formula1>
    </dataValidation>
    <dataValidation type="list" sqref="AB390" allowBlank="true" errorStyle="stop" showErrorMessage="true" showInputMessage="true">
      <formula1>"Garantia do vendedor,Garantia de fábrica,Sem garantia"</formula1>
    </dataValidation>
    <dataValidation type="list" sqref="AD390" allowBlank="true" errorStyle="stop" showErrorMessage="true" showInputMessage="true">
      <formula1>"dias,meses,anos"</formula1>
    </dataValidation>
    <dataValidation type="list" sqref="J391" allowBlank="true" errorStyle="stop" showErrorMessage="true" showInputMessage="true">
      <formula1>"R$"</formula1>
    </dataValidation>
    <dataValidation type="list" sqref="U391" allowBlank="true" errorStyle="stop" showErrorMessage="true" showInputMessage="true">
      <formula1>"Novo,Usado"</formula1>
    </dataValidation>
    <dataValidation type="list" sqref="W391" allowBlank="true" errorStyle="stop" showErrorMessage="true" showInputMessage="true">
      <formula1>"Mercado Envios por conta do comprador,Mercado Envios grátis"</formula1>
    </dataValidation>
    <dataValidation type="list" sqref="X391" allowBlank="true" errorStyle="stop" showErrorMessage="true" showInputMessage="true">
      <formula1>"Aceita,Não aceito"</formula1>
    </dataValidation>
    <dataValidation type="list" sqref="Y391" allowBlank="true" errorStyle="stop" showErrorMessage="true" showInputMessage="true">
      <formula1>"Clássico,Premium"</formula1>
    </dataValidation>
    <dataValidation type="list" sqref="AA391" allowBlank="true" errorStyle="stop" showErrorMessage="true" showInputMessage="true">
      <formula1>"Ativo,Inativo"</formula1>
    </dataValidation>
    <dataValidation type="list" sqref="AB391" allowBlank="true" errorStyle="stop" showErrorMessage="true" showInputMessage="true">
      <formula1>"Garantia do vendedor,Garantia de fábrica,Sem garantia"</formula1>
    </dataValidation>
    <dataValidation type="list" sqref="AD391" allowBlank="true" errorStyle="stop" showErrorMessage="true" showInputMessage="true">
      <formula1>"dias,meses,anos"</formula1>
    </dataValidation>
    <dataValidation type="list" sqref="J392" allowBlank="true" errorStyle="stop" showErrorMessage="true" showInputMessage="true">
      <formula1>"R$"</formula1>
    </dataValidation>
    <dataValidation type="list" sqref="U392" allowBlank="true" errorStyle="stop" showErrorMessage="true" showInputMessage="true">
      <formula1>"Novo,Usado"</formula1>
    </dataValidation>
    <dataValidation type="list" sqref="W392" allowBlank="true" errorStyle="stop" showErrorMessage="true" showInputMessage="true">
      <formula1>"Mercado Envios por conta do comprador,Mercado Envios grátis"</formula1>
    </dataValidation>
    <dataValidation type="list" sqref="X392" allowBlank="true" errorStyle="stop" showErrorMessage="true" showInputMessage="true">
      <formula1>"Aceita,Não aceito"</formula1>
    </dataValidation>
    <dataValidation type="list" sqref="Y392" allowBlank="true" errorStyle="stop" showErrorMessage="true" showInputMessage="true">
      <formula1>"Clássico,Premium"</formula1>
    </dataValidation>
    <dataValidation type="list" sqref="AA392" allowBlank="true" errorStyle="stop" showErrorMessage="true" showInputMessage="true">
      <formula1>"Ativo,Inativo"</formula1>
    </dataValidation>
    <dataValidation type="list" sqref="AB392" allowBlank="true" errorStyle="stop" showErrorMessage="true" showInputMessage="true">
      <formula1>"Garantia do vendedor,Garantia de fábrica,Sem garantia"</formula1>
    </dataValidation>
    <dataValidation type="list" sqref="AD392" allowBlank="true" errorStyle="stop" showErrorMessage="true" showInputMessage="true">
      <formula1>"dias,meses,anos"</formula1>
    </dataValidation>
    <dataValidation type="list" sqref="J393" allowBlank="true" errorStyle="stop" showErrorMessage="true" showInputMessage="true">
      <formula1>"R$"</formula1>
    </dataValidation>
    <dataValidation type="list" sqref="U393" allowBlank="true" errorStyle="stop" showErrorMessage="true" showInputMessage="true">
      <formula1>"Usado,Novo"</formula1>
    </dataValidation>
    <dataValidation type="list" sqref="W393" allowBlank="true" errorStyle="stop" showErrorMessage="true" showInputMessage="true">
      <formula1>"Mercado Envios por conta do comprador,Mercado Envios grátis"</formula1>
    </dataValidation>
    <dataValidation type="list" sqref="X393" allowBlank="true" errorStyle="stop" showErrorMessage="true" showInputMessage="true">
      <formula1>"Aceita,Não aceito"</formula1>
    </dataValidation>
    <dataValidation type="list" sqref="Y393" allowBlank="true" errorStyle="stop" showErrorMessage="true" showInputMessage="true">
      <formula1>"Clássico,Premium"</formula1>
    </dataValidation>
    <dataValidation type="list" sqref="AA393" allowBlank="true" errorStyle="stop" showErrorMessage="true" showInputMessage="true">
      <formula1>"Ativo,Inativo"</formula1>
    </dataValidation>
    <dataValidation type="list" sqref="AB393" allowBlank="true" errorStyle="stop" showErrorMessage="true" showInputMessage="true">
      <formula1>"Garantia do vendedor,Garantia de fábrica,Sem garantia"</formula1>
    </dataValidation>
    <dataValidation type="list" sqref="AD393" allowBlank="true" errorStyle="stop" showErrorMessage="true" showInputMessage="true">
      <formula1>"dias,meses,anos"</formula1>
    </dataValidation>
    <dataValidation type="list" sqref="J394" allowBlank="true" errorStyle="stop" showErrorMessage="true" showInputMessage="true">
      <formula1>"R$"</formula1>
    </dataValidation>
    <dataValidation type="list" sqref="U394" allowBlank="true" errorStyle="stop" showErrorMessage="true" showInputMessage="true">
      <formula1>"Usado,Novo,Recondicionado"</formula1>
    </dataValidation>
    <dataValidation type="list" sqref="W394" allowBlank="true" errorStyle="stop" showErrorMessage="true" showInputMessage="true">
      <formula1>"Mercado Envios por conta do comprador,Mercado Envios grátis"</formula1>
    </dataValidation>
    <dataValidation type="list" sqref="X394" allowBlank="true" errorStyle="stop" showErrorMessage="true" showInputMessage="true">
      <formula1>"Aceita,Não aceito"</formula1>
    </dataValidation>
    <dataValidation type="list" sqref="Y394" allowBlank="true" errorStyle="stop" showErrorMessage="true" showInputMessage="true">
      <formula1>"Clássico,Premium"</formula1>
    </dataValidation>
    <dataValidation type="list" sqref="AA394" allowBlank="true" errorStyle="stop" showErrorMessage="true" showInputMessage="true">
      <formula1>"Ativo,Inativo"</formula1>
    </dataValidation>
    <dataValidation type="list" sqref="AB394" allowBlank="true" errorStyle="stop" showErrorMessage="true" showInputMessage="true">
      <formula1>"Garantia do vendedor,Garantia de fábrica,Sem garantia"</formula1>
    </dataValidation>
    <dataValidation type="list" sqref="AD394" allowBlank="true" errorStyle="stop" showErrorMessage="true" showInputMessage="true">
      <formula1>"dias,meses,anos"</formula1>
    </dataValidation>
    <dataValidation type="list" sqref="J395" allowBlank="true" errorStyle="stop" showErrorMessage="true" showInputMessage="true">
      <formula1>"R$"</formula1>
    </dataValidation>
    <dataValidation type="list" sqref="U395" allowBlank="true" errorStyle="stop" showErrorMessage="true" showInputMessage="true">
      <formula1>"Usado,Novo"</formula1>
    </dataValidation>
    <dataValidation type="list" sqref="W395" allowBlank="true" errorStyle="stop" showErrorMessage="true" showInputMessage="true">
      <formula1>"Mercado Envios por conta do comprador,Mercado Envios grátis"</formula1>
    </dataValidation>
    <dataValidation type="list" sqref="X395" allowBlank="true" errorStyle="stop" showErrorMessage="true" showInputMessage="true">
      <formula1>"Aceita,Não aceito"</formula1>
    </dataValidation>
    <dataValidation type="list" sqref="Y395" allowBlank="true" errorStyle="stop" showErrorMessage="true" showInputMessage="true">
      <formula1>"Clássico,Premium"</formula1>
    </dataValidation>
    <dataValidation type="list" sqref="AA395" allowBlank="true" errorStyle="stop" showErrorMessage="true" showInputMessage="true">
      <formula1>"Ativo,Inativo"</formula1>
    </dataValidation>
    <dataValidation type="list" sqref="AB395" allowBlank="true" errorStyle="stop" showErrorMessage="true" showInputMessage="true">
      <formula1>"Garantia do vendedor,Garantia de fábrica,Sem garantia"</formula1>
    </dataValidation>
    <dataValidation type="list" sqref="AD395" allowBlank="true" errorStyle="stop" showErrorMessage="true" showInputMessage="true">
      <formula1>"dias,meses,anos"</formula1>
    </dataValidation>
    <dataValidation type="list" sqref="J396" allowBlank="true" errorStyle="stop" showErrorMessage="true" showInputMessage="true">
      <formula1>"R$"</formula1>
    </dataValidation>
    <dataValidation type="list" sqref="U396" allowBlank="true" errorStyle="stop" showErrorMessage="true" showInputMessage="true">
      <formula1>"Novo,Usado"</formula1>
    </dataValidation>
    <dataValidation type="list" sqref="W396" allowBlank="true" errorStyle="stop" showErrorMessage="true" showInputMessage="true">
      <formula1>"Mercado Envios por conta do comprador,Mercado Envios grátis"</formula1>
    </dataValidation>
    <dataValidation type="list" sqref="X396" allowBlank="true" errorStyle="stop" showErrorMessage="true" showInputMessage="true">
      <formula1>"Aceita,Não aceito"</formula1>
    </dataValidation>
    <dataValidation type="list" sqref="Y396" allowBlank="true" errorStyle="stop" showErrorMessage="true" showInputMessage="true">
      <formula1>"Clássico,Premium"</formula1>
    </dataValidation>
    <dataValidation type="list" sqref="AA396" allowBlank="true" errorStyle="stop" showErrorMessage="true" showInputMessage="true">
      <formula1>"Ativo,Inativo"</formula1>
    </dataValidation>
    <dataValidation type="list" sqref="AB396" allowBlank="true" errorStyle="stop" showErrorMessage="true" showInputMessage="true">
      <formula1>"Garantia do vendedor,Garantia de fábrica,Sem garantia"</formula1>
    </dataValidation>
    <dataValidation type="list" sqref="AD396" allowBlank="true" errorStyle="stop" showErrorMessage="true" showInputMessage="true">
      <formula1>"dias,meses,anos"</formula1>
    </dataValidation>
    <dataValidation type="list" sqref="J397" allowBlank="true" errorStyle="stop" showErrorMessage="true" showInputMessage="true">
      <formula1>"R$"</formula1>
    </dataValidation>
    <dataValidation type="list" sqref="U397" allowBlank="true" errorStyle="stop" showErrorMessage="true" showInputMessage="true">
      <formula1>"Usado,Novo"</formula1>
    </dataValidation>
    <dataValidation type="list" sqref="W397" allowBlank="true" errorStyle="stop" showErrorMessage="true" showInputMessage="true">
      <formula1>"Mercado Envios por conta do comprador,Mercado Envios grátis"</formula1>
    </dataValidation>
    <dataValidation type="list" sqref="X397" allowBlank="true" errorStyle="stop" showErrorMessage="true" showInputMessage="true">
      <formula1>"Aceita,Não aceito"</formula1>
    </dataValidation>
    <dataValidation type="list" sqref="Y397" allowBlank="true" errorStyle="stop" showErrorMessage="true" showInputMessage="true">
      <formula1>"Clássico,Premium"</formula1>
    </dataValidation>
    <dataValidation type="list" sqref="AA397" allowBlank="true" errorStyle="stop" showErrorMessage="true" showInputMessage="true">
      <formula1>"Ativo,Inativo"</formula1>
    </dataValidation>
    <dataValidation type="list" sqref="AB397" allowBlank="true" errorStyle="stop" showErrorMessage="true" showInputMessage="true">
      <formula1>"Garantia do vendedor,Garantia de fábrica,Sem garantia"</formula1>
    </dataValidation>
    <dataValidation type="list" sqref="AD397" allowBlank="true" errorStyle="stop" showErrorMessage="true" showInputMessage="true">
      <formula1>"dias,meses,anos"</formula1>
    </dataValidation>
    <dataValidation type="list" sqref="J398" allowBlank="true" errorStyle="stop" showErrorMessage="true" showInputMessage="true">
      <formula1>"R$"</formula1>
    </dataValidation>
    <dataValidation type="list" sqref="U398" allowBlank="true" errorStyle="stop" showErrorMessage="true" showInputMessage="true">
      <formula1>"Novo"</formula1>
    </dataValidation>
    <dataValidation type="list" sqref="W398" allowBlank="true" errorStyle="stop" showErrorMessage="true" showInputMessage="true">
      <formula1>"Mercado Envios por conta do comprador,Mercado Envios grátis"</formula1>
    </dataValidation>
    <dataValidation type="list" sqref="X398" allowBlank="true" errorStyle="stop" showErrorMessage="true" showInputMessage="true">
      <formula1>"Aceita,Não aceito"</formula1>
    </dataValidation>
    <dataValidation type="list" sqref="Y398" allowBlank="true" errorStyle="stop" showErrorMessage="true" showInputMessage="true">
      <formula1>"Clássico,Premium"</formula1>
    </dataValidation>
    <dataValidation type="list" sqref="AA398" allowBlank="true" errorStyle="stop" showErrorMessage="true" showInputMessage="true">
      <formula1>"Ativo,Inativo"</formula1>
    </dataValidation>
    <dataValidation type="list" sqref="AB398" allowBlank="true" errorStyle="stop" showErrorMessage="true" showInputMessage="true">
      <formula1>"Garantia do vendedor,Garantia de fábrica,Sem garantia"</formula1>
    </dataValidation>
    <dataValidation type="list" sqref="AD398" allowBlank="true" errorStyle="stop" showErrorMessage="true" showInputMessage="true">
      <formula1>"dias,meses,anos"</formula1>
    </dataValidation>
    <dataValidation type="list" sqref="J399" allowBlank="true" errorStyle="stop" showErrorMessage="true" showInputMessage="true">
      <formula1>"R$"</formula1>
    </dataValidation>
    <dataValidation type="list" sqref="U399" allowBlank="true" errorStyle="stop" showErrorMessage="true" showInputMessage="true">
      <formula1>"Usado,Novo,Recondicionado"</formula1>
    </dataValidation>
    <dataValidation type="list" sqref="W399" allowBlank="true" errorStyle="stop" showErrorMessage="true" showInputMessage="true">
      <formula1>"Mercado Envios por conta do comprador,Mercado Envios grátis"</formula1>
    </dataValidation>
    <dataValidation type="list" sqref="X399" allowBlank="true" errorStyle="stop" showErrorMessage="true" showInputMessage="true">
      <formula1>"Aceita,Não aceito"</formula1>
    </dataValidation>
    <dataValidation type="list" sqref="Y399" allowBlank="true" errorStyle="stop" showErrorMessage="true" showInputMessage="true">
      <formula1>"Clássico,Premium"</formula1>
    </dataValidation>
    <dataValidation type="list" sqref="AA399" allowBlank="true" errorStyle="stop" showErrorMessage="true" showInputMessage="true">
      <formula1>"Ativo,Inativo"</formula1>
    </dataValidation>
    <dataValidation type="list" sqref="AB399" allowBlank="true" errorStyle="stop" showErrorMessage="true" showInputMessage="true">
      <formula1>"Garantia do vendedor,Garantia de fábrica,Sem garantia"</formula1>
    </dataValidation>
    <dataValidation type="list" sqref="AD399" allowBlank="true" errorStyle="stop" showErrorMessage="true" showInputMessage="true">
      <formula1>"dias,meses,anos"</formula1>
    </dataValidation>
    <dataValidation type="list" sqref="J400" allowBlank="true" errorStyle="stop" showErrorMessage="true" showInputMessage="true">
      <formula1>"R$"</formula1>
    </dataValidation>
    <dataValidation type="list" sqref="U400" allowBlank="true" errorStyle="stop" showErrorMessage="true" showInputMessage="true">
      <formula1>"Usado,Novo"</formula1>
    </dataValidation>
    <dataValidation type="list" sqref="W400" allowBlank="true" errorStyle="stop" showErrorMessage="true" showInputMessage="true">
      <formula1>"Mercado Envios por conta do comprador,Mercado Envios grátis"</formula1>
    </dataValidation>
    <dataValidation type="list" sqref="X400" allowBlank="true" errorStyle="stop" showErrorMessage="true" showInputMessage="true">
      <formula1>"Aceita,Não aceito"</formula1>
    </dataValidation>
    <dataValidation type="list" sqref="Y400" allowBlank="true" errorStyle="stop" showErrorMessage="true" showInputMessage="true">
      <formula1>"Clássico,Premium"</formula1>
    </dataValidation>
    <dataValidation type="list" sqref="AA400" allowBlank="true" errorStyle="stop" showErrorMessage="true" showInputMessage="true">
      <formula1>"Ativo,Inativo"</formula1>
    </dataValidation>
    <dataValidation type="list" sqref="AB400" allowBlank="true" errorStyle="stop" showErrorMessage="true" showInputMessage="true">
      <formula1>"Garantia do vendedor,Garantia de fábrica,Sem garantia"</formula1>
    </dataValidation>
    <dataValidation type="list" sqref="AD400" allowBlank="true" errorStyle="stop" showErrorMessage="true" showInputMessage="true">
      <formula1>"dias,meses,anos"</formula1>
    </dataValidation>
    <dataValidation type="list" sqref="J401" allowBlank="true" errorStyle="stop" showErrorMessage="true" showInputMessage="true">
      <formula1>"R$"</formula1>
    </dataValidation>
    <dataValidation type="list" sqref="U401" allowBlank="true" errorStyle="stop" showErrorMessage="true" showInputMessage="true">
      <formula1>"Usado,Novo"</formula1>
    </dataValidation>
    <dataValidation type="list" sqref="W401" allowBlank="true" errorStyle="stop" showErrorMessage="true" showInputMessage="true">
      <formula1>"Mercado Envios por conta do comprador,Mercado Envios grátis"</formula1>
    </dataValidation>
    <dataValidation type="list" sqref="X401" allowBlank="true" errorStyle="stop" showErrorMessage="true" showInputMessage="true">
      <formula1>"Aceita,Não aceito"</formula1>
    </dataValidation>
    <dataValidation type="list" sqref="Y401" allowBlank="true" errorStyle="stop" showErrorMessage="true" showInputMessage="true">
      <formula1>"Clássico,Premium"</formula1>
    </dataValidation>
    <dataValidation type="list" sqref="AA401" allowBlank="true" errorStyle="stop" showErrorMessage="true" showInputMessage="true">
      <formula1>"Ativo,Inativo"</formula1>
    </dataValidation>
    <dataValidation type="list" sqref="AB401" allowBlank="true" errorStyle="stop" showErrorMessage="true" showInputMessage="true">
      <formula1>"Garantia do vendedor,Garantia de fábrica,Sem garantia"</formula1>
    </dataValidation>
    <dataValidation type="list" sqref="AD401" allowBlank="true" errorStyle="stop" showErrorMessage="true" showInputMessage="true">
      <formula1>"dias,meses,anos"</formula1>
    </dataValidation>
    <dataValidation type="list" sqref="J402" allowBlank="true" errorStyle="stop" showErrorMessage="true" showInputMessage="true">
      <formula1>"R$"</formula1>
    </dataValidation>
    <dataValidation type="list" sqref="U402" allowBlank="true" errorStyle="stop" showErrorMessage="true" showInputMessage="true">
      <formula1>"Usado,Novo"</formula1>
    </dataValidation>
    <dataValidation type="list" sqref="W402" allowBlank="true" errorStyle="stop" showErrorMessage="true" showInputMessage="true">
      <formula1>"Envios por minha conta a cargo do comprador,Frete grátis por conta própria,Não faço envios"</formula1>
    </dataValidation>
    <dataValidation type="list" sqref="X402" allowBlank="true" errorStyle="stop" showErrorMessage="true" showInputMessage="true">
      <formula1>"Aceita,Não aceito"</formula1>
    </dataValidation>
    <dataValidation type="list" sqref="Y402" allowBlank="true" errorStyle="stop" showErrorMessage="true" showInputMessage="true">
      <formula1>"Clássico,Premium"</formula1>
    </dataValidation>
    <dataValidation type="list" sqref="AA402" allowBlank="true" errorStyle="stop" showErrorMessage="true" showInputMessage="true">
      <formula1>"Ativo,Inativo"</formula1>
    </dataValidation>
    <dataValidation type="list" sqref="AB402" allowBlank="true" errorStyle="stop" showErrorMessage="true" showInputMessage="true">
      <formula1>"Garantia do vendedor,Garantia de fábrica,Sem garantia"</formula1>
    </dataValidation>
    <dataValidation type="list" sqref="AD402" allowBlank="true" errorStyle="stop" showErrorMessage="true" showInputMessage="true">
      <formula1>"dias,meses,anos"</formula1>
    </dataValidation>
    <dataValidation type="list" sqref="J403" allowBlank="true" errorStyle="stop" showErrorMessage="true" showInputMessage="true">
      <formula1>"R$"</formula1>
    </dataValidation>
    <dataValidation type="list" sqref="U403" allowBlank="true" errorStyle="stop" showErrorMessage="true" showInputMessage="true">
      <formula1>"Usado,Novo"</formula1>
    </dataValidation>
    <dataValidation type="list" sqref="W403" allowBlank="true" errorStyle="stop" showErrorMessage="true" showInputMessage="true">
      <formula1>"Mercado Envios por conta do comprador,Envios por conta própria"</formula1>
    </dataValidation>
    <dataValidation type="list" sqref="X403" allowBlank="true" errorStyle="stop" showErrorMessage="true" showInputMessage="true">
      <formula1>"Aceita,Não aceito"</formula1>
    </dataValidation>
    <dataValidation type="list" sqref="Y403" allowBlank="true" errorStyle="stop" showErrorMessage="true" showInputMessage="true">
      <formula1>"Clássico,Premium"</formula1>
    </dataValidation>
    <dataValidation type="list" sqref="AA403" allowBlank="true" errorStyle="stop" showErrorMessage="true" showInputMessage="true">
      <formula1>"Ativo,Inativo"</formula1>
    </dataValidation>
    <dataValidation type="list" sqref="AB403" allowBlank="true" errorStyle="stop" showErrorMessage="true" showInputMessage="true">
      <formula1>"Garantia do vendedor,Garantia de fábrica,Sem garantia"</formula1>
    </dataValidation>
    <dataValidation type="list" sqref="AD403" allowBlank="true" errorStyle="stop" showErrorMessage="true" showInputMessage="true">
      <formula1>"dias,meses,anos"</formula1>
    </dataValidation>
    <dataValidation type="list" sqref="J404" allowBlank="true" errorStyle="stop" showErrorMessage="true" showInputMessage="true">
      <formula1>"R$"</formula1>
    </dataValidation>
    <dataValidation type="list" sqref="U404" allowBlank="true" errorStyle="stop" showErrorMessage="true" showInputMessage="true">
      <formula1>"Usado,Novo"</formula1>
    </dataValidation>
    <dataValidation type="list" sqref="W404" allowBlank="true" errorStyle="stop" showErrorMessage="true" showInputMessage="true">
      <formula1>"Mercado Envios por conta do comprador,Mercado Envios grátis"</formula1>
    </dataValidation>
    <dataValidation type="list" sqref="X404" allowBlank="true" errorStyle="stop" showErrorMessage="true" showInputMessage="true">
      <formula1>"Aceita,Não aceito"</formula1>
    </dataValidation>
    <dataValidation type="list" sqref="Y404" allowBlank="true" errorStyle="stop" showErrorMessage="true" showInputMessage="true">
      <formula1>"Clássico,Premium"</formula1>
    </dataValidation>
    <dataValidation type="list" sqref="AA404" allowBlank="true" errorStyle="stop" showErrorMessage="true" showInputMessage="true">
      <formula1>"Ativo,Inativo"</formula1>
    </dataValidation>
    <dataValidation type="list" sqref="AB404" allowBlank="true" errorStyle="stop" showErrorMessage="true" showInputMessage="true">
      <formula1>"Garantia do vendedor,Garantia de fábrica,Sem garantia"</formula1>
    </dataValidation>
    <dataValidation type="list" sqref="AD404" allowBlank="true" errorStyle="stop" showErrorMessage="true" showInputMessage="true">
      <formula1>"dias,meses,anos"</formula1>
    </dataValidation>
    <dataValidation type="list" sqref="J405" allowBlank="true" errorStyle="stop" showErrorMessage="true" showInputMessage="true">
      <formula1>"R$"</formula1>
    </dataValidation>
    <dataValidation type="list" sqref="U405" allowBlank="true" errorStyle="stop" showErrorMessage="true" showInputMessage="true">
      <formula1>"Usado,Novo"</formula1>
    </dataValidation>
    <dataValidation type="list" sqref="W405" allowBlank="true" errorStyle="stop" showErrorMessage="true" showInputMessage="true">
      <formula1>"Mercado Envios por conta do comprador,Envios por conta própria"</formula1>
    </dataValidation>
    <dataValidation type="list" sqref="X405" allowBlank="true" errorStyle="stop" showErrorMessage="true" showInputMessage="true">
      <formula1>"Aceita,Não aceito"</formula1>
    </dataValidation>
    <dataValidation type="list" sqref="Y405" allowBlank="true" errorStyle="stop" showErrorMessage="true" showInputMessage="true">
      <formula1>"Clássico,Premium"</formula1>
    </dataValidation>
    <dataValidation type="list" sqref="AA405" allowBlank="true" errorStyle="stop" showErrorMessage="true" showInputMessage="true">
      <formula1>"Ativo,Inativo"</formula1>
    </dataValidation>
    <dataValidation type="list" sqref="AB405" allowBlank="true" errorStyle="stop" showErrorMessage="true" showInputMessage="true">
      <formula1>"Garantia do vendedor,Garantia de fábrica,Sem garantia"</formula1>
    </dataValidation>
    <dataValidation type="list" sqref="AD405" allowBlank="true" errorStyle="stop" showErrorMessage="true" showInputMessage="true">
      <formula1>"dias,meses,anos"</formula1>
    </dataValidation>
    <dataValidation type="list" sqref="J406" allowBlank="true" errorStyle="stop" showErrorMessage="true" showInputMessage="true">
      <formula1>"R$"</formula1>
    </dataValidation>
    <dataValidation type="list" sqref="U406" allowBlank="true" errorStyle="stop" showErrorMessage="true" showInputMessage="true">
      <formula1>"Usado,Novo"</formula1>
    </dataValidation>
    <dataValidation type="list" sqref="W406" allowBlank="true" errorStyle="stop" showErrorMessage="true" showInputMessage="true">
      <formula1>"Mercado Envios por conta do comprador,Envios por conta própria"</formula1>
    </dataValidation>
    <dataValidation type="list" sqref="X406" allowBlank="true" errorStyle="stop" showErrorMessage="true" showInputMessage="true">
      <formula1>"Aceita,Não aceito"</formula1>
    </dataValidation>
    <dataValidation type="list" sqref="Y406" allowBlank="true" errorStyle="stop" showErrorMessage="true" showInputMessage="true">
      <formula1>"Clássico,Premium"</formula1>
    </dataValidation>
    <dataValidation type="list" sqref="AA406" allowBlank="true" errorStyle="stop" showErrorMessage="true" showInputMessage="true">
      <formula1>"Ativo,Inativo"</formula1>
    </dataValidation>
    <dataValidation type="list" sqref="AB406" allowBlank="true" errorStyle="stop" showErrorMessage="true" showInputMessage="true">
      <formula1>"Garantia do vendedor,Garantia de fábrica,Sem garantia"</formula1>
    </dataValidation>
    <dataValidation type="list" sqref="AD406" allowBlank="true" errorStyle="stop" showErrorMessage="true" showInputMessage="true">
      <formula1>"dias,meses,anos"</formula1>
    </dataValidation>
    <dataValidation type="list" sqref="J407" allowBlank="true" errorStyle="stop" showErrorMessage="true" showInputMessage="true">
      <formula1>"R$"</formula1>
    </dataValidation>
    <dataValidation type="list" sqref="U407" allowBlank="true" errorStyle="stop" showErrorMessage="true" showInputMessage="true">
      <formula1>"Usado,Novo"</formula1>
    </dataValidation>
    <dataValidation type="list" sqref="W407" allowBlank="true" errorStyle="stop" showErrorMessage="true" showInputMessage="true">
      <formula1>"Mercado Envios por conta do comprador,Envios por conta própria"</formula1>
    </dataValidation>
    <dataValidation type="list" sqref="X407" allowBlank="true" errorStyle="stop" showErrorMessage="true" showInputMessage="true">
      <formula1>"Aceita,Não aceito"</formula1>
    </dataValidation>
    <dataValidation type="list" sqref="Y407" allowBlank="true" errorStyle="stop" showErrorMessage="true" showInputMessage="true">
      <formula1>"Clássico,Premium"</formula1>
    </dataValidation>
    <dataValidation type="list" sqref="AA407" allowBlank="true" errorStyle="stop" showErrorMessage="true" showInputMessage="true">
      <formula1>"Ativo,Inativo"</formula1>
    </dataValidation>
    <dataValidation type="list" sqref="AB407" allowBlank="true" errorStyle="stop" showErrorMessage="true" showInputMessage="true">
      <formula1>"Garantia do vendedor,Garantia de fábrica,Sem garantia"</formula1>
    </dataValidation>
    <dataValidation type="list" sqref="AD407" allowBlank="true" errorStyle="stop" showErrorMessage="true" showInputMessage="true">
      <formula1>"dias,meses,anos"</formula1>
    </dataValidation>
    <dataValidation type="list" sqref="J408" allowBlank="true" errorStyle="stop" showErrorMessage="true" showInputMessage="true">
      <formula1>"R$"</formula1>
    </dataValidation>
    <dataValidation type="list" sqref="U408" allowBlank="true" errorStyle="stop" showErrorMessage="true" showInputMessage="true">
      <formula1>"Usado,Novo"</formula1>
    </dataValidation>
    <dataValidation type="list" sqref="W408" allowBlank="true" errorStyle="stop" showErrorMessage="true" showInputMessage="true">
      <formula1>"Mercado Envios por conta do comprador,Envios por conta própria"</formula1>
    </dataValidation>
    <dataValidation type="list" sqref="X408" allowBlank="true" errorStyle="stop" showErrorMessage="true" showInputMessage="true">
      <formula1>"Aceita,Não aceito"</formula1>
    </dataValidation>
    <dataValidation type="list" sqref="Y408" allowBlank="true" errorStyle="stop" showErrorMessage="true" showInputMessage="true">
      <formula1>"Clássico,Premium"</formula1>
    </dataValidation>
    <dataValidation type="list" sqref="AA408" allowBlank="true" errorStyle="stop" showErrorMessage="true" showInputMessage="true">
      <formula1>"Ativo,Inativo"</formula1>
    </dataValidation>
    <dataValidation type="list" sqref="AB408" allowBlank="true" errorStyle="stop" showErrorMessage="true" showInputMessage="true">
      <formula1>"Garantia do vendedor,Garantia de fábrica,Sem garantia"</formula1>
    </dataValidation>
    <dataValidation type="list" sqref="AD408" allowBlank="true" errorStyle="stop" showErrorMessage="true" showInputMessage="true">
      <formula1>"dias,meses,anos"</formula1>
    </dataValidation>
    <dataValidation type="list" sqref="J409" allowBlank="true" errorStyle="stop" showErrorMessage="true" showInputMessage="true">
      <formula1>"R$"</formula1>
    </dataValidation>
    <dataValidation type="list" sqref="U409" allowBlank="true" errorStyle="stop" showErrorMessage="true" showInputMessage="true">
      <formula1>"Usado,Novo"</formula1>
    </dataValidation>
    <dataValidation type="list" sqref="W409" allowBlank="true" errorStyle="stop" showErrorMessage="true" showInputMessage="true">
      <formula1>"Mercado Envios por conta do comprador,Envios por conta própria"</formula1>
    </dataValidation>
    <dataValidation type="list" sqref="X409" allowBlank="true" errorStyle="stop" showErrorMessage="true" showInputMessage="true">
      <formula1>"Aceita,Não aceito"</formula1>
    </dataValidation>
    <dataValidation type="list" sqref="Y409" allowBlank="true" errorStyle="stop" showErrorMessage="true" showInputMessage="true">
      <formula1>"Clássico,Premium"</formula1>
    </dataValidation>
    <dataValidation type="list" sqref="AA409" allowBlank="true" errorStyle="stop" showErrorMessage="true" showInputMessage="true">
      <formula1>"Ativo,Inativo"</formula1>
    </dataValidation>
    <dataValidation type="list" sqref="AB409" allowBlank="true" errorStyle="stop" showErrorMessage="true" showInputMessage="true">
      <formula1>"Garantia do vendedor,Garantia de fábrica,Sem garantia"</formula1>
    </dataValidation>
    <dataValidation type="list" sqref="AD409" allowBlank="true" errorStyle="stop" showErrorMessage="true" showInputMessage="true">
      <formula1>"dias,meses,anos"</formula1>
    </dataValidation>
    <dataValidation type="list" sqref="J410" allowBlank="true" errorStyle="stop" showErrorMessage="true" showInputMessage="true">
      <formula1>"R$"</formula1>
    </dataValidation>
    <dataValidation type="list" sqref="U410" allowBlank="true" errorStyle="stop" showErrorMessage="true" showInputMessage="true">
      <formula1>"Usado,Novo"</formula1>
    </dataValidation>
    <dataValidation type="list" sqref="W410" allowBlank="true" errorStyle="stop" showErrorMessage="true" showInputMessage="true">
      <formula1>"Mercado Envios por conta do comprador,Envios por conta própria"</formula1>
    </dataValidation>
    <dataValidation type="list" sqref="X410" allowBlank="true" errorStyle="stop" showErrorMessage="true" showInputMessage="true">
      <formula1>"Aceita,Não aceito"</formula1>
    </dataValidation>
    <dataValidation type="list" sqref="Y410" allowBlank="true" errorStyle="stop" showErrorMessage="true" showInputMessage="true">
      <formula1>"Clássico,Premium"</formula1>
    </dataValidation>
    <dataValidation type="list" sqref="AA410" allowBlank="true" errorStyle="stop" showErrorMessage="true" showInputMessage="true">
      <formula1>"Ativo,Inativo"</formula1>
    </dataValidation>
    <dataValidation type="list" sqref="AB410" allowBlank="true" errorStyle="stop" showErrorMessage="true" showInputMessage="true">
      <formula1>"Garantia do vendedor,Garantia de fábrica,Sem garantia"</formula1>
    </dataValidation>
    <dataValidation type="list" sqref="AD410" allowBlank="true" errorStyle="stop" showErrorMessage="true" showInputMessage="true">
      <formula1>"dias,meses,anos"</formula1>
    </dataValidation>
    <dataValidation type="list" sqref="J411" allowBlank="true" errorStyle="stop" showErrorMessage="true" showInputMessage="true">
      <formula1>"R$"</formula1>
    </dataValidation>
    <dataValidation type="list" sqref="U411" allowBlank="true" errorStyle="stop" showErrorMessage="true" showInputMessage="true">
      <formula1>"Usado,Novo"</formula1>
    </dataValidation>
    <dataValidation type="list" sqref="W411" allowBlank="true" errorStyle="stop" showErrorMessage="true" showInputMessage="true">
      <formula1>"Mercado Envios por conta do comprador,Envios por conta própria"</formula1>
    </dataValidation>
    <dataValidation type="list" sqref="X411" allowBlank="true" errorStyle="stop" showErrorMessage="true" showInputMessage="true">
      <formula1>"Aceita,Não aceito"</formula1>
    </dataValidation>
    <dataValidation type="list" sqref="Y411" allowBlank="true" errorStyle="stop" showErrorMessage="true" showInputMessage="true">
      <formula1>"Clássico,Premium"</formula1>
    </dataValidation>
    <dataValidation type="list" sqref="AA411" allowBlank="true" errorStyle="stop" showErrorMessage="true" showInputMessage="true">
      <formula1>"Ativo,Inativo"</formula1>
    </dataValidation>
    <dataValidation type="list" sqref="AB411" allowBlank="true" errorStyle="stop" showErrorMessage="true" showInputMessage="true">
      <formula1>"Garantia do vendedor,Garantia de fábrica,Sem garantia"</formula1>
    </dataValidation>
    <dataValidation type="list" sqref="AD411" allowBlank="true" errorStyle="stop" showErrorMessage="true" showInputMessage="true">
      <formula1>"dias,meses,anos"</formula1>
    </dataValidation>
    <dataValidation type="list" sqref="J412" allowBlank="true" errorStyle="stop" showErrorMessage="true" showInputMessage="true">
      <formula1>"R$"</formula1>
    </dataValidation>
    <dataValidation type="list" sqref="U412" allowBlank="true" errorStyle="stop" showErrorMessage="true" showInputMessage="true">
      <formula1>"Usado,Novo,Recondicionado"</formula1>
    </dataValidation>
    <dataValidation type="list" sqref="W412" allowBlank="true" errorStyle="stop" showErrorMessage="true" showInputMessage="true">
      <formula1>"Mercado Envios por conta do comprador,Envios por conta própria"</formula1>
    </dataValidation>
    <dataValidation type="list" sqref="X412" allowBlank="true" errorStyle="stop" showErrorMessage="true" showInputMessage="true">
      <formula1>"Aceita,Não aceito"</formula1>
    </dataValidation>
    <dataValidation type="list" sqref="Y412" allowBlank="true" errorStyle="stop" showErrorMessage="true" showInputMessage="true">
      <formula1>"Clássico,Premium"</formula1>
    </dataValidation>
    <dataValidation type="list" sqref="AA412" allowBlank="true" errorStyle="stop" showErrorMessage="true" showInputMessage="true">
      <formula1>"Ativo,Inativo"</formula1>
    </dataValidation>
    <dataValidation type="list" sqref="AB412" allowBlank="true" errorStyle="stop" showErrorMessage="true" showInputMessage="true">
      <formula1>"Garantia do vendedor,Garantia de fábrica,Sem garantia"</formula1>
    </dataValidation>
    <dataValidation type="list" sqref="AD412" allowBlank="true" errorStyle="stop" showErrorMessage="true" showInputMessage="true">
      <formula1>"dias,meses,anos"</formula1>
    </dataValidation>
    <dataValidation type="list" sqref="J413" allowBlank="true" errorStyle="stop" showErrorMessage="true" showInputMessage="true">
      <formula1>"R$"</formula1>
    </dataValidation>
    <dataValidation type="list" sqref="U413" allowBlank="true" errorStyle="stop" showErrorMessage="true" showInputMessage="true">
      <formula1>"Usado,Novo"</formula1>
    </dataValidation>
    <dataValidation type="list" sqref="W413" allowBlank="true" errorStyle="stop" showErrorMessage="true" showInputMessage="true">
      <formula1>"Mercado Envios por conta do comprador,Envios por conta própria"</formula1>
    </dataValidation>
    <dataValidation type="list" sqref="X413" allowBlank="true" errorStyle="stop" showErrorMessage="true" showInputMessage="true">
      <formula1>"Aceita,Não aceito"</formula1>
    </dataValidation>
    <dataValidation type="list" sqref="Y413" allowBlank="true" errorStyle="stop" showErrorMessage="true" showInputMessage="true">
      <formula1>"Clássico,Premium"</formula1>
    </dataValidation>
    <dataValidation type="list" sqref="AA413" allowBlank="true" errorStyle="stop" showErrorMessage="true" showInputMessage="true">
      <formula1>"Ativo,Inativo"</formula1>
    </dataValidation>
    <dataValidation type="list" sqref="AB413" allowBlank="true" errorStyle="stop" showErrorMessage="true" showInputMessage="true">
      <formula1>"Garantia do vendedor,Garantia de fábrica,Sem garantia"</formula1>
    </dataValidation>
    <dataValidation type="list" sqref="AD413" allowBlank="true" errorStyle="stop" showErrorMessage="true" showInputMessage="true">
      <formula1>"dias,meses,anos"</formula1>
    </dataValidation>
    <dataValidation type="list" sqref="J414" allowBlank="true" errorStyle="stop" showErrorMessage="true" showInputMessage="true">
      <formula1>"R$"</formula1>
    </dataValidation>
    <dataValidation type="list" sqref="U414" allowBlank="true" errorStyle="stop" showErrorMessage="true" showInputMessage="true">
      <formula1>"Usado,Novo"</formula1>
    </dataValidation>
    <dataValidation type="list" sqref="W414" allowBlank="true" errorStyle="stop" showErrorMessage="true" showInputMessage="true">
      <formula1>"Mercado Envios por conta do comprador,Envios por conta própria"</formula1>
    </dataValidation>
    <dataValidation type="list" sqref="X414" allowBlank="true" errorStyle="stop" showErrorMessage="true" showInputMessage="true">
      <formula1>"Aceita,Não aceito"</formula1>
    </dataValidation>
    <dataValidation type="list" sqref="Y414" allowBlank="true" errorStyle="stop" showErrorMessage="true" showInputMessage="true">
      <formula1>"Clássico,Premium"</formula1>
    </dataValidation>
    <dataValidation type="list" sqref="AA414" allowBlank="true" errorStyle="stop" showErrorMessage="true" showInputMessage="true">
      <formula1>"Ativo,Inativo"</formula1>
    </dataValidation>
    <dataValidation type="list" sqref="AB414" allowBlank="true" errorStyle="stop" showErrorMessage="true" showInputMessage="true">
      <formula1>"Garantia do vendedor,Garantia de fábrica,Sem garantia"</formula1>
    </dataValidation>
    <dataValidation type="list" sqref="AD414" allowBlank="true" errorStyle="stop" showErrorMessage="true" showInputMessage="true">
      <formula1>"dias,meses,anos"</formula1>
    </dataValidation>
    <dataValidation type="list" sqref="J415" allowBlank="true" errorStyle="stop" showErrorMessage="true" showInputMessage="true">
      <formula1>"R$"</formula1>
    </dataValidation>
    <dataValidation type="list" sqref="U415" allowBlank="true" errorStyle="stop" showErrorMessage="true" showInputMessage="true">
      <formula1>"Usado,Novo"</formula1>
    </dataValidation>
    <dataValidation type="list" sqref="W415" allowBlank="true" errorStyle="stop" showErrorMessage="true" showInputMessage="true">
      <formula1>"Mercado Envios por conta do comprador,Envios por conta própria"</formula1>
    </dataValidation>
    <dataValidation type="list" sqref="X415" allowBlank="true" errorStyle="stop" showErrorMessage="true" showInputMessage="true">
      <formula1>"Aceita,Não aceito"</formula1>
    </dataValidation>
    <dataValidation type="list" sqref="Y415" allowBlank="true" errorStyle="stop" showErrorMessage="true" showInputMessage="true">
      <formula1>"Clássico,Premium"</formula1>
    </dataValidation>
    <dataValidation type="list" sqref="AA415" allowBlank="true" errorStyle="stop" showErrorMessage="true" showInputMessage="true">
      <formula1>"Ativo,Inativo"</formula1>
    </dataValidation>
    <dataValidation type="list" sqref="AB415" allowBlank="true" errorStyle="stop" showErrorMessage="true" showInputMessage="true">
      <formula1>"Garantia do vendedor,Garantia de fábrica,Sem garantia"</formula1>
    </dataValidation>
    <dataValidation type="list" sqref="AD415" allowBlank="true" errorStyle="stop" showErrorMessage="true" showInputMessage="true">
      <formula1>"dias,meses,anos"</formula1>
    </dataValidation>
    <dataValidation type="list" sqref="J416" allowBlank="true" errorStyle="stop" showErrorMessage="true" showInputMessage="true">
      <formula1>"R$"</formula1>
    </dataValidation>
    <dataValidation type="list" sqref="U416" allowBlank="true" errorStyle="stop" showErrorMessage="true" showInputMessage="true">
      <formula1>"Usado,Novo"</formula1>
    </dataValidation>
    <dataValidation type="list" sqref="W416" allowBlank="true" errorStyle="stop" showErrorMessage="true" showInputMessage="true">
      <formula1>"Mercado Envios por conta do comprador,Envios por conta própria"</formula1>
    </dataValidation>
    <dataValidation type="list" sqref="X416" allowBlank="true" errorStyle="stop" showErrorMessage="true" showInputMessage="true">
      <formula1>"Aceita,Não aceito"</formula1>
    </dataValidation>
    <dataValidation type="list" sqref="Y416" allowBlank="true" errorStyle="stop" showErrorMessage="true" showInputMessage="true">
      <formula1>"Clássico,Premium"</formula1>
    </dataValidation>
    <dataValidation type="list" sqref="AA416" allowBlank="true" errorStyle="stop" showErrorMessage="true" showInputMessage="true">
      <formula1>"Ativo,Inativo"</formula1>
    </dataValidation>
    <dataValidation type="list" sqref="AB416" allowBlank="true" errorStyle="stop" showErrorMessage="true" showInputMessage="true">
      <formula1>"Garantia do vendedor,Garantia de fábrica,Sem garantia"</formula1>
    </dataValidation>
    <dataValidation type="list" sqref="AD416" allowBlank="true" errorStyle="stop" showErrorMessage="true" showInputMessage="true">
      <formula1>"dias,meses,anos"</formula1>
    </dataValidation>
    <dataValidation type="list" sqref="J417" allowBlank="true" errorStyle="stop" showErrorMessage="true" showInputMessage="true">
      <formula1>"R$"</formula1>
    </dataValidation>
    <dataValidation type="list" sqref="U417" allowBlank="true" errorStyle="stop" showErrorMessage="true" showInputMessage="true">
      <formula1>"Usado,Novo"</formula1>
    </dataValidation>
    <dataValidation type="list" sqref="W417" allowBlank="true" errorStyle="stop" showErrorMessage="true" showInputMessage="true">
      <formula1>"Mercado Envios por conta do comprador,Envios por conta própria"</formula1>
    </dataValidation>
    <dataValidation type="list" sqref="X417" allowBlank="true" errorStyle="stop" showErrorMessage="true" showInputMessage="true">
      <formula1>"Aceita,Não aceito"</formula1>
    </dataValidation>
    <dataValidation type="list" sqref="Y417" allowBlank="true" errorStyle="stop" showErrorMessage="true" showInputMessage="true">
      <formula1>"Clássico,Premium"</formula1>
    </dataValidation>
    <dataValidation type="list" sqref="AA417" allowBlank="true" errorStyle="stop" showErrorMessage="true" showInputMessage="true">
      <formula1>"Ativo,Inativo"</formula1>
    </dataValidation>
    <dataValidation type="list" sqref="AB417" allowBlank="true" errorStyle="stop" showErrorMessage="true" showInputMessage="true">
      <formula1>"Garantia do vendedor,Garantia de fábrica,Sem garantia"</formula1>
    </dataValidation>
    <dataValidation type="list" sqref="AD417" allowBlank="true" errorStyle="stop" showErrorMessage="true" showInputMessage="true">
      <formula1>"dias,meses,anos"</formula1>
    </dataValidation>
    <dataValidation type="list" sqref="J418" allowBlank="true" errorStyle="stop" showErrorMessage="true" showInputMessage="true">
      <formula1>"R$"</formula1>
    </dataValidation>
    <dataValidation type="list" sqref="U418" allowBlank="true" errorStyle="stop" showErrorMessage="true" showInputMessage="true">
      <formula1>"Usado,Novo"</formula1>
    </dataValidation>
    <dataValidation type="list" sqref="W418" allowBlank="true" errorStyle="stop" showErrorMessage="true" showInputMessage="true">
      <formula1>"Mercado Envios por conta do comprador,Envios por conta própria"</formula1>
    </dataValidation>
    <dataValidation type="list" sqref="X418" allowBlank="true" errorStyle="stop" showErrorMessage="true" showInputMessage="true">
      <formula1>"Aceita,Não aceito"</formula1>
    </dataValidation>
    <dataValidation type="list" sqref="Y418" allowBlank="true" errorStyle="stop" showErrorMessage="true" showInputMessage="true">
      <formula1>"Clássico,Premium"</formula1>
    </dataValidation>
    <dataValidation type="list" sqref="AA418" allowBlank="true" errorStyle="stop" showErrorMessage="true" showInputMessage="true">
      <formula1>"Ativo,Inativo"</formula1>
    </dataValidation>
    <dataValidation type="list" sqref="AB418" allowBlank="true" errorStyle="stop" showErrorMessage="true" showInputMessage="true">
      <formula1>"Garantia do vendedor,Garantia de fábrica,Sem garantia"</formula1>
    </dataValidation>
    <dataValidation type="list" sqref="AD418" allowBlank="true" errorStyle="stop" showErrorMessage="true" showInputMessage="true">
      <formula1>"dias,meses,anos"</formula1>
    </dataValidation>
    <dataValidation type="list" sqref="J419" allowBlank="true" errorStyle="stop" showErrorMessage="true" showInputMessage="true">
      <formula1>"R$"</formula1>
    </dataValidation>
    <dataValidation type="list" sqref="U419" allowBlank="true" errorStyle="stop" showErrorMessage="true" showInputMessage="true">
      <formula1>"Usado,Novo"</formula1>
    </dataValidation>
    <dataValidation type="list" sqref="W419" allowBlank="true" errorStyle="stop" showErrorMessage="true" showInputMessage="true">
      <formula1>"Mercado Envios por conta do comprador,Mercado Envios grátis"</formula1>
    </dataValidation>
    <dataValidation type="list" sqref="X419" allowBlank="true" errorStyle="stop" showErrorMessage="true" showInputMessage="true">
      <formula1>"Aceita,Não aceito"</formula1>
    </dataValidation>
    <dataValidation type="list" sqref="Y419" allowBlank="true" errorStyle="stop" showErrorMessage="true" showInputMessage="true">
      <formula1>"Clássico,Premium"</formula1>
    </dataValidation>
    <dataValidation type="list" sqref="AA419" allowBlank="true" errorStyle="stop" showErrorMessage="true" showInputMessage="true">
      <formula1>"Ativo,Inativo"</formula1>
    </dataValidation>
    <dataValidation type="list" sqref="AB419" allowBlank="true" errorStyle="stop" showErrorMessage="true" showInputMessage="true">
      <formula1>"Garantia do vendedor,Garantia de fábrica,Sem garantia"</formula1>
    </dataValidation>
    <dataValidation type="list" sqref="AD419" allowBlank="true" errorStyle="stop" showErrorMessage="true" showInputMessage="true">
      <formula1>"dias,meses,anos"</formula1>
    </dataValidation>
    <dataValidation type="list" sqref="J420" allowBlank="true" errorStyle="stop" showErrorMessage="true" showInputMessage="true">
      <formula1>"R$"</formula1>
    </dataValidation>
    <dataValidation type="list" sqref="U420" allowBlank="true" errorStyle="stop" showErrorMessage="true" showInputMessage="true">
      <formula1>"Usado,Novo"</formula1>
    </dataValidation>
    <dataValidation type="list" sqref="W420" allowBlank="true" errorStyle="stop" showErrorMessage="true" showInputMessage="true">
      <formula1>"Mercado Envios por conta do comprador,Mercado Envios grátis"</formula1>
    </dataValidation>
    <dataValidation type="list" sqref="X420" allowBlank="true" errorStyle="stop" showErrorMessage="true" showInputMessage="true">
      <formula1>"Aceita,Não aceito"</formula1>
    </dataValidation>
    <dataValidation type="list" sqref="Y420" allowBlank="true" errorStyle="stop" showErrorMessage="true" showInputMessage="true">
      <formula1>"Clássico,Premium"</formula1>
    </dataValidation>
    <dataValidation type="list" sqref="AA420" allowBlank="true" errorStyle="stop" showErrorMessage="true" showInputMessage="true">
      <formula1>"Ativo,Inativo"</formula1>
    </dataValidation>
    <dataValidation type="list" sqref="AB420" allowBlank="true" errorStyle="stop" showErrorMessage="true" showInputMessage="true">
      <formula1>"Garantia do vendedor,Garantia de fábrica,Sem garantia"</formula1>
    </dataValidation>
    <dataValidation type="list" sqref="AD420" allowBlank="true" errorStyle="stop" showErrorMessage="true" showInputMessage="true">
      <formula1>"dias,meses,anos"</formula1>
    </dataValidation>
    <dataValidation type="list" sqref="J421" allowBlank="true" errorStyle="stop" showErrorMessage="true" showInputMessage="true">
      <formula1>"R$"</formula1>
    </dataValidation>
    <dataValidation type="list" sqref="U421" allowBlank="true" errorStyle="stop" showErrorMessage="true" showInputMessage="true">
      <formula1>"Usado,Novo"</formula1>
    </dataValidation>
    <dataValidation type="list" sqref="W421" allowBlank="true" errorStyle="stop" showErrorMessage="true" showInputMessage="true">
      <formula1>"Mercado Envios por conta do comprador,Envios por conta própria"</formula1>
    </dataValidation>
    <dataValidation type="list" sqref="X421" allowBlank="true" errorStyle="stop" showErrorMessage="true" showInputMessage="true">
      <formula1>"Aceita,Não aceito"</formula1>
    </dataValidation>
    <dataValidation type="list" sqref="Y421" allowBlank="true" errorStyle="stop" showErrorMessage="true" showInputMessage="true">
      <formula1>"Clássico,Premium"</formula1>
    </dataValidation>
    <dataValidation type="list" sqref="AA421" allowBlank="true" errorStyle="stop" showErrorMessage="true" showInputMessage="true">
      <formula1>"Ativo,Inativo"</formula1>
    </dataValidation>
    <dataValidation type="list" sqref="AB421" allowBlank="true" errorStyle="stop" showErrorMessage="true" showInputMessage="true">
      <formula1>"Garantia do vendedor,Garantia de fábrica,Sem garantia"</formula1>
    </dataValidation>
    <dataValidation type="list" sqref="AD421" allowBlank="true" errorStyle="stop" showErrorMessage="true" showInputMessage="true">
      <formula1>"dias,meses,anos"</formula1>
    </dataValidation>
    <dataValidation type="list" sqref="J422" allowBlank="true" errorStyle="stop" showErrorMessage="true" showInputMessage="true">
      <formula1>"R$"</formula1>
    </dataValidation>
    <dataValidation type="list" sqref="U422" allowBlank="true" errorStyle="stop" showErrorMessage="true" showInputMessage="true">
      <formula1>"Usado,Novo"</formula1>
    </dataValidation>
    <dataValidation type="list" sqref="W422" allowBlank="true" errorStyle="stop" showErrorMessage="true" showInputMessage="true">
      <formula1>"Mercado Envios por conta do comprador,Envios por conta própria"</formula1>
    </dataValidation>
    <dataValidation type="list" sqref="X422" allowBlank="true" errorStyle="stop" showErrorMessage="true" showInputMessage="true">
      <formula1>"Aceita,Não aceito"</formula1>
    </dataValidation>
    <dataValidation type="list" sqref="Y422" allowBlank="true" errorStyle="stop" showErrorMessage="true" showInputMessage="true">
      <formula1>"Clássico,Premium"</formula1>
    </dataValidation>
    <dataValidation type="list" sqref="AA422" allowBlank="true" errorStyle="stop" showErrorMessage="true" showInputMessage="true">
      <formula1>"Ativo,Inativo"</formula1>
    </dataValidation>
    <dataValidation type="list" sqref="AB422" allowBlank="true" errorStyle="stop" showErrorMessage="true" showInputMessage="true">
      <formula1>"Garantia do vendedor,Garantia de fábrica,Sem garantia"</formula1>
    </dataValidation>
    <dataValidation type="list" sqref="AD422" allowBlank="true" errorStyle="stop" showErrorMessage="true" showInputMessage="true">
      <formula1>"dias,meses,anos"</formula1>
    </dataValidation>
    <dataValidation type="list" sqref="J423" allowBlank="true" errorStyle="stop" showErrorMessage="true" showInputMessage="true">
      <formula1>"R$"</formula1>
    </dataValidation>
    <dataValidation type="list" sqref="U423" allowBlank="true" errorStyle="stop" showErrorMessage="true" showInputMessage="true">
      <formula1>"Usado,Novo"</formula1>
    </dataValidation>
    <dataValidation type="list" sqref="W423" allowBlank="true" errorStyle="stop" showErrorMessage="true" showInputMessage="true">
      <formula1>"Mercado Envios por conta do comprador,Mercado Envios grátis"</formula1>
    </dataValidation>
    <dataValidation type="list" sqref="X423" allowBlank="true" errorStyle="stop" showErrorMessage="true" showInputMessage="true">
      <formula1>"Aceita,Não aceito"</formula1>
    </dataValidation>
    <dataValidation type="list" sqref="Y423" allowBlank="true" errorStyle="stop" showErrorMessage="true" showInputMessage="true">
      <formula1>"Clássico,Premium"</formula1>
    </dataValidation>
    <dataValidation type="list" sqref="AA423" allowBlank="true" errorStyle="stop" showErrorMessage="true" showInputMessage="true">
      <formula1>"Ativo,Inativo"</formula1>
    </dataValidation>
    <dataValidation type="list" sqref="AB423" allowBlank="true" errorStyle="stop" showErrorMessage="true" showInputMessage="true">
      <formula1>"Garantia do vendedor,Garantia de fábrica,Sem garantia"</formula1>
    </dataValidation>
    <dataValidation type="list" sqref="AD423" allowBlank="true" errorStyle="stop" showErrorMessage="true" showInputMessage="true">
      <formula1>"dias,meses,anos"</formula1>
    </dataValidation>
    <dataValidation type="list" sqref="J424" allowBlank="true" errorStyle="stop" showErrorMessage="true" showInputMessage="true">
      <formula1>"R$"</formula1>
    </dataValidation>
    <dataValidation type="list" sqref="U424" allowBlank="true" errorStyle="stop" showErrorMessage="true" showInputMessage="true">
      <formula1>"Novo,Usado"</formula1>
    </dataValidation>
    <dataValidation type="list" sqref="W424" allowBlank="true" errorStyle="stop" showErrorMessage="true" showInputMessage="true">
      <formula1>"Mercado Envios por conta do comprador,Mercado Envios grátis"</formula1>
    </dataValidation>
    <dataValidation type="list" sqref="X424" allowBlank="true" errorStyle="stop" showErrorMessage="true" showInputMessage="true">
      <formula1>"Aceita,Não aceito"</formula1>
    </dataValidation>
    <dataValidation type="list" sqref="Y424" allowBlank="true" errorStyle="stop" showErrorMessage="true" showInputMessage="true">
      <formula1>"Clássico,Premium"</formula1>
    </dataValidation>
    <dataValidation type="list" sqref="AA424" allowBlank="true" errorStyle="stop" showErrorMessage="true" showInputMessage="true">
      <formula1>"Ativo,Inativo"</formula1>
    </dataValidation>
    <dataValidation type="list" sqref="AB424" allowBlank="true" errorStyle="stop" showErrorMessage="true" showInputMessage="true">
      <formula1>"Garantia do vendedor,Garantia de fábrica,Sem garantia"</formula1>
    </dataValidation>
    <dataValidation type="list" sqref="AD424" allowBlank="true" errorStyle="stop" showErrorMessage="true" showInputMessage="true">
      <formula1>"dias,meses,anos"</formula1>
    </dataValidation>
    <dataValidation type="list" sqref="J425" allowBlank="true" errorStyle="stop" showErrorMessage="true" showInputMessage="true">
      <formula1>"R$"</formula1>
    </dataValidation>
    <dataValidation type="list" sqref="U425" allowBlank="true" errorStyle="stop" showErrorMessage="true" showInputMessage="true">
      <formula1>"Novo,Usado"</formula1>
    </dataValidation>
    <dataValidation type="list" sqref="W425" allowBlank="true" errorStyle="stop" showErrorMessage="true" showInputMessage="true">
      <formula1>"Mercado Envios por conta do comprador,Mercado Envios grátis"</formula1>
    </dataValidation>
    <dataValidation type="list" sqref="X425" allowBlank="true" errorStyle="stop" showErrorMessage="true" showInputMessage="true">
      <formula1>"Aceita,Não aceito"</formula1>
    </dataValidation>
    <dataValidation type="list" sqref="Y425" allowBlank="true" errorStyle="stop" showErrorMessage="true" showInputMessage="true">
      <formula1>"Clássico,Premium"</formula1>
    </dataValidation>
    <dataValidation type="list" sqref="AA425" allowBlank="true" errorStyle="stop" showErrorMessage="true" showInputMessage="true">
      <formula1>"Ativo,Inativo"</formula1>
    </dataValidation>
    <dataValidation type="list" sqref="AB425" allowBlank="true" errorStyle="stop" showErrorMessage="true" showInputMessage="true">
      <formula1>"Garantia do vendedor,Garantia de fábrica,Sem garantia"</formula1>
    </dataValidation>
    <dataValidation type="list" sqref="AD425" allowBlank="true" errorStyle="stop" showErrorMessage="true" showInputMessage="true">
      <formula1>"dias,meses,anos"</formula1>
    </dataValidation>
    <dataValidation type="list" sqref="J426" allowBlank="true" errorStyle="stop" showErrorMessage="true" showInputMessage="true">
      <formula1>"R$"</formula1>
    </dataValidation>
    <dataValidation type="list" sqref="U426" allowBlank="true" errorStyle="stop" showErrorMessage="true" showInputMessage="true">
      <formula1>"Usado,Novo"</formula1>
    </dataValidation>
    <dataValidation type="list" sqref="W426" allowBlank="true" errorStyle="stop" showErrorMessage="true" showInputMessage="true">
      <formula1>"Mercado Envios por conta do comprador,Mercado Envios grátis"</formula1>
    </dataValidation>
    <dataValidation type="list" sqref="X426" allowBlank="true" errorStyle="stop" showErrorMessage="true" showInputMessage="true">
      <formula1>"Aceita,Não aceito"</formula1>
    </dataValidation>
    <dataValidation type="list" sqref="Y426" allowBlank="true" errorStyle="stop" showErrorMessage="true" showInputMessage="true">
      <formula1>"Clássico,Premium"</formula1>
    </dataValidation>
    <dataValidation type="list" sqref="AA426" allowBlank="true" errorStyle="stop" showErrorMessage="true" showInputMessage="true">
      <formula1>"Ativo,Inativo"</formula1>
    </dataValidation>
    <dataValidation type="list" sqref="AB426" allowBlank="true" errorStyle="stop" showErrorMessage="true" showInputMessage="true">
      <formula1>"Garantia do vendedor,Garantia de fábrica,Sem garantia"</formula1>
    </dataValidation>
    <dataValidation type="list" sqref="AD426" allowBlank="true" errorStyle="stop" showErrorMessage="true" showInputMessage="true">
      <formula1>"dias,meses,anos"</formula1>
    </dataValidation>
    <dataValidation type="list" sqref="J427" allowBlank="true" errorStyle="stop" showErrorMessage="true" showInputMessage="true">
      <formula1>"R$"</formula1>
    </dataValidation>
    <dataValidation type="list" sqref="U427" allowBlank="true" errorStyle="stop" showErrorMessage="true" showInputMessage="true">
      <formula1>"Novo,Usado"</formula1>
    </dataValidation>
    <dataValidation type="list" sqref="W427" allowBlank="true" errorStyle="stop" showErrorMessage="true" showInputMessage="true">
      <formula1>"Mercado Envios por conta do comprador,Mercado Envios grátis"</formula1>
    </dataValidation>
    <dataValidation type="list" sqref="X427" allowBlank="true" errorStyle="stop" showErrorMessage="true" showInputMessage="true">
      <formula1>"Aceita,Não aceito"</formula1>
    </dataValidation>
    <dataValidation type="list" sqref="Y427" allowBlank="true" errorStyle="stop" showErrorMessage="true" showInputMessage="true">
      <formula1>"Clássico,Premium"</formula1>
    </dataValidation>
    <dataValidation type="list" sqref="AA427" allowBlank="true" errorStyle="stop" showErrorMessage="true" showInputMessage="true">
      <formula1>"Ativo,Inativo"</formula1>
    </dataValidation>
    <dataValidation type="list" sqref="AB427" allowBlank="true" errorStyle="stop" showErrorMessage="true" showInputMessage="true">
      <formula1>"Garantia do vendedor,Garantia de fábrica,Sem garantia"</formula1>
    </dataValidation>
    <dataValidation type="list" sqref="AD427" allowBlank="true" errorStyle="stop" showErrorMessage="true" showInputMessage="true">
      <formula1>"dias,meses,anos"</formula1>
    </dataValidation>
    <dataValidation type="list" sqref="J428" allowBlank="true" errorStyle="stop" showErrorMessage="true" showInputMessage="true">
      <formula1>"R$"</formula1>
    </dataValidation>
    <dataValidation type="list" sqref="U428" allowBlank="true" errorStyle="stop" showErrorMessage="true" showInputMessage="true">
      <formula1>"Novo,Usado"</formula1>
    </dataValidation>
    <dataValidation type="list" sqref="W428" allowBlank="true" errorStyle="stop" showErrorMessage="true" showInputMessage="true">
      <formula1>"Mercado Envios por conta do comprador,Mercado Envios grátis"</formula1>
    </dataValidation>
    <dataValidation type="list" sqref="X428" allowBlank="true" errorStyle="stop" showErrorMessage="true" showInputMessage="true">
      <formula1>"Aceita,Não aceito"</formula1>
    </dataValidation>
    <dataValidation type="list" sqref="Y428" allowBlank="true" errorStyle="stop" showErrorMessage="true" showInputMessage="true">
      <formula1>"Clássico,Premium"</formula1>
    </dataValidation>
    <dataValidation type="list" sqref="AA428" allowBlank="true" errorStyle="stop" showErrorMessage="true" showInputMessage="true">
      <formula1>"Ativo,Inativo"</formula1>
    </dataValidation>
    <dataValidation type="list" sqref="AB428" allowBlank="true" errorStyle="stop" showErrorMessage="true" showInputMessage="true">
      <formula1>"Garantia do vendedor,Garantia de fábrica,Sem garantia"</formula1>
    </dataValidation>
    <dataValidation type="list" sqref="AD428" allowBlank="true" errorStyle="stop" showErrorMessage="true" showInputMessage="true">
      <formula1>"dias,meses,anos"</formula1>
    </dataValidation>
    <dataValidation type="list" sqref="J429" allowBlank="true" errorStyle="stop" showErrorMessage="true" showInputMessage="true">
      <formula1>"R$"</formula1>
    </dataValidation>
    <dataValidation type="list" sqref="U429" allowBlank="true" errorStyle="stop" showErrorMessage="true" showInputMessage="true">
      <formula1>"Novo,Usado"</formula1>
    </dataValidation>
    <dataValidation type="list" sqref="W429" allowBlank="true" errorStyle="stop" showErrorMessage="true" showInputMessage="true">
      <formula1>"Mercado Envios por conta do comprador,Mercado Envios grátis"</formula1>
    </dataValidation>
    <dataValidation type="list" sqref="X429" allowBlank="true" errorStyle="stop" showErrorMessage="true" showInputMessage="true">
      <formula1>"Aceita,Não aceito"</formula1>
    </dataValidation>
    <dataValidation type="list" sqref="Y429" allowBlank="true" errorStyle="stop" showErrorMessage="true" showInputMessage="true">
      <formula1>"Clássico,Premium"</formula1>
    </dataValidation>
    <dataValidation type="list" sqref="AA429" allowBlank="true" errorStyle="stop" showErrorMessage="true" showInputMessage="true">
      <formula1>"Ativo,Inativo"</formula1>
    </dataValidation>
    <dataValidation type="list" sqref="AB429" allowBlank="true" errorStyle="stop" showErrorMessage="true" showInputMessage="true">
      <formula1>"Garantia do vendedor,Garantia de fábrica,Sem garantia"</formula1>
    </dataValidation>
    <dataValidation type="list" sqref="AD429" allowBlank="true" errorStyle="stop" showErrorMessage="true" showInputMessage="true">
      <formula1>"dias,meses,anos"</formula1>
    </dataValidation>
    <dataValidation type="list" sqref="J430" allowBlank="true" errorStyle="stop" showErrorMessage="true" showInputMessage="true">
      <formula1>"R$"</formula1>
    </dataValidation>
    <dataValidation type="list" sqref="U430" allowBlank="true" errorStyle="stop" showErrorMessage="true" showInputMessage="true">
      <formula1>"Novo,Usado"</formula1>
    </dataValidation>
    <dataValidation type="list" sqref="W430" allowBlank="true" errorStyle="stop" showErrorMessage="true" showInputMessage="true">
      <formula1>"Mercado Envios por conta do comprador,Mercado Envios grátis"</formula1>
    </dataValidation>
    <dataValidation type="list" sqref="X430" allowBlank="true" errorStyle="stop" showErrorMessage="true" showInputMessage="true">
      <formula1>"Aceita,Não aceito"</formula1>
    </dataValidation>
    <dataValidation type="list" sqref="Y430" allowBlank="true" errorStyle="stop" showErrorMessage="true" showInputMessage="true">
      <formula1>"Clássico,Premium"</formula1>
    </dataValidation>
    <dataValidation type="list" sqref="AA430" allowBlank="true" errorStyle="stop" showErrorMessage="true" showInputMessage="true">
      <formula1>"Ativo,Inativo"</formula1>
    </dataValidation>
    <dataValidation type="list" sqref="AB430" allowBlank="true" errorStyle="stop" showErrorMessage="true" showInputMessage="true">
      <formula1>"Garantia do vendedor,Garantia de fábrica,Sem garantia"</formula1>
    </dataValidation>
    <dataValidation type="list" sqref="AD430" allowBlank="true" errorStyle="stop" showErrorMessage="true" showInputMessage="true">
      <formula1>"dias,meses,anos"</formula1>
    </dataValidation>
    <dataValidation type="list" sqref="J431" allowBlank="true" errorStyle="stop" showErrorMessage="true" showInputMessage="true">
      <formula1>"R$"</formula1>
    </dataValidation>
    <dataValidation type="list" sqref="U431" allowBlank="true" errorStyle="stop" showErrorMessage="true" showInputMessage="true">
      <formula1>"Novo,Usado"</formula1>
    </dataValidation>
    <dataValidation type="list" sqref="W431" allowBlank="true" errorStyle="stop" showErrorMessage="true" showInputMessage="true">
      <formula1>"Mercado Envios por conta do comprador,Mercado Envios grátis"</formula1>
    </dataValidation>
    <dataValidation type="list" sqref="X431" allowBlank="true" errorStyle="stop" showErrorMessage="true" showInputMessage="true">
      <formula1>"Aceita,Não aceito"</formula1>
    </dataValidation>
    <dataValidation type="list" sqref="Y431" allowBlank="true" errorStyle="stop" showErrorMessage="true" showInputMessage="true">
      <formula1>"Clássico,Premium"</formula1>
    </dataValidation>
    <dataValidation type="list" sqref="AA431" allowBlank="true" errorStyle="stop" showErrorMessage="true" showInputMessage="true">
      <formula1>"Ativo,Inativo"</formula1>
    </dataValidation>
    <dataValidation type="list" sqref="AB431" allowBlank="true" errorStyle="stop" showErrorMessage="true" showInputMessage="true">
      <formula1>"Garantia do vendedor,Garantia de fábrica,Sem garantia"</formula1>
    </dataValidation>
    <dataValidation type="list" sqref="AD431" allowBlank="true" errorStyle="stop" showErrorMessage="true" showInputMessage="true">
      <formula1>"dias,meses,anos"</formula1>
    </dataValidation>
    <dataValidation type="list" sqref="J432" allowBlank="true" errorStyle="stop" showErrorMessage="true" showInputMessage="true">
      <formula1>"R$"</formula1>
    </dataValidation>
    <dataValidation type="list" sqref="U432" allowBlank="true" errorStyle="stop" showErrorMessage="true" showInputMessage="true">
      <formula1>"Novo,Usado"</formula1>
    </dataValidation>
    <dataValidation type="list" sqref="W432" allowBlank="true" errorStyle="stop" showErrorMessage="true" showInputMessage="true">
      <formula1>"Mercado Envios por conta do comprador,Mercado Envios grátis"</formula1>
    </dataValidation>
    <dataValidation type="list" sqref="X432" allowBlank="true" errorStyle="stop" showErrorMessage="true" showInputMessage="true">
      <formula1>"Aceita,Não aceito"</formula1>
    </dataValidation>
    <dataValidation type="list" sqref="Y432" allowBlank="true" errorStyle="stop" showErrorMessage="true" showInputMessage="true">
      <formula1>"Clássico,Premium"</formula1>
    </dataValidation>
    <dataValidation type="list" sqref="AA432" allowBlank="true" errorStyle="stop" showErrorMessage="true" showInputMessage="true">
      <formula1>"Ativo,Inativo"</formula1>
    </dataValidation>
    <dataValidation type="list" sqref="AB432" allowBlank="true" errorStyle="stop" showErrorMessage="true" showInputMessage="true">
      <formula1>"Garantia do vendedor,Garantia de fábrica,Sem garantia"</formula1>
    </dataValidation>
    <dataValidation type="list" sqref="AD432" allowBlank="true" errorStyle="stop" showErrorMessage="true" showInputMessage="true">
      <formula1>"dias,meses,anos"</formula1>
    </dataValidation>
    <dataValidation type="list" sqref="J433" allowBlank="true" errorStyle="stop" showErrorMessage="true" showInputMessage="true">
      <formula1>"R$"</formula1>
    </dataValidation>
    <dataValidation type="list" sqref="U433" allowBlank="true" errorStyle="stop" showErrorMessage="true" showInputMessage="true">
      <formula1>"Novo,Usado"</formula1>
    </dataValidation>
    <dataValidation type="list" sqref="W433" allowBlank="true" errorStyle="stop" showErrorMessage="true" showInputMessage="true">
      <formula1>"Mercado Envios por conta do comprador,Mercado Envios grátis"</formula1>
    </dataValidation>
    <dataValidation type="list" sqref="X433" allowBlank="true" errorStyle="stop" showErrorMessage="true" showInputMessage="true">
      <formula1>"Aceita,Não aceito"</formula1>
    </dataValidation>
    <dataValidation type="list" sqref="Y433" allowBlank="true" errorStyle="stop" showErrorMessage="true" showInputMessage="true">
      <formula1>"Clássico,Premium"</formula1>
    </dataValidation>
    <dataValidation type="list" sqref="AA433" allowBlank="true" errorStyle="stop" showErrorMessage="true" showInputMessage="true">
      <formula1>"Ativo,Inativo"</formula1>
    </dataValidation>
    <dataValidation type="list" sqref="AB433" allowBlank="true" errorStyle="stop" showErrorMessage="true" showInputMessage="true">
      <formula1>"Garantia do vendedor,Garantia de fábrica,Sem garantia"</formula1>
    </dataValidation>
    <dataValidation type="list" sqref="AD433" allowBlank="true" errorStyle="stop" showErrorMessage="true" showInputMessage="true">
      <formula1>"dias,meses,anos"</formula1>
    </dataValidation>
    <dataValidation type="list" sqref="J434" allowBlank="true" errorStyle="stop" showErrorMessage="true" showInputMessage="true">
      <formula1>"R$"</formula1>
    </dataValidation>
    <dataValidation type="list" sqref="U434" allowBlank="true" errorStyle="stop" showErrorMessage="true" showInputMessage="true">
      <formula1>"Novo,Usado"</formula1>
    </dataValidation>
    <dataValidation type="list" sqref="W434" allowBlank="true" errorStyle="stop" showErrorMessage="true" showInputMessage="true">
      <formula1>"Mercado Envios por conta do comprador,Mercado Envios grátis"</formula1>
    </dataValidation>
    <dataValidation type="list" sqref="X434" allowBlank="true" errorStyle="stop" showErrorMessage="true" showInputMessage="true">
      <formula1>"Aceita,Não aceito"</formula1>
    </dataValidation>
    <dataValidation type="list" sqref="Y434" allowBlank="true" errorStyle="stop" showErrorMessage="true" showInputMessage="true">
      <formula1>"Clássico,Premium"</formula1>
    </dataValidation>
    <dataValidation type="list" sqref="AA434" allowBlank="true" errorStyle="stop" showErrorMessage="true" showInputMessage="true">
      <formula1>"Ativo,Inativo"</formula1>
    </dataValidation>
    <dataValidation type="list" sqref="AB434" allowBlank="true" errorStyle="stop" showErrorMessage="true" showInputMessage="true">
      <formula1>"Garantia do vendedor,Garantia de fábrica,Sem garantia"</formula1>
    </dataValidation>
    <dataValidation type="list" sqref="AD434" allowBlank="true" errorStyle="stop" showErrorMessage="true" showInputMessage="true">
      <formula1>"dias,meses,anos"</formula1>
    </dataValidation>
    <dataValidation type="list" sqref="J435" allowBlank="true" errorStyle="stop" showErrorMessage="true" showInputMessage="true">
      <formula1>"R$"</formula1>
    </dataValidation>
    <dataValidation type="list" sqref="U435" allowBlank="true" errorStyle="stop" showErrorMessage="true" showInputMessage="true">
      <formula1>"Novo,Usado"</formula1>
    </dataValidation>
    <dataValidation type="list" sqref="W435" allowBlank="true" errorStyle="stop" showErrorMessage="true" showInputMessage="true">
      <formula1>"Mercado Envios por conta do comprador,Mercado Envios grátis"</formula1>
    </dataValidation>
    <dataValidation type="list" sqref="X435" allowBlank="true" errorStyle="stop" showErrorMessage="true" showInputMessage="true">
      <formula1>"Aceita,Não aceito"</formula1>
    </dataValidation>
    <dataValidation type="list" sqref="Y435" allowBlank="true" errorStyle="stop" showErrorMessage="true" showInputMessage="true">
      <formula1>"Clássico,Premium"</formula1>
    </dataValidation>
    <dataValidation type="list" sqref="AA435" allowBlank="true" errorStyle="stop" showErrorMessage="true" showInputMessage="true">
      <formula1>"Ativo,Inativo"</formula1>
    </dataValidation>
    <dataValidation type="list" sqref="AB435" allowBlank="true" errorStyle="stop" showErrorMessage="true" showInputMessage="true">
      <formula1>"Garantia do vendedor,Garantia de fábrica,Sem garantia"</formula1>
    </dataValidation>
    <dataValidation type="list" sqref="AD435" allowBlank="true" errorStyle="stop" showErrorMessage="true" showInputMessage="true">
      <formula1>"dias,meses,anos"</formula1>
    </dataValidation>
    <dataValidation type="list" sqref="J436" allowBlank="true" errorStyle="stop" showErrorMessage="true" showInputMessage="true">
      <formula1>"R$"</formula1>
    </dataValidation>
    <dataValidation type="list" sqref="U436" allowBlank="true" errorStyle="stop" showErrorMessage="true" showInputMessage="true">
      <formula1>"Novo,Usado"</formula1>
    </dataValidation>
    <dataValidation type="list" sqref="W436" allowBlank="true" errorStyle="stop" showErrorMessage="true" showInputMessage="true">
      <formula1>"Mercado Envios por conta do comprador,Mercado Envios grátis"</formula1>
    </dataValidation>
    <dataValidation type="list" sqref="X436" allowBlank="true" errorStyle="stop" showErrorMessage="true" showInputMessage="true">
      <formula1>"Aceita,Não aceito"</formula1>
    </dataValidation>
    <dataValidation type="list" sqref="Y436" allowBlank="true" errorStyle="stop" showErrorMessage="true" showInputMessage="true">
      <formula1>"Clássico,Premium"</formula1>
    </dataValidation>
    <dataValidation type="list" sqref="AA436" allowBlank="true" errorStyle="stop" showErrorMessage="true" showInputMessage="true">
      <formula1>"Ativo,Inativo"</formula1>
    </dataValidation>
    <dataValidation type="list" sqref="AB436" allowBlank="true" errorStyle="stop" showErrorMessage="true" showInputMessage="true">
      <formula1>"Garantia do vendedor,Garantia de fábrica,Sem garantia"</formula1>
    </dataValidation>
    <dataValidation type="list" sqref="AD436" allowBlank="true" errorStyle="stop" showErrorMessage="true" showInputMessage="true">
      <formula1>"dias,meses,anos"</formula1>
    </dataValidation>
    <dataValidation type="list" sqref="J437" allowBlank="true" errorStyle="stop" showErrorMessage="true" showInputMessage="true">
      <formula1>"R$"</formula1>
    </dataValidation>
    <dataValidation type="list" sqref="U437" allowBlank="true" errorStyle="stop" showErrorMessage="true" showInputMessage="true">
      <formula1>"Novo,Usado"</formula1>
    </dataValidation>
    <dataValidation type="list" sqref="W437" allowBlank="true" errorStyle="stop" showErrorMessage="true" showInputMessage="true">
      <formula1>"Mercado Envios por conta do comprador,Mercado Envios grátis"</formula1>
    </dataValidation>
    <dataValidation type="list" sqref="X437" allowBlank="true" errorStyle="stop" showErrorMessage="true" showInputMessage="true">
      <formula1>"Aceita,Não aceito"</formula1>
    </dataValidation>
    <dataValidation type="list" sqref="Y437" allowBlank="true" errorStyle="stop" showErrorMessage="true" showInputMessage="true">
      <formula1>"Clássico,Premium"</formula1>
    </dataValidation>
    <dataValidation type="list" sqref="AA437" allowBlank="true" errorStyle="stop" showErrorMessage="true" showInputMessage="true">
      <formula1>"Ativo,Inativo"</formula1>
    </dataValidation>
    <dataValidation type="list" sqref="AB437" allowBlank="true" errorStyle="stop" showErrorMessage="true" showInputMessage="true">
      <formula1>"Garantia do vendedor,Garantia de fábrica,Sem garantia"</formula1>
    </dataValidation>
    <dataValidation type="list" sqref="AD437" allowBlank="true" errorStyle="stop" showErrorMessage="true" showInputMessage="true">
      <formula1>"dias,meses,anos"</formula1>
    </dataValidation>
    <dataValidation type="list" sqref="J438" allowBlank="true" errorStyle="stop" showErrorMessage="true" showInputMessage="true">
      <formula1>"R$"</formula1>
    </dataValidation>
    <dataValidation type="list" sqref="U438" allowBlank="true" errorStyle="stop" showErrorMessage="true" showInputMessage="true">
      <formula1>"Novo,Usado"</formula1>
    </dataValidation>
    <dataValidation type="list" sqref="W438" allowBlank="true" errorStyle="stop" showErrorMessage="true" showInputMessage="true">
      <formula1>"Mercado Envios por conta do comprador,Mercado Envios grátis"</formula1>
    </dataValidation>
    <dataValidation type="list" sqref="X438" allowBlank="true" errorStyle="stop" showErrorMessage="true" showInputMessage="true">
      <formula1>"Aceita,Não aceito"</formula1>
    </dataValidation>
    <dataValidation type="list" sqref="Y438" allowBlank="true" errorStyle="stop" showErrorMessage="true" showInputMessage="true">
      <formula1>"Clássico,Premium"</formula1>
    </dataValidation>
    <dataValidation type="list" sqref="AA438" allowBlank="true" errorStyle="stop" showErrorMessage="true" showInputMessage="true">
      <formula1>"Ativo,Inativo"</formula1>
    </dataValidation>
    <dataValidation type="list" sqref="AB438" allowBlank="true" errorStyle="stop" showErrorMessage="true" showInputMessage="true">
      <formula1>"Garantia do vendedor,Garantia de fábrica,Sem garantia"</formula1>
    </dataValidation>
    <dataValidation type="list" sqref="AD438" allowBlank="true" errorStyle="stop" showErrorMessage="true" showInputMessage="true">
      <formula1>"dias,meses,anos"</formula1>
    </dataValidation>
    <dataValidation type="list" sqref="J439" allowBlank="true" errorStyle="stop" showErrorMessage="true" showInputMessage="true">
      <formula1>"R$"</formula1>
    </dataValidation>
    <dataValidation type="list" sqref="U439" allowBlank="true" errorStyle="stop" showErrorMessage="true" showInputMessage="true">
      <formula1>"Novo,Usado"</formula1>
    </dataValidation>
    <dataValidation type="list" sqref="W439" allowBlank="true" errorStyle="stop" showErrorMessage="true" showInputMessage="true">
      <formula1>"Mercado Envios por conta do comprador,Mercado Envios grátis"</formula1>
    </dataValidation>
    <dataValidation type="list" sqref="X439" allowBlank="true" errorStyle="stop" showErrorMessage="true" showInputMessage="true">
      <formula1>"Aceita,Não aceito"</formula1>
    </dataValidation>
    <dataValidation type="list" sqref="Y439" allowBlank="true" errorStyle="stop" showErrorMessage="true" showInputMessage="true">
      <formula1>"Clássico,Premium"</formula1>
    </dataValidation>
    <dataValidation type="list" sqref="AA439" allowBlank="true" errorStyle="stop" showErrorMessage="true" showInputMessage="true">
      <formula1>"Ativo,Inativo"</formula1>
    </dataValidation>
    <dataValidation type="list" sqref="AB439" allowBlank="true" errorStyle="stop" showErrorMessage="true" showInputMessage="true">
      <formula1>"Garantia do vendedor,Garantia de fábrica,Sem garantia"</formula1>
    </dataValidation>
    <dataValidation type="list" sqref="AD439" allowBlank="true" errorStyle="stop" showErrorMessage="true" showInputMessage="true">
      <formula1>"dias,meses,anos"</formula1>
    </dataValidation>
    <dataValidation type="list" sqref="J440" allowBlank="true" errorStyle="stop" showErrorMessage="true" showInputMessage="true">
      <formula1>"R$"</formula1>
    </dataValidation>
    <dataValidation type="list" sqref="U440" allowBlank="true" errorStyle="stop" showErrorMessage="true" showInputMessage="true">
      <formula1>"Novo,Usado"</formula1>
    </dataValidation>
    <dataValidation type="list" sqref="W440" allowBlank="true" errorStyle="stop" showErrorMessage="true" showInputMessage="true">
      <formula1>"Mercado Envios por conta do comprador,Mercado Envios grátis"</formula1>
    </dataValidation>
    <dataValidation type="list" sqref="X440" allowBlank="true" errorStyle="stop" showErrorMessage="true" showInputMessage="true">
      <formula1>"Aceita,Não aceito"</formula1>
    </dataValidation>
    <dataValidation type="list" sqref="Y440" allowBlank="true" errorStyle="stop" showErrorMessage="true" showInputMessage="true">
      <formula1>"Clássico,Premium"</formula1>
    </dataValidation>
    <dataValidation type="list" sqref="AA440" allowBlank="true" errorStyle="stop" showErrorMessage="true" showInputMessage="true">
      <formula1>"Ativo,Inativo"</formula1>
    </dataValidation>
    <dataValidation type="list" sqref="AB440" allowBlank="true" errorStyle="stop" showErrorMessage="true" showInputMessage="true">
      <formula1>"Garantia do vendedor,Garantia de fábrica,Sem garantia"</formula1>
    </dataValidation>
    <dataValidation type="list" sqref="AD440" allowBlank="true" errorStyle="stop" showErrorMessage="true" showInputMessage="true">
      <formula1>"dias,meses,anos"</formula1>
    </dataValidation>
    <dataValidation type="list" sqref="J441" allowBlank="true" errorStyle="stop" showErrorMessage="true" showInputMessage="true">
      <formula1>"R$"</formula1>
    </dataValidation>
    <dataValidation type="list" sqref="U441" allowBlank="true" errorStyle="stop" showErrorMessage="true" showInputMessage="true">
      <formula1>"Novo,Usado"</formula1>
    </dataValidation>
    <dataValidation type="list" sqref="W441" allowBlank="true" errorStyle="stop" showErrorMessage="true" showInputMessage="true">
      <formula1>"Mercado Envios por conta do comprador,Mercado Envios grátis"</formula1>
    </dataValidation>
    <dataValidation type="list" sqref="X441" allowBlank="true" errorStyle="stop" showErrorMessage="true" showInputMessage="true">
      <formula1>"Aceita,Não aceito"</formula1>
    </dataValidation>
    <dataValidation type="list" sqref="Y441" allowBlank="true" errorStyle="stop" showErrorMessage="true" showInputMessage="true">
      <formula1>"Clássico,Premium"</formula1>
    </dataValidation>
    <dataValidation type="list" sqref="AA441" allowBlank="true" errorStyle="stop" showErrorMessage="true" showInputMessage="true">
      <formula1>"Ativo,Inativo"</formula1>
    </dataValidation>
    <dataValidation type="list" sqref="AB441" allowBlank="true" errorStyle="stop" showErrorMessage="true" showInputMessage="true">
      <formula1>"Garantia do vendedor,Garantia de fábrica,Sem garantia"</formula1>
    </dataValidation>
    <dataValidation type="list" sqref="AD441" allowBlank="true" errorStyle="stop" showErrorMessage="true" showInputMessage="true">
      <formula1>"dias,meses,anos"</formula1>
    </dataValidation>
    <dataValidation type="list" sqref="J442" allowBlank="true" errorStyle="stop" showErrorMessage="true" showInputMessage="true">
      <formula1>"R$"</formula1>
    </dataValidation>
    <dataValidation type="list" sqref="U442" allowBlank="true" errorStyle="stop" showErrorMessage="true" showInputMessage="true">
      <formula1>"Novo,Usado"</formula1>
    </dataValidation>
    <dataValidation type="list" sqref="W442" allowBlank="true" errorStyle="stop" showErrorMessage="true" showInputMessage="true">
      <formula1>"Mercado Envios por conta do comprador,Mercado Envios grátis"</formula1>
    </dataValidation>
    <dataValidation type="list" sqref="X442" allowBlank="true" errorStyle="stop" showErrorMessage="true" showInputMessage="true">
      <formula1>"Aceita,Não aceito"</formula1>
    </dataValidation>
    <dataValidation type="list" sqref="Y442" allowBlank="true" errorStyle="stop" showErrorMessage="true" showInputMessage="true">
      <formula1>"Clássico,Premium"</formula1>
    </dataValidation>
    <dataValidation type="list" sqref="AA442" allowBlank="true" errorStyle="stop" showErrorMessage="true" showInputMessage="true">
      <formula1>"Ativo,Inativo"</formula1>
    </dataValidation>
    <dataValidation type="list" sqref="AB442" allowBlank="true" errorStyle="stop" showErrorMessage="true" showInputMessage="true">
      <formula1>"Garantia do vendedor,Garantia de fábrica,Sem garantia"</formula1>
    </dataValidation>
    <dataValidation type="list" sqref="AD442" allowBlank="true" errorStyle="stop" showErrorMessage="true" showInputMessage="true">
      <formula1>"dias,meses,anos"</formula1>
    </dataValidation>
    <dataValidation type="list" sqref="J443" allowBlank="true" errorStyle="stop" showErrorMessage="true" showInputMessage="true">
      <formula1>"R$"</formula1>
    </dataValidation>
    <dataValidation type="list" sqref="U443" allowBlank="true" errorStyle="stop" showErrorMessage="true" showInputMessage="true">
      <formula1>"Novo,Usado"</formula1>
    </dataValidation>
    <dataValidation type="list" sqref="W443" allowBlank="true" errorStyle="stop" showErrorMessage="true" showInputMessage="true">
      <formula1>"Mercado Envios por conta do comprador,Mercado Envios grátis"</formula1>
    </dataValidation>
    <dataValidation type="list" sqref="X443" allowBlank="true" errorStyle="stop" showErrorMessage="true" showInputMessage="true">
      <formula1>"Aceita,Não aceito"</formula1>
    </dataValidation>
    <dataValidation type="list" sqref="Y443" allowBlank="true" errorStyle="stop" showErrorMessage="true" showInputMessage="true">
      <formula1>"Clássico,Premium"</formula1>
    </dataValidation>
    <dataValidation type="list" sqref="AA443" allowBlank="true" errorStyle="stop" showErrorMessage="true" showInputMessage="true">
      <formula1>"Ativo,Inativo"</formula1>
    </dataValidation>
    <dataValidation type="list" sqref="AB443" allowBlank="true" errorStyle="stop" showErrorMessage="true" showInputMessage="true">
      <formula1>"Garantia do vendedor,Garantia de fábrica,Sem garantia"</formula1>
    </dataValidation>
    <dataValidation type="list" sqref="AD443" allowBlank="true" errorStyle="stop" showErrorMessage="true" showInputMessage="true">
      <formula1>"dias,meses,anos"</formula1>
    </dataValidation>
    <dataValidation type="list" sqref="J444" allowBlank="true" errorStyle="stop" showErrorMessage="true" showInputMessage="true">
      <formula1>"R$"</formula1>
    </dataValidation>
    <dataValidation type="list" sqref="U444" allowBlank="true" errorStyle="stop" showErrorMessage="true" showInputMessage="true">
      <formula1>"Novo,Usado"</formula1>
    </dataValidation>
    <dataValidation type="list" sqref="W444" allowBlank="true" errorStyle="stop" showErrorMessage="true" showInputMessage="true">
      <formula1>"Mercado Envios por conta do comprador,Mercado Envios grátis"</formula1>
    </dataValidation>
    <dataValidation type="list" sqref="X444" allowBlank="true" errorStyle="stop" showErrorMessage="true" showInputMessage="true">
      <formula1>"Aceita,Não aceito"</formula1>
    </dataValidation>
    <dataValidation type="list" sqref="Y444" allowBlank="true" errorStyle="stop" showErrorMessage="true" showInputMessage="true">
      <formula1>"Clássico,Premium"</formula1>
    </dataValidation>
    <dataValidation type="list" sqref="AA444" allowBlank="true" errorStyle="stop" showErrorMessage="true" showInputMessage="true">
      <formula1>"Ativo,Inativo"</formula1>
    </dataValidation>
    <dataValidation type="list" sqref="AB444" allowBlank="true" errorStyle="stop" showErrorMessage="true" showInputMessage="true">
      <formula1>"Garantia do vendedor,Garantia de fábrica,Sem garantia"</formula1>
    </dataValidation>
    <dataValidation type="list" sqref="AD444" allowBlank="true" errorStyle="stop" showErrorMessage="true" showInputMessage="true">
      <formula1>"dias,meses,anos"</formula1>
    </dataValidation>
    <dataValidation type="list" sqref="J445" allowBlank="true" errorStyle="stop" showErrorMessage="true" showInputMessage="true">
      <formula1>"R$"</formula1>
    </dataValidation>
    <dataValidation type="list" sqref="U445" allowBlank="true" errorStyle="stop" showErrorMessage="true" showInputMessage="true">
      <formula1>"Novo,Usado"</formula1>
    </dataValidation>
    <dataValidation type="list" sqref="W445" allowBlank="true" errorStyle="stop" showErrorMessage="true" showInputMessage="true">
      <formula1>"Mercado Envios por conta do comprador,Mercado Envios grátis"</formula1>
    </dataValidation>
    <dataValidation type="list" sqref="X445" allowBlank="true" errorStyle="stop" showErrorMessage="true" showInputMessage="true">
      <formula1>"Aceita,Não aceito"</formula1>
    </dataValidation>
    <dataValidation type="list" sqref="Y445" allowBlank="true" errorStyle="stop" showErrorMessage="true" showInputMessage="true">
      <formula1>"Clássico,Premium"</formula1>
    </dataValidation>
    <dataValidation type="list" sqref="AA445" allowBlank="true" errorStyle="stop" showErrorMessage="true" showInputMessage="true">
      <formula1>"Ativo,Inativo"</formula1>
    </dataValidation>
    <dataValidation type="list" sqref="AB445" allowBlank="true" errorStyle="stop" showErrorMessage="true" showInputMessage="true">
      <formula1>"Garantia do vendedor,Garantia de fábrica,Sem garantia"</formula1>
    </dataValidation>
    <dataValidation type="list" sqref="AD445" allowBlank="true" errorStyle="stop" showErrorMessage="true" showInputMessage="true">
      <formula1>"dias,meses,anos"</formula1>
    </dataValidation>
    <dataValidation type="list" sqref="J446" allowBlank="true" errorStyle="stop" showErrorMessage="true" showInputMessage="true">
      <formula1>"R$"</formula1>
    </dataValidation>
    <dataValidation type="list" sqref="U446" allowBlank="true" errorStyle="stop" showErrorMessage="true" showInputMessage="true">
      <formula1>"Novo,Usado"</formula1>
    </dataValidation>
    <dataValidation type="list" sqref="W446" allowBlank="true" errorStyle="stop" showErrorMessage="true" showInputMessage="true">
      <formula1>"Mercado Envios por conta do comprador,Mercado Envios grátis"</formula1>
    </dataValidation>
    <dataValidation type="list" sqref="X446" allowBlank="true" errorStyle="stop" showErrorMessage="true" showInputMessage="true">
      <formula1>"Aceita,Não aceito"</formula1>
    </dataValidation>
    <dataValidation type="list" sqref="Y446" allowBlank="true" errorStyle="stop" showErrorMessage="true" showInputMessage="true">
      <formula1>"Clássico,Premium"</formula1>
    </dataValidation>
    <dataValidation type="list" sqref="AA446" allowBlank="true" errorStyle="stop" showErrorMessage="true" showInputMessage="true">
      <formula1>"Ativo,Inativo"</formula1>
    </dataValidation>
    <dataValidation type="list" sqref="AB446" allowBlank="true" errorStyle="stop" showErrorMessage="true" showInputMessage="true">
      <formula1>"Garantia do vendedor,Garantia de fábrica,Sem garantia"</formula1>
    </dataValidation>
    <dataValidation type="list" sqref="AD446" allowBlank="true" errorStyle="stop" showErrorMessage="true" showInputMessage="true">
      <formula1>"dias,meses,anos"</formula1>
    </dataValidation>
    <dataValidation type="list" sqref="J447" allowBlank="true" errorStyle="stop" showErrorMessage="true" showInputMessage="true">
      <formula1>"R$"</formula1>
    </dataValidation>
    <dataValidation type="list" sqref="U447" allowBlank="true" errorStyle="stop" showErrorMessage="true" showInputMessage="true">
      <formula1>"Novo,Usado,Recondicionado"</formula1>
    </dataValidation>
    <dataValidation type="list" sqref="W447" allowBlank="true" errorStyle="stop" showErrorMessage="true" showInputMessage="true">
      <formula1>"Envios por minha conta a cargo do comprador,Frete grátis por conta própria,Não faço envios"</formula1>
    </dataValidation>
    <dataValidation type="list" sqref="X447" allowBlank="true" errorStyle="stop" showErrorMessage="true" showInputMessage="true">
      <formula1>"Aceita,Não aceito"</formula1>
    </dataValidation>
    <dataValidation type="list" sqref="Y447" allowBlank="true" errorStyle="stop" showErrorMessage="true" showInputMessage="true">
      <formula1>"Clássico,Premium"</formula1>
    </dataValidation>
    <dataValidation type="list" sqref="AA447" allowBlank="true" errorStyle="stop" showErrorMessage="true" showInputMessage="true">
      <formula1>"Ativo,Inativo"</formula1>
    </dataValidation>
    <dataValidation type="list" sqref="AB447" allowBlank="true" errorStyle="stop" showErrorMessage="true" showInputMessage="true">
      <formula1>"Garantia do vendedor,Garantia de fábrica,Sem garantia"</formula1>
    </dataValidation>
    <dataValidation type="list" sqref="AD447" allowBlank="true" errorStyle="stop" showErrorMessage="true" showInputMessage="true">
      <formula1>"dias,meses,anos"</formula1>
    </dataValidation>
    <dataValidation type="list" sqref="J448" allowBlank="true" errorStyle="stop" showErrorMessage="true" showInputMessage="true">
      <formula1>"R$"</formula1>
    </dataValidation>
    <dataValidation type="list" sqref="U448" allowBlank="true" errorStyle="stop" showErrorMessage="true" showInputMessage="true">
      <formula1>"Novo,Usado,Recondicionado"</formula1>
    </dataValidation>
    <dataValidation type="list" sqref="W448" allowBlank="true" errorStyle="stop" showErrorMessage="true" showInputMessage="true">
      <formula1>"Envios por minha conta a cargo do comprador,Frete grátis por conta própria,Não faço envios"</formula1>
    </dataValidation>
    <dataValidation type="list" sqref="X448" allowBlank="true" errorStyle="stop" showErrorMessage="true" showInputMessage="true">
      <formula1>"Aceita,Não aceito"</formula1>
    </dataValidation>
    <dataValidation type="list" sqref="Y448" allowBlank="true" errorStyle="stop" showErrorMessage="true" showInputMessage="true">
      <formula1>"Clássico,Premium"</formula1>
    </dataValidation>
    <dataValidation type="list" sqref="AA448" allowBlank="true" errorStyle="stop" showErrorMessage="true" showInputMessage="true">
      <formula1>"Ativo,Inativo"</formula1>
    </dataValidation>
    <dataValidation type="list" sqref="AB448" allowBlank="true" errorStyle="stop" showErrorMessage="true" showInputMessage="true">
      <formula1>"Garantia do vendedor,Garantia de fábrica,Sem garantia"</formula1>
    </dataValidation>
    <dataValidation type="list" sqref="AD448" allowBlank="true" errorStyle="stop" showErrorMessage="true" showInputMessage="true">
      <formula1>"dias,meses,anos"</formula1>
    </dataValidation>
    <dataValidation type="list" sqref="J449" allowBlank="true" errorStyle="stop" showErrorMessage="true" showInputMessage="true">
      <formula1>"R$"</formula1>
    </dataValidation>
    <dataValidation type="list" sqref="U449" allowBlank="true" errorStyle="stop" showErrorMessage="true" showInputMessage="true">
      <formula1>"Novo,Usado,Recondicionado"</formula1>
    </dataValidation>
    <dataValidation type="list" sqref="W449" allowBlank="true" errorStyle="stop" showErrorMessage="true" showInputMessage="true">
      <formula1>"Envios por minha conta a cargo do comprador,Frete grátis por conta própria,Não faço envios"</formula1>
    </dataValidation>
    <dataValidation type="list" sqref="X449" allowBlank="true" errorStyle="stop" showErrorMessage="true" showInputMessage="true">
      <formula1>"Aceita,Não aceito"</formula1>
    </dataValidation>
    <dataValidation type="list" sqref="Y449" allowBlank="true" errorStyle="stop" showErrorMessage="true" showInputMessage="true">
      <formula1>"Clássico,Premium"</formula1>
    </dataValidation>
    <dataValidation type="list" sqref="AA449" allowBlank="true" errorStyle="stop" showErrorMessage="true" showInputMessage="true">
      <formula1>"Ativo,Inativo"</formula1>
    </dataValidation>
    <dataValidation type="list" sqref="AB449" allowBlank="true" errorStyle="stop" showErrorMessage="true" showInputMessage="true">
      <formula1>"Garantia do vendedor,Garantia de fábrica,Sem garantia"</formula1>
    </dataValidation>
    <dataValidation type="list" sqref="AD449" allowBlank="true" errorStyle="stop" showErrorMessage="true" showInputMessage="true">
      <formula1>"dias,meses,anos"</formula1>
    </dataValidation>
    <dataValidation type="list" sqref="J450" allowBlank="true" errorStyle="stop" showErrorMessage="true" showInputMessage="true">
      <formula1>"R$"</formula1>
    </dataValidation>
    <dataValidation type="list" sqref="U450" allowBlank="true" errorStyle="stop" showErrorMessage="true" showInputMessage="true">
      <formula1>"Novo,Usado,Recondicionado"</formula1>
    </dataValidation>
    <dataValidation type="list" sqref="W450" allowBlank="true" errorStyle="stop" showErrorMessage="true" showInputMessage="true">
      <formula1>"Envios por minha conta a cargo do comprador,Frete grátis por conta própria,Não faço envios"</formula1>
    </dataValidation>
    <dataValidation type="list" sqref="X450" allowBlank="true" errorStyle="stop" showErrorMessage="true" showInputMessage="true">
      <formula1>"Aceita,Não aceito"</formula1>
    </dataValidation>
    <dataValidation type="list" sqref="Y450" allowBlank="true" errorStyle="stop" showErrorMessage="true" showInputMessage="true">
      <formula1>"Clássico,Premium"</formula1>
    </dataValidation>
    <dataValidation type="list" sqref="AA450" allowBlank="true" errorStyle="stop" showErrorMessage="true" showInputMessage="true">
      <formula1>"Ativo,Inativo"</formula1>
    </dataValidation>
    <dataValidation type="list" sqref="AB450" allowBlank="true" errorStyle="stop" showErrorMessage="true" showInputMessage="true">
      <formula1>"Garantia do vendedor,Garantia de fábrica,Sem garantia"</formula1>
    </dataValidation>
    <dataValidation type="list" sqref="AD450" allowBlank="true" errorStyle="stop" showErrorMessage="true" showInputMessage="true">
      <formula1>"dias,meses,anos"</formula1>
    </dataValidation>
    <dataValidation type="list" sqref="J451" allowBlank="true" errorStyle="stop" showErrorMessage="true" showInputMessage="true">
      <formula1>"R$"</formula1>
    </dataValidation>
    <dataValidation type="list" sqref="U451" allowBlank="true" errorStyle="stop" showErrorMessage="true" showInputMessage="true">
      <formula1>"Novo,Usado,Recondicionado"</formula1>
    </dataValidation>
    <dataValidation type="list" sqref="W451" allowBlank="true" errorStyle="stop" showErrorMessage="true" showInputMessage="true">
      <formula1>"Envios por minha conta a cargo do comprador,Frete grátis por conta própria,Não faço envios"</formula1>
    </dataValidation>
    <dataValidation type="list" sqref="X451" allowBlank="true" errorStyle="stop" showErrorMessage="true" showInputMessage="true">
      <formula1>"Aceita,Não aceito"</formula1>
    </dataValidation>
    <dataValidation type="list" sqref="Y451" allowBlank="true" errorStyle="stop" showErrorMessage="true" showInputMessage="true">
      <formula1>"Clássico,Premium"</formula1>
    </dataValidation>
    <dataValidation type="list" sqref="AA451" allowBlank="true" errorStyle="stop" showErrorMessage="true" showInputMessage="true">
      <formula1>"Ativo,Inativo"</formula1>
    </dataValidation>
    <dataValidation type="list" sqref="AB451" allowBlank="true" errorStyle="stop" showErrorMessage="true" showInputMessage="true">
      <formula1>"Garantia do vendedor,Garantia de fábrica,Sem garantia"</formula1>
    </dataValidation>
    <dataValidation type="list" sqref="AD451" allowBlank="true" errorStyle="stop" showErrorMessage="true" showInputMessage="true">
      <formula1>"dias,meses,anos"</formula1>
    </dataValidation>
    <dataValidation type="list" sqref="J452" allowBlank="true" errorStyle="stop" showErrorMessage="true" showInputMessage="true">
      <formula1>"R$"</formula1>
    </dataValidation>
    <dataValidation type="list" sqref="U452" allowBlank="true" errorStyle="stop" showErrorMessage="true" showInputMessage="true">
      <formula1>"Novo,Usado,Recondicionado"</formula1>
    </dataValidation>
    <dataValidation type="list" sqref="W452" allowBlank="true" errorStyle="stop" showErrorMessage="true" showInputMessage="true">
      <formula1>"Envios por minha conta a cargo do comprador,Frete grátis por conta própria,Não faço envios"</formula1>
    </dataValidation>
    <dataValidation type="list" sqref="X452" allowBlank="true" errorStyle="stop" showErrorMessage="true" showInputMessage="true">
      <formula1>"Aceita,Não aceito"</formula1>
    </dataValidation>
    <dataValidation type="list" sqref="Y452" allowBlank="true" errorStyle="stop" showErrorMessage="true" showInputMessage="true">
      <formula1>"Clássico,Premium"</formula1>
    </dataValidation>
    <dataValidation type="list" sqref="AA452" allowBlank="true" errorStyle="stop" showErrorMessage="true" showInputMessage="true">
      <formula1>"Ativo,Inativo"</formula1>
    </dataValidation>
    <dataValidation type="list" sqref="AB452" allowBlank="true" errorStyle="stop" showErrorMessage="true" showInputMessage="true">
      <formula1>"Garantia do vendedor,Garantia de fábrica,Sem garantia"</formula1>
    </dataValidation>
    <dataValidation type="list" sqref="AD452" allowBlank="true" errorStyle="stop" showErrorMessage="true" showInputMessage="true">
      <formula1>"dias,meses,anos"</formula1>
    </dataValidation>
    <dataValidation type="list" sqref="J453" allowBlank="true" errorStyle="stop" showErrorMessage="true" showInputMessage="true">
      <formula1>"R$"</formula1>
    </dataValidation>
    <dataValidation type="list" sqref="U453" allowBlank="true" errorStyle="stop" showErrorMessage="true" showInputMessage="true">
      <formula1>"Novo,Usado,Recondicionado"</formula1>
    </dataValidation>
    <dataValidation type="list" sqref="W453" allowBlank="true" errorStyle="stop" showErrorMessage="true" showInputMessage="true">
      <formula1>"Envios por minha conta a cargo do comprador,Frete grátis por conta própria,Não faço envios"</formula1>
    </dataValidation>
    <dataValidation type="list" sqref="X453" allowBlank="true" errorStyle="stop" showErrorMessage="true" showInputMessage="true">
      <formula1>"Aceita,Não aceito"</formula1>
    </dataValidation>
    <dataValidation type="list" sqref="Y453" allowBlank="true" errorStyle="stop" showErrorMessage="true" showInputMessage="true">
      <formula1>"Clássico,Premium"</formula1>
    </dataValidation>
    <dataValidation type="list" sqref="AA453" allowBlank="true" errorStyle="stop" showErrorMessage="true" showInputMessage="true">
      <formula1>"Ativo,Inativo"</formula1>
    </dataValidation>
    <dataValidation type="list" sqref="AB453" allowBlank="true" errorStyle="stop" showErrorMessage="true" showInputMessage="true">
      <formula1>"Garantia do vendedor,Garantia de fábrica,Sem garantia"</formula1>
    </dataValidation>
    <dataValidation type="list" sqref="AD453" allowBlank="true" errorStyle="stop" showErrorMessage="true" showInputMessage="true">
      <formula1>"dias,meses,anos"</formula1>
    </dataValidation>
    <dataValidation type="list" sqref="J454" allowBlank="true" errorStyle="stop" showErrorMessage="true" showInputMessage="true">
      <formula1>"R$"</formula1>
    </dataValidation>
    <dataValidation type="list" sqref="U454" allowBlank="true" errorStyle="stop" showErrorMessage="true" showInputMessage="true">
      <formula1>"Novo,Usado,Recondicionado"</formula1>
    </dataValidation>
    <dataValidation type="list" sqref="W454" allowBlank="true" errorStyle="stop" showErrorMessage="true" showInputMessage="true">
      <formula1>"Envios por minha conta a cargo do comprador,Frete grátis por conta própria,Não faço envios"</formula1>
    </dataValidation>
    <dataValidation type="list" sqref="X454" allowBlank="true" errorStyle="stop" showErrorMessage="true" showInputMessage="true">
      <formula1>"Aceita,Não aceito"</formula1>
    </dataValidation>
    <dataValidation type="list" sqref="Y454" allowBlank="true" errorStyle="stop" showErrorMessage="true" showInputMessage="true">
      <formula1>"Clássico,Premium"</formula1>
    </dataValidation>
    <dataValidation type="list" sqref="AA454" allowBlank="true" errorStyle="stop" showErrorMessage="true" showInputMessage="true">
      <formula1>"Ativo,Inativo"</formula1>
    </dataValidation>
    <dataValidation type="list" sqref="AB454" allowBlank="true" errorStyle="stop" showErrorMessage="true" showInputMessage="true">
      <formula1>"Garantia do vendedor,Garantia de fábrica,Sem garantia"</formula1>
    </dataValidation>
    <dataValidation type="list" sqref="AD454" allowBlank="true" errorStyle="stop" showErrorMessage="true" showInputMessage="true">
      <formula1>"dias,meses,anos"</formula1>
    </dataValidation>
    <dataValidation type="list" sqref="J455" allowBlank="true" errorStyle="stop" showErrorMessage="true" showInputMessage="true">
      <formula1>"R$"</formula1>
    </dataValidation>
    <dataValidation type="list" sqref="U455" allowBlank="true" errorStyle="stop" showErrorMessage="true" showInputMessage="true">
      <formula1>"Novo,Usado,Recondicionado"</formula1>
    </dataValidation>
    <dataValidation type="list" sqref="W455" allowBlank="true" errorStyle="stop" showErrorMessage="true" showInputMessage="true">
      <formula1>"Envios por minha conta a cargo do comprador,Frete grátis por conta própria,Não faço envios"</formula1>
    </dataValidation>
    <dataValidation type="list" sqref="X455" allowBlank="true" errorStyle="stop" showErrorMessage="true" showInputMessage="true">
      <formula1>"Aceita,Não aceito"</formula1>
    </dataValidation>
    <dataValidation type="list" sqref="Y455" allowBlank="true" errorStyle="stop" showErrorMessage="true" showInputMessage="true">
      <formula1>"Clássico,Premium"</formula1>
    </dataValidation>
    <dataValidation type="list" sqref="AA455" allowBlank="true" errorStyle="stop" showErrorMessage="true" showInputMessage="true">
      <formula1>"Ativo,Inativo"</formula1>
    </dataValidation>
    <dataValidation type="list" sqref="AB455" allowBlank="true" errorStyle="stop" showErrorMessage="true" showInputMessage="true">
      <formula1>"Garantia do vendedor,Garantia de fábrica,Sem garantia"</formula1>
    </dataValidation>
    <dataValidation type="list" sqref="AD455" allowBlank="true" errorStyle="stop" showErrorMessage="true" showInputMessage="true">
      <formula1>"dias,meses,anos"</formula1>
    </dataValidation>
    <dataValidation type="list" sqref="J456" allowBlank="true" errorStyle="stop" showErrorMessage="true" showInputMessage="true">
      <formula1>"R$"</formula1>
    </dataValidation>
    <dataValidation type="list" sqref="U456" allowBlank="true" errorStyle="stop" showErrorMessage="true" showInputMessage="true">
      <formula1>"Novo,Usado,Recondicionado"</formula1>
    </dataValidation>
    <dataValidation type="list" sqref="W456" allowBlank="true" errorStyle="stop" showErrorMessage="true" showInputMessage="true">
      <formula1>"Envios por minha conta a cargo do comprador,Frete grátis por conta própria,Não faço envios"</formula1>
    </dataValidation>
    <dataValidation type="list" sqref="X456" allowBlank="true" errorStyle="stop" showErrorMessage="true" showInputMessage="true">
      <formula1>"Aceita,Não aceito"</formula1>
    </dataValidation>
    <dataValidation type="list" sqref="Y456" allowBlank="true" errorStyle="stop" showErrorMessage="true" showInputMessage="true">
      <formula1>"Clássico,Premium"</formula1>
    </dataValidation>
    <dataValidation type="list" sqref="AA456" allowBlank="true" errorStyle="stop" showErrorMessage="true" showInputMessage="true">
      <formula1>"Ativo,Inativo"</formula1>
    </dataValidation>
    <dataValidation type="list" sqref="AB456" allowBlank="true" errorStyle="stop" showErrorMessage="true" showInputMessage="true">
      <formula1>"Garantia do vendedor,Garantia de fábrica,Sem garantia"</formula1>
    </dataValidation>
    <dataValidation type="list" sqref="AD456" allowBlank="true" errorStyle="stop" showErrorMessage="true" showInputMessage="true">
      <formula1>"dias,meses,anos"</formula1>
    </dataValidation>
    <dataValidation type="list" sqref="J457" allowBlank="true" errorStyle="stop" showErrorMessage="true" showInputMessage="true">
      <formula1>"R$"</formula1>
    </dataValidation>
    <dataValidation type="list" sqref="U457" allowBlank="true" errorStyle="stop" showErrorMessage="true" showInputMessage="true">
      <formula1>"Novo,Usado,Recondicionado"</formula1>
    </dataValidation>
    <dataValidation type="list" sqref="W457" allowBlank="true" errorStyle="stop" showErrorMessage="true" showInputMessage="true">
      <formula1>"Envios por minha conta a cargo do comprador,Frete grátis por conta própria,Não faço envios"</formula1>
    </dataValidation>
    <dataValidation type="list" sqref="X457" allowBlank="true" errorStyle="stop" showErrorMessage="true" showInputMessage="true">
      <formula1>"Aceita,Não aceito"</formula1>
    </dataValidation>
    <dataValidation type="list" sqref="Y457" allowBlank="true" errorStyle="stop" showErrorMessage="true" showInputMessage="true">
      <formula1>"Clássico,Premium"</formula1>
    </dataValidation>
    <dataValidation type="list" sqref="AA457" allowBlank="true" errorStyle="stop" showErrorMessage="true" showInputMessage="true">
      <formula1>"Ativo,Inativo"</formula1>
    </dataValidation>
    <dataValidation type="list" sqref="AB457" allowBlank="true" errorStyle="stop" showErrorMessage="true" showInputMessage="true">
      <formula1>"Garantia do vendedor,Garantia de fábrica,Sem garantia"</formula1>
    </dataValidation>
    <dataValidation type="list" sqref="AD457" allowBlank="true" errorStyle="stop" showErrorMessage="true" showInputMessage="true">
      <formula1>"dias,meses,anos"</formula1>
    </dataValidation>
    <dataValidation type="list" sqref="J458" allowBlank="true" errorStyle="stop" showErrorMessage="true" showInputMessage="true">
      <formula1>"R$"</formula1>
    </dataValidation>
    <dataValidation type="list" sqref="U458" allowBlank="true" errorStyle="stop" showErrorMessage="true" showInputMessage="true">
      <formula1>"Novo,Usado,Recondicionado"</formula1>
    </dataValidation>
    <dataValidation type="list" sqref="W458" allowBlank="true" errorStyle="stop" showErrorMessage="true" showInputMessage="true">
      <formula1>"Envios por minha conta a cargo do comprador,Frete grátis por conta própria,Não faço envios"</formula1>
    </dataValidation>
    <dataValidation type="list" sqref="X458" allowBlank="true" errorStyle="stop" showErrorMessage="true" showInputMessage="true">
      <formula1>"Aceita,Não aceito"</formula1>
    </dataValidation>
    <dataValidation type="list" sqref="Y458" allowBlank="true" errorStyle="stop" showErrorMessage="true" showInputMessage="true">
      <formula1>"Clássico,Premium"</formula1>
    </dataValidation>
    <dataValidation type="list" sqref="AA458" allowBlank="true" errorStyle="stop" showErrorMessage="true" showInputMessage="true">
      <formula1>"Ativo,Inativo"</formula1>
    </dataValidation>
    <dataValidation type="list" sqref="AB458" allowBlank="true" errorStyle="stop" showErrorMessage="true" showInputMessage="true">
      <formula1>"Garantia do vendedor,Garantia de fábrica,Sem garantia"</formula1>
    </dataValidation>
    <dataValidation type="list" sqref="AD458" allowBlank="true" errorStyle="stop" showErrorMessage="true" showInputMessage="true">
      <formula1>"dias,meses,anos"</formula1>
    </dataValidation>
    <dataValidation type="list" sqref="J459" allowBlank="true" errorStyle="stop" showErrorMessage="true" showInputMessage="true">
      <formula1>"R$"</formula1>
    </dataValidation>
    <dataValidation type="list" sqref="U459" allowBlank="true" errorStyle="stop" showErrorMessage="true" showInputMessage="true">
      <formula1>"Novo,Usado,Recondicionado"</formula1>
    </dataValidation>
    <dataValidation type="list" sqref="W459" allowBlank="true" errorStyle="stop" showErrorMessage="true" showInputMessage="true">
      <formula1>"Envios por minha conta a cargo do comprador,Frete grátis por conta própria,Não faço envios"</formula1>
    </dataValidation>
    <dataValidation type="list" sqref="X459" allowBlank="true" errorStyle="stop" showErrorMessage="true" showInputMessage="true">
      <formula1>"Aceita,Não aceito"</formula1>
    </dataValidation>
    <dataValidation type="list" sqref="Y459" allowBlank="true" errorStyle="stop" showErrorMessage="true" showInputMessage="true">
      <formula1>"Clássico,Premium"</formula1>
    </dataValidation>
    <dataValidation type="list" sqref="AA459" allowBlank="true" errorStyle="stop" showErrorMessage="true" showInputMessage="true">
      <formula1>"Ativo,Inativo"</formula1>
    </dataValidation>
    <dataValidation type="list" sqref="AB459" allowBlank="true" errorStyle="stop" showErrorMessage="true" showInputMessage="true">
      <formula1>"Garantia do vendedor,Garantia de fábrica,Sem garantia"</formula1>
    </dataValidation>
    <dataValidation type="list" sqref="AD459" allowBlank="true" errorStyle="stop" showErrorMessage="true" showInputMessage="true">
      <formula1>"dias,meses,anos"</formula1>
    </dataValidation>
    <dataValidation type="list" sqref="J460" allowBlank="true" errorStyle="stop" showErrorMessage="true" showInputMessage="true">
      <formula1>"R$"</formula1>
    </dataValidation>
    <dataValidation type="list" sqref="U460" allowBlank="true" errorStyle="stop" showErrorMessage="true" showInputMessage="true">
      <formula1>"Novo,Usado,Recondicionado"</formula1>
    </dataValidation>
    <dataValidation type="list" sqref="W460" allowBlank="true" errorStyle="stop" showErrorMessage="true" showInputMessage="true">
      <formula1>"Envios por minha conta a cargo do comprador,Frete grátis por conta própria,Não faço envios"</formula1>
    </dataValidation>
    <dataValidation type="list" sqref="X460" allowBlank="true" errorStyle="stop" showErrorMessage="true" showInputMessage="true">
      <formula1>"Aceita,Não aceito"</formula1>
    </dataValidation>
    <dataValidation type="list" sqref="Y460" allowBlank="true" errorStyle="stop" showErrorMessage="true" showInputMessage="true">
      <formula1>"Clássico,Premium"</formula1>
    </dataValidation>
    <dataValidation type="list" sqref="AA460" allowBlank="true" errorStyle="stop" showErrorMessage="true" showInputMessage="true">
      <formula1>"Ativo,Inativo"</formula1>
    </dataValidation>
    <dataValidation type="list" sqref="AB460" allowBlank="true" errorStyle="stop" showErrorMessage="true" showInputMessage="true">
      <formula1>"Garantia do vendedor,Garantia de fábrica,Sem garantia"</formula1>
    </dataValidation>
    <dataValidation type="list" sqref="AD460" allowBlank="true" errorStyle="stop" showErrorMessage="true" showInputMessage="true">
      <formula1>"dias,meses,anos"</formula1>
    </dataValidation>
    <dataValidation type="list" sqref="J461" allowBlank="true" errorStyle="stop" showErrorMessage="true" showInputMessage="true">
      <formula1>"R$"</formula1>
    </dataValidation>
    <dataValidation type="list" sqref="U461" allowBlank="true" errorStyle="stop" showErrorMessage="true" showInputMessage="true">
      <formula1>"Novo,Usado,Recondicionado"</formula1>
    </dataValidation>
    <dataValidation type="list" sqref="W461" allowBlank="true" errorStyle="stop" showErrorMessage="true" showInputMessage="true">
      <formula1>"Envios por minha conta a cargo do comprador,Frete grátis por conta própria,Não faço envios"</formula1>
    </dataValidation>
    <dataValidation type="list" sqref="X461" allowBlank="true" errorStyle="stop" showErrorMessage="true" showInputMessage="true">
      <formula1>"Aceita,Não aceito"</formula1>
    </dataValidation>
    <dataValidation type="list" sqref="Y461" allowBlank="true" errorStyle="stop" showErrorMessage="true" showInputMessage="true">
      <formula1>"Clássico,Premium"</formula1>
    </dataValidation>
    <dataValidation type="list" sqref="AA461" allowBlank="true" errorStyle="stop" showErrorMessage="true" showInputMessage="true">
      <formula1>"Ativo,Inativo"</formula1>
    </dataValidation>
    <dataValidation type="list" sqref="AB461" allowBlank="true" errorStyle="stop" showErrorMessage="true" showInputMessage="true">
      <formula1>"Garantia do vendedor,Garantia de fábrica,Sem garantia"</formula1>
    </dataValidation>
    <dataValidation type="list" sqref="AD461" allowBlank="true" errorStyle="stop" showErrorMessage="true" showInputMessage="true">
      <formula1>"dias,meses,anos"</formula1>
    </dataValidation>
    <dataValidation type="list" sqref="J462" allowBlank="true" errorStyle="stop" showErrorMessage="true" showInputMessage="true">
      <formula1>"R$"</formula1>
    </dataValidation>
    <dataValidation type="list" sqref="U462" allowBlank="true" errorStyle="stop" showErrorMessage="true" showInputMessage="true">
      <formula1>"Novo,Usado,Recondicionado"</formula1>
    </dataValidation>
    <dataValidation type="list" sqref="W462" allowBlank="true" errorStyle="stop" showErrorMessage="true" showInputMessage="true">
      <formula1>"Envios por minha conta a cargo do comprador,Frete grátis por conta própria,Não faço envios"</formula1>
    </dataValidation>
    <dataValidation type="list" sqref="X462" allowBlank="true" errorStyle="stop" showErrorMessage="true" showInputMessage="true">
      <formula1>"Aceita,Não aceito"</formula1>
    </dataValidation>
    <dataValidation type="list" sqref="Y462" allowBlank="true" errorStyle="stop" showErrorMessage="true" showInputMessage="true">
      <formula1>"Clássico,Premium"</formula1>
    </dataValidation>
    <dataValidation type="list" sqref="AA462" allowBlank="true" errorStyle="stop" showErrorMessage="true" showInputMessage="true">
      <formula1>"Ativo,Inativo"</formula1>
    </dataValidation>
    <dataValidation type="list" sqref="AB462" allowBlank="true" errorStyle="stop" showErrorMessage="true" showInputMessage="true">
      <formula1>"Garantia do vendedor,Garantia de fábrica,Sem garantia"</formula1>
    </dataValidation>
    <dataValidation type="list" sqref="AD462" allowBlank="true" errorStyle="stop" showErrorMessage="true" showInputMessage="true">
      <formula1>"dias,meses,anos"</formula1>
    </dataValidation>
    <dataValidation type="list" sqref="J463" allowBlank="true" errorStyle="stop" showErrorMessage="true" showInputMessage="true">
      <formula1>"R$"</formula1>
    </dataValidation>
    <dataValidation type="list" sqref="U463" allowBlank="true" errorStyle="stop" showErrorMessage="true" showInputMessage="true">
      <formula1>"Novo,Usado,Recondicionado"</formula1>
    </dataValidation>
    <dataValidation type="list" sqref="W463" allowBlank="true" errorStyle="stop" showErrorMessage="true" showInputMessage="true">
      <formula1>"Envios por minha conta a cargo do comprador,Frete grátis por conta própria,Não faço envios"</formula1>
    </dataValidation>
    <dataValidation type="list" sqref="X463" allowBlank="true" errorStyle="stop" showErrorMessage="true" showInputMessage="true">
      <formula1>"Aceita,Não aceito"</formula1>
    </dataValidation>
    <dataValidation type="list" sqref="Y463" allowBlank="true" errorStyle="stop" showErrorMessage="true" showInputMessage="true">
      <formula1>"Clássico,Premium"</formula1>
    </dataValidation>
    <dataValidation type="list" sqref="AA463" allowBlank="true" errorStyle="stop" showErrorMessage="true" showInputMessage="true">
      <formula1>"Ativo,Inativo"</formula1>
    </dataValidation>
    <dataValidation type="list" sqref="AB463" allowBlank="true" errorStyle="stop" showErrorMessage="true" showInputMessage="true">
      <formula1>"Garantia do vendedor,Garantia de fábrica,Sem garantia"</formula1>
    </dataValidation>
    <dataValidation type="list" sqref="AD463" allowBlank="true" errorStyle="stop" showErrorMessage="true" showInputMessage="true">
      <formula1>"dias,meses,anos"</formula1>
    </dataValidation>
    <dataValidation type="list" sqref="J464" allowBlank="true" errorStyle="stop" showErrorMessage="true" showInputMessage="true">
      <formula1>"R$"</formula1>
    </dataValidation>
    <dataValidation type="list" sqref="U464" allowBlank="true" errorStyle="stop" showErrorMessage="true" showInputMessage="true">
      <formula1>"Novo,Usado,Recondicionado"</formula1>
    </dataValidation>
    <dataValidation type="list" sqref="W464" allowBlank="true" errorStyle="stop" showErrorMessage="true" showInputMessage="true">
      <formula1>"Envios por minha conta a cargo do comprador,Frete grátis por conta própria,Não faço envios"</formula1>
    </dataValidation>
    <dataValidation type="list" sqref="X464" allowBlank="true" errorStyle="stop" showErrorMessage="true" showInputMessage="true">
      <formula1>"Aceita,Não aceito"</formula1>
    </dataValidation>
    <dataValidation type="list" sqref="Y464" allowBlank="true" errorStyle="stop" showErrorMessage="true" showInputMessage="true">
      <formula1>"Clássico,Premium"</formula1>
    </dataValidation>
    <dataValidation type="list" sqref="AA464" allowBlank="true" errorStyle="stop" showErrorMessage="true" showInputMessage="true">
      <formula1>"Ativo,Inativo"</formula1>
    </dataValidation>
    <dataValidation type="list" sqref="AB464" allowBlank="true" errorStyle="stop" showErrorMessage="true" showInputMessage="true">
      <formula1>"Garantia do vendedor,Garantia de fábrica,Sem garantia"</formula1>
    </dataValidation>
    <dataValidation type="list" sqref="AD464" allowBlank="true" errorStyle="stop" showErrorMessage="true" showInputMessage="true">
      <formula1>"dias,meses,anos"</formula1>
    </dataValidation>
    <dataValidation type="list" sqref="J465" allowBlank="true" errorStyle="stop" showErrorMessage="true" showInputMessage="true">
      <formula1>"R$"</formula1>
    </dataValidation>
    <dataValidation type="list" sqref="U465" allowBlank="true" errorStyle="stop" showErrorMessage="true" showInputMessage="true">
      <formula1>"Novo,Usado,Recondicionado"</formula1>
    </dataValidation>
    <dataValidation type="list" sqref="W465" allowBlank="true" errorStyle="stop" showErrorMessage="true" showInputMessage="true">
      <formula1>"Envios por minha conta a cargo do comprador,Frete grátis por conta própria,Não faço envios"</formula1>
    </dataValidation>
    <dataValidation type="list" sqref="X465" allowBlank="true" errorStyle="stop" showErrorMessage="true" showInputMessage="true">
      <formula1>"Aceita,Não aceito"</formula1>
    </dataValidation>
    <dataValidation type="list" sqref="Y465" allowBlank="true" errorStyle="stop" showErrorMessage="true" showInputMessage="true">
      <formula1>"Clássico,Premium"</formula1>
    </dataValidation>
    <dataValidation type="list" sqref="AA465" allowBlank="true" errorStyle="stop" showErrorMessage="true" showInputMessage="true">
      <formula1>"Ativo,Inativo"</formula1>
    </dataValidation>
    <dataValidation type="list" sqref="AB465" allowBlank="true" errorStyle="stop" showErrorMessage="true" showInputMessage="true">
      <formula1>"Garantia do vendedor,Garantia de fábrica,Sem garantia"</formula1>
    </dataValidation>
    <dataValidation type="list" sqref="AD465" allowBlank="true" errorStyle="stop" showErrorMessage="true" showInputMessage="true">
      <formula1>"dias,meses,anos"</formula1>
    </dataValidation>
    <dataValidation type="list" sqref="J466" allowBlank="true" errorStyle="stop" showErrorMessage="true" showInputMessage="true">
      <formula1>"R$"</formula1>
    </dataValidation>
    <dataValidation type="list" sqref="U466" allowBlank="true" errorStyle="stop" showErrorMessage="true" showInputMessage="true">
      <formula1>"Novo,Usado,Recondicionado"</formula1>
    </dataValidation>
    <dataValidation type="list" sqref="W466" allowBlank="true" errorStyle="stop" showErrorMessage="true" showInputMessage="true">
      <formula1>"Envios por minha conta a cargo do comprador,Frete grátis por conta própria,Não faço envios"</formula1>
    </dataValidation>
    <dataValidation type="list" sqref="X466" allowBlank="true" errorStyle="stop" showErrorMessage="true" showInputMessage="true">
      <formula1>"Aceita,Não aceito"</formula1>
    </dataValidation>
    <dataValidation type="list" sqref="Y466" allowBlank="true" errorStyle="stop" showErrorMessage="true" showInputMessage="true">
      <formula1>"Clássico,Premium"</formula1>
    </dataValidation>
    <dataValidation type="list" sqref="AA466" allowBlank="true" errorStyle="stop" showErrorMessage="true" showInputMessage="true">
      <formula1>"Ativo,Inativo"</formula1>
    </dataValidation>
    <dataValidation type="list" sqref="AB466" allowBlank="true" errorStyle="stop" showErrorMessage="true" showInputMessage="true">
      <formula1>"Garantia do vendedor,Garantia de fábrica,Sem garantia"</formula1>
    </dataValidation>
    <dataValidation type="list" sqref="AD466" allowBlank="true" errorStyle="stop" showErrorMessage="true" showInputMessage="true">
      <formula1>"dias,meses,anos"</formula1>
    </dataValidation>
    <dataValidation type="list" sqref="J467" allowBlank="true" errorStyle="stop" showErrorMessage="true" showInputMessage="true">
      <formula1>"R$"</formula1>
    </dataValidation>
    <dataValidation type="list" sqref="U467" allowBlank="true" errorStyle="stop" showErrorMessage="true" showInputMessage="true">
      <formula1>"Novo,Usado,Recondicionado"</formula1>
    </dataValidation>
    <dataValidation type="list" sqref="W467" allowBlank="true" errorStyle="stop" showErrorMessage="true" showInputMessage="true">
      <formula1>"Envios por minha conta a cargo do comprador,Frete grátis por conta própria,Não faço envios"</formula1>
    </dataValidation>
    <dataValidation type="list" sqref="X467" allowBlank="true" errorStyle="stop" showErrorMessage="true" showInputMessage="true">
      <formula1>"Aceita,Não aceito"</formula1>
    </dataValidation>
    <dataValidation type="list" sqref="Y467" allowBlank="true" errorStyle="stop" showErrorMessage="true" showInputMessage="true">
      <formula1>"Clássico,Premium"</formula1>
    </dataValidation>
    <dataValidation type="list" sqref="AA467" allowBlank="true" errorStyle="stop" showErrorMessage="true" showInputMessage="true">
      <formula1>"Ativo,Inativo"</formula1>
    </dataValidation>
    <dataValidation type="list" sqref="AB467" allowBlank="true" errorStyle="stop" showErrorMessage="true" showInputMessage="true">
      <formula1>"Garantia do vendedor,Garantia de fábrica,Sem garantia"</formula1>
    </dataValidation>
    <dataValidation type="list" sqref="AD467" allowBlank="true" errorStyle="stop" showErrorMessage="true" showInputMessage="true">
      <formula1>"dias,meses,anos"</formula1>
    </dataValidation>
    <dataValidation type="list" sqref="J468" allowBlank="true" errorStyle="stop" showErrorMessage="true" showInputMessage="true">
      <formula1>"R$"</formula1>
    </dataValidation>
    <dataValidation type="list" sqref="U468" allowBlank="true" errorStyle="stop" showErrorMessage="true" showInputMessage="true">
      <formula1>"Novo,Usado,Recondicionado"</formula1>
    </dataValidation>
    <dataValidation type="list" sqref="W468" allowBlank="true" errorStyle="stop" showErrorMessage="true" showInputMessage="true">
      <formula1>"Envios por minha conta a cargo do comprador,Frete grátis por conta própria,Não faço envios"</formula1>
    </dataValidation>
    <dataValidation type="list" sqref="X468" allowBlank="true" errorStyle="stop" showErrorMessage="true" showInputMessage="true">
      <formula1>"Aceita,Não aceito"</formula1>
    </dataValidation>
    <dataValidation type="list" sqref="Y468" allowBlank="true" errorStyle="stop" showErrorMessage="true" showInputMessage="true">
      <formula1>"Clássico,Premium"</formula1>
    </dataValidation>
    <dataValidation type="list" sqref="AA468" allowBlank="true" errorStyle="stop" showErrorMessage="true" showInputMessage="true">
      <formula1>"Ativo,Inativo"</formula1>
    </dataValidation>
    <dataValidation type="list" sqref="AB468" allowBlank="true" errorStyle="stop" showErrorMessage="true" showInputMessage="true">
      <formula1>"Garantia do vendedor,Garantia de fábrica,Sem garantia"</formula1>
    </dataValidation>
    <dataValidation type="list" sqref="AD468" allowBlank="true" errorStyle="stop" showErrorMessage="true" showInputMessage="true">
      <formula1>"dias,meses,anos"</formula1>
    </dataValidation>
    <dataValidation type="list" sqref="J469" allowBlank="true" errorStyle="stop" showErrorMessage="true" showInputMessage="true">
      <formula1>"R$"</formula1>
    </dataValidation>
    <dataValidation type="list" sqref="U469" allowBlank="true" errorStyle="stop" showErrorMessage="true" showInputMessage="true">
      <formula1>"Novo,Usado,Recondicionado"</formula1>
    </dataValidation>
    <dataValidation type="list" sqref="W469" allowBlank="true" errorStyle="stop" showErrorMessage="true" showInputMessage="true">
      <formula1>"Envios por minha conta a cargo do comprador,Frete grátis por conta própria,Não faço envios"</formula1>
    </dataValidation>
    <dataValidation type="list" sqref="X469" allowBlank="true" errorStyle="stop" showErrorMessage="true" showInputMessage="true">
      <formula1>"Aceita,Não aceito"</formula1>
    </dataValidation>
    <dataValidation type="list" sqref="Y469" allowBlank="true" errorStyle="stop" showErrorMessage="true" showInputMessage="true">
      <formula1>"Clássico,Premium"</formula1>
    </dataValidation>
    <dataValidation type="list" sqref="AA469" allowBlank="true" errorStyle="stop" showErrorMessage="true" showInputMessage="true">
      <formula1>"Ativo,Inativo"</formula1>
    </dataValidation>
    <dataValidation type="list" sqref="AB469" allowBlank="true" errorStyle="stop" showErrorMessage="true" showInputMessage="true">
      <formula1>"Garantia do vendedor,Garantia de fábrica,Sem garantia"</formula1>
    </dataValidation>
    <dataValidation type="list" sqref="AD469" allowBlank="true" errorStyle="stop" showErrorMessage="true" showInputMessage="true">
      <formula1>"dias,meses,anos"</formula1>
    </dataValidation>
    <dataValidation type="list" sqref="J470" allowBlank="true" errorStyle="stop" showErrorMessage="true" showInputMessage="true">
      <formula1>"R$"</formula1>
    </dataValidation>
    <dataValidation type="list" sqref="U470" allowBlank="true" errorStyle="stop" showErrorMessage="true" showInputMessage="true">
      <formula1>"Novo,Usado"</formula1>
    </dataValidation>
    <dataValidation type="list" sqref="W470" allowBlank="true" errorStyle="stop" showErrorMessage="true" showInputMessage="true">
      <formula1>"Mercado Envios por conta do comprador,Mercado Envios grátis"</formula1>
    </dataValidation>
    <dataValidation type="list" sqref="X470" allowBlank="true" errorStyle="stop" showErrorMessage="true" showInputMessage="true">
      <formula1>"Aceita,Não aceito"</formula1>
    </dataValidation>
    <dataValidation type="list" sqref="Y470" allowBlank="true" errorStyle="stop" showErrorMessage="true" showInputMessage="true">
      <formula1>"Clássico,Premium"</formula1>
    </dataValidation>
    <dataValidation type="list" sqref="AA470" allowBlank="true" errorStyle="stop" showErrorMessage="true" showInputMessage="true">
      <formula1>"Ativo,Inativo"</formula1>
    </dataValidation>
    <dataValidation type="list" sqref="AB470" allowBlank="true" errorStyle="stop" showErrorMessage="true" showInputMessage="true">
      <formula1>"Garantia do vendedor,Garantia de fábrica,Sem garantia"</formula1>
    </dataValidation>
    <dataValidation type="list" sqref="AD470" allowBlank="true" errorStyle="stop" showErrorMessage="true" showInputMessage="true">
      <formula1>"dias,meses,anos"</formula1>
    </dataValidation>
    <dataValidation type="list" sqref="J471" allowBlank="true" errorStyle="stop" showErrorMessage="true" showInputMessage="true">
      <formula1>"R$"</formula1>
    </dataValidation>
    <dataValidation type="list" sqref="U471" allowBlank="true" errorStyle="stop" showErrorMessage="true" showInputMessage="true">
      <formula1>"Novo,Usado"</formula1>
    </dataValidation>
    <dataValidation type="list" sqref="W471" allowBlank="true" errorStyle="stop" showErrorMessage="true" showInputMessage="true">
      <formula1>"Mercado Envios por conta do comprador,Mercado Envios grátis"</formula1>
    </dataValidation>
    <dataValidation type="list" sqref="X471" allowBlank="true" errorStyle="stop" showErrorMessage="true" showInputMessage="true">
      <formula1>"Aceita,Não aceito"</formula1>
    </dataValidation>
    <dataValidation type="list" sqref="Y471" allowBlank="true" errorStyle="stop" showErrorMessage="true" showInputMessage="true">
      <formula1>"Clássico,Premium"</formula1>
    </dataValidation>
    <dataValidation type="list" sqref="AA471" allowBlank="true" errorStyle="stop" showErrorMessage="true" showInputMessage="true">
      <formula1>"Ativo,Inativo"</formula1>
    </dataValidation>
    <dataValidation type="list" sqref="AB471" allowBlank="true" errorStyle="stop" showErrorMessage="true" showInputMessage="true">
      <formula1>"Garantia do vendedor,Garantia de fábrica,Sem garantia"</formula1>
    </dataValidation>
    <dataValidation type="list" sqref="AD471" allowBlank="true" errorStyle="stop" showErrorMessage="true" showInputMessage="true">
      <formula1>"dias,meses,anos"</formula1>
    </dataValidation>
    <dataValidation type="list" sqref="J472" allowBlank="true" errorStyle="stop" showErrorMessage="true" showInputMessage="true">
      <formula1>"R$"</formula1>
    </dataValidation>
    <dataValidation type="list" sqref="U472" allowBlank="true" errorStyle="stop" showErrorMessage="true" showInputMessage="true">
      <formula1>"Usado,Novo"</formula1>
    </dataValidation>
    <dataValidation type="list" sqref="W472" allowBlank="true" errorStyle="stop" showErrorMessage="true" showInputMessage="true">
      <formula1>"Mercado Envios por conta do comprador,Mercado Envios grátis"</formula1>
    </dataValidation>
    <dataValidation type="list" sqref="X472" allowBlank="true" errorStyle="stop" showErrorMessage="true" showInputMessage="true">
      <formula1>"Aceita,Não aceito"</formula1>
    </dataValidation>
    <dataValidation type="list" sqref="Y472" allowBlank="true" errorStyle="stop" showErrorMessage="true" showInputMessage="true">
      <formula1>"Clássico,Premium"</formula1>
    </dataValidation>
    <dataValidation type="list" sqref="AA472" allowBlank="true" errorStyle="stop" showErrorMessage="true" showInputMessage="true">
      <formula1>"Ativo,Inativo"</formula1>
    </dataValidation>
    <dataValidation type="list" sqref="AB472" allowBlank="true" errorStyle="stop" showErrorMessage="true" showInputMessage="true">
      <formula1>"Garantia do vendedor,Garantia de fábrica,Sem garantia"</formula1>
    </dataValidation>
    <dataValidation type="list" sqref="AD472" allowBlank="true" errorStyle="stop" showErrorMessage="true" showInputMessage="true">
      <formula1>"dias,meses,anos"</formula1>
    </dataValidation>
    <dataValidation type="list" sqref="J473" allowBlank="true" errorStyle="stop" showErrorMessage="true" showInputMessage="true">
      <formula1>"R$"</formula1>
    </dataValidation>
    <dataValidation type="list" sqref="U473" allowBlank="true" errorStyle="stop" showErrorMessage="true" showInputMessage="true">
      <formula1>"Usado,Novo"</formula1>
    </dataValidation>
    <dataValidation type="list" sqref="W473" allowBlank="true" errorStyle="stop" showErrorMessage="true" showInputMessage="true">
      <formula1>"Mercado Envios por conta do comprador,Mercado Envios grátis"</formula1>
    </dataValidation>
    <dataValidation type="list" sqref="X473" allowBlank="true" errorStyle="stop" showErrorMessage="true" showInputMessage="true">
      <formula1>"Aceita,Não aceito"</formula1>
    </dataValidation>
    <dataValidation type="list" sqref="Y473" allowBlank="true" errorStyle="stop" showErrorMessage="true" showInputMessage="true">
      <formula1>"Clássico,Premium"</formula1>
    </dataValidation>
    <dataValidation type="list" sqref="AA473" allowBlank="true" errorStyle="stop" showErrorMessage="true" showInputMessage="true">
      <formula1>"Ativo,Inativo"</formula1>
    </dataValidation>
    <dataValidation type="list" sqref="AB473" allowBlank="true" errorStyle="stop" showErrorMessage="true" showInputMessage="true">
      <formula1>"Garantia do vendedor,Garantia de fábrica,Sem garantia"</formula1>
    </dataValidation>
    <dataValidation type="list" sqref="AD473" allowBlank="true" errorStyle="stop" showErrorMessage="true" showInputMessage="true">
      <formula1>"dias,meses,anos"</formula1>
    </dataValidation>
    <dataValidation type="list" sqref="J474" allowBlank="true" errorStyle="stop" showErrorMessage="true" showInputMessage="true">
      <formula1>"R$"</formula1>
    </dataValidation>
    <dataValidation type="list" sqref="U474" allowBlank="true" errorStyle="stop" showErrorMessage="true" showInputMessage="true">
      <formula1>"Usado,Novo"</formula1>
    </dataValidation>
    <dataValidation type="list" sqref="W474" allowBlank="true" errorStyle="stop" showErrorMessage="true" showInputMessage="true">
      <formula1>"Mercado Envios por conta do comprador,Mercado Envios grátis"</formula1>
    </dataValidation>
    <dataValidation type="list" sqref="X474" allowBlank="true" errorStyle="stop" showErrorMessage="true" showInputMessage="true">
      <formula1>"Aceita,Não aceito"</formula1>
    </dataValidation>
    <dataValidation type="list" sqref="Y474" allowBlank="true" errorStyle="stop" showErrorMessage="true" showInputMessage="true">
      <formula1>"Clássico,Premium"</formula1>
    </dataValidation>
    <dataValidation type="list" sqref="AA474" allowBlank="true" errorStyle="stop" showErrorMessage="true" showInputMessage="true">
      <formula1>"Ativo,Inativo"</formula1>
    </dataValidation>
    <dataValidation type="list" sqref="AB474" allowBlank="true" errorStyle="stop" showErrorMessage="true" showInputMessage="true">
      <formula1>"Garantia do vendedor,Garantia de fábrica,Sem garantia"</formula1>
    </dataValidation>
    <dataValidation type="list" sqref="AD474" allowBlank="true" errorStyle="stop" showErrorMessage="true" showInputMessage="true">
      <formula1>"dias,meses,anos"</formula1>
    </dataValidation>
    <dataValidation type="list" sqref="J475" allowBlank="true" errorStyle="stop" showErrorMessage="true" showInputMessage="true">
      <formula1>"R$"</formula1>
    </dataValidation>
    <dataValidation type="list" sqref="U475" allowBlank="true" errorStyle="stop" showErrorMessage="true" showInputMessage="true">
      <formula1>"Novo,Usado"</formula1>
    </dataValidation>
    <dataValidation type="list" sqref="W475" allowBlank="true" errorStyle="stop" showErrorMessage="true" showInputMessage="true">
      <formula1>"Mercado Envios por conta do comprador,Mercado Envios grátis"</formula1>
    </dataValidation>
    <dataValidation type="list" sqref="X475" allowBlank="true" errorStyle="stop" showErrorMessage="true" showInputMessage="true">
      <formula1>"Aceita,Não aceito"</formula1>
    </dataValidation>
    <dataValidation type="list" sqref="Y475" allowBlank="true" errorStyle="stop" showErrorMessage="true" showInputMessage="true">
      <formula1>"Clássico,Premium"</formula1>
    </dataValidation>
    <dataValidation type="list" sqref="AA475" allowBlank="true" errorStyle="stop" showErrorMessage="true" showInputMessage="true">
      <formula1>"Ativo,Inativo"</formula1>
    </dataValidation>
    <dataValidation type="list" sqref="AB475" allowBlank="true" errorStyle="stop" showErrorMessage="true" showInputMessage="true">
      <formula1>"Garantia do vendedor,Garantia de fábrica,Sem garantia"</formula1>
    </dataValidation>
    <dataValidation type="list" sqref="AD475" allowBlank="true" errorStyle="stop" showErrorMessage="true" showInputMessage="true">
      <formula1>"dias,meses,anos"</formula1>
    </dataValidation>
    <dataValidation type="list" sqref="J476" allowBlank="true" errorStyle="stop" showErrorMessage="true" showInputMessage="true">
      <formula1>"R$"</formula1>
    </dataValidation>
    <dataValidation type="list" sqref="U476" allowBlank="true" errorStyle="stop" showErrorMessage="true" showInputMessage="true">
      <formula1>"Usado,Novo"</formula1>
    </dataValidation>
    <dataValidation type="list" sqref="W476" allowBlank="true" errorStyle="stop" showErrorMessage="true" showInputMessage="true">
      <formula1>"Mercado Envios por conta do comprador,Mercado Envios grátis"</formula1>
    </dataValidation>
    <dataValidation type="list" sqref="X476" allowBlank="true" errorStyle="stop" showErrorMessage="true" showInputMessage="true">
      <formula1>"Aceita,Não aceito"</formula1>
    </dataValidation>
    <dataValidation type="list" sqref="Y476" allowBlank="true" errorStyle="stop" showErrorMessage="true" showInputMessage="true">
      <formula1>"Clássico,Premium"</formula1>
    </dataValidation>
    <dataValidation type="list" sqref="AA476" allowBlank="true" errorStyle="stop" showErrorMessage="true" showInputMessage="true">
      <formula1>"Ativo,Inativo"</formula1>
    </dataValidation>
    <dataValidation type="list" sqref="AB476" allowBlank="true" errorStyle="stop" showErrorMessage="true" showInputMessage="true">
      <formula1>"Garantia do vendedor,Garantia de fábrica,Sem garantia"</formula1>
    </dataValidation>
    <dataValidation type="list" sqref="AD476" allowBlank="true" errorStyle="stop" showErrorMessage="true" showInputMessage="true">
      <formula1>"dias,meses,anos"</formula1>
    </dataValidation>
    <dataValidation type="list" sqref="J477" allowBlank="true" errorStyle="stop" showErrorMessage="true" showInputMessage="true">
      <formula1>"R$"</formula1>
    </dataValidation>
    <dataValidation type="list" sqref="U477" allowBlank="true" errorStyle="stop" showErrorMessage="true" showInputMessage="true">
      <formula1>"Usado,Novo"</formula1>
    </dataValidation>
    <dataValidation type="list" sqref="W477" allowBlank="true" errorStyle="stop" showErrorMessage="true" showInputMessage="true">
      <formula1>"Mercado Envios por conta do comprador,Mercado Envios grátis"</formula1>
    </dataValidation>
    <dataValidation type="list" sqref="X477" allowBlank="true" errorStyle="stop" showErrorMessage="true" showInputMessage="true">
      <formula1>"Aceita,Não aceito"</formula1>
    </dataValidation>
    <dataValidation type="list" sqref="Y477" allowBlank="true" errorStyle="stop" showErrorMessage="true" showInputMessage="true">
      <formula1>"Clássico,Premium"</formula1>
    </dataValidation>
    <dataValidation type="list" sqref="AA477" allowBlank="true" errorStyle="stop" showErrorMessage="true" showInputMessage="true">
      <formula1>"Ativo,Inativo"</formula1>
    </dataValidation>
    <dataValidation type="list" sqref="AB477" allowBlank="true" errorStyle="stop" showErrorMessage="true" showInputMessage="true">
      <formula1>"Garantia do vendedor,Garantia de fábrica,Sem garantia"</formula1>
    </dataValidation>
    <dataValidation type="list" sqref="AD477" allowBlank="true" errorStyle="stop" showErrorMessage="true" showInputMessage="true">
      <formula1>"dias,meses,anos"</formula1>
    </dataValidation>
    <dataValidation type="list" sqref="J478" allowBlank="true" errorStyle="stop" showErrorMessage="true" showInputMessage="true">
      <formula1>"R$"</formula1>
    </dataValidation>
    <dataValidation type="list" sqref="U478" allowBlank="true" errorStyle="stop" showErrorMessage="true" showInputMessage="true">
      <formula1>"Usado,Novo"</formula1>
    </dataValidation>
    <dataValidation type="list" sqref="W478" allowBlank="true" errorStyle="stop" showErrorMessage="true" showInputMessage="true">
      <formula1>"Mercado Envios por conta do comprador,Mercado Envios grátis"</formula1>
    </dataValidation>
    <dataValidation type="list" sqref="X478" allowBlank="true" errorStyle="stop" showErrorMessage="true" showInputMessage="true">
      <formula1>"Aceita,Não aceito"</formula1>
    </dataValidation>
    <dataValidation type="list" sqref="Y478" allowBlank="true" errorStyle="stop" showErrorMessage="true" showInputMessage="true">
      <formula1>"Clássico,Premium"</formula1>
    </dataValidation>
    <dataValidation type="list" sqref="AA478" allowBlank="true" errorStyle="stop" showErrorMessage="true" showInputMessage="true">
      <formula1>"Ativo,Inativo"</formula1>
    </dataValidation>
    <dataValidation type="list" sqref="AB478" allowBlank="true" errorStyle="stop" showErrorMessage="true" showInputMessage="true">
      <formula1>"Garantia do vendedor,Garantia de fábrica,Sem garantia"</formula1>
    </dataValidation>
    <dataValidation type="list" sqref="AD478" allowBlank="true" errorStyle="stop" showErrorMessage="true" showInputMessage="true">
      <formula1>"dias,meses,anos"</formula1>
    </dataValidation>
    <dataValidation type="list" sqref="J479" allowBlank="true" errorStyle="stop" showErrorMessage="true" showInputMessage="true">
      <formula1>"R$"</formula1>
    </dataValidation>
    <dataValidation type="list" sqref="U479" allowBlank="true" errorStyle="stop" showErrorMessage="true" showInputMessage="true">
      <formula1>"Usado,Novo"</formula1>
    </dataValidation>
    <dataValidation type="list" sqref="W479" allowBlank="true" errorStyle="stop" showErrorMessage="true" showInputMessage="true">
      <formula1>"Mercado Envios por conta do comprador,Mercado Envios grátis"</formula1>
    </dataValidation>
    <dataValidation type="list" sqref="X479" allowBlank="true" errorStyle="stop" showErrorMessage="true" showInputMessage="true">
      <formula1>"Aceita,Não aceito"</formula1>
    </dataValidation>
    <dataValidation type="list" sqref="Y479" allowBlank="true" errorStyle="stop" showErrorMessage="true" showInputMessage="true">
      <formula1>"Clássico,Premium"</formula1>
    </dataValidation>
    <dataValidation type="list" sqref="AA479" allowBlank="true" errorStyle="stop" showErrorMessage="true" showInputMessage="true">
      <formula1>"Ativo,Inativo"</formula1>
    </dataValidation>
    <dataValidation type="list" sqref="AB479" allowBlank="true" errorStyle="stop" showErrorMessage="true" showInputMessage="true">
      <formula1>"Garantia do vendedor,Garantia de fábrica,Sem garantia"</formula1>
    </dataValidation>
    <dataValidation type="list" sqref="AD479" allowBlank="true" errorStyle="stop" showErrorMessage="true" showInputMessage="true">
      <formula1>"dias,meses,anos"</formula1>
    </dataValidation>
    <dataValidation type="list" sqref="J480" allowBlank="true" errorStyle="stop" showErrorMessage="true" showInputMessage="true">
      <formula1>"R$"</formula1>
    </dataValidation>
    <dataValidation type="list" sqref="U480" allowBlank="true" errorStyle="stop" showErrorMessage="true" showInputMessage="true">
      <formula1>"Usado,Novo"</formula1>
    </dataValidation>
    <dataValidation type="list" sqref="W480" allowBlank="true" errorStyle="stop" showErrorMessage="true" showInputMessage="true">
      <formula1>"Mercado Envios por conta do comprador,Mercado Envios grátis"</formula1>
    </dataValidation>
    <dataValidation type="list" sqref="X480" allowBlank="true" errorStyle="stop" showErrorMessage="true" showInputMessage="true">
      <formula1>"Aceita,Não aceito"</formula1>
    </dataValidation>
    <dataValidation type="list" sqref="Y480" allowBlank="true" errorStyle="stop" showErrorMessage="true" showInputMessage="true">
      <formula1>"Clássico,Premium"</formula1>
    </dataValidation>
    <dataValidation type="list" sqref="AA480" allowBlank="true" errorStyle="stop" showErrorMessage="true" showInputMessage="true">
      <formula1>"Ativo,Inativo"</formula1>
    </dataValidation>
    <dataValidation type="list" sqref="AB480" allowBlank="true" errorStyle="stop" showErrorMessage="true" showInputMessage="true">
      <formula1>"Garantia do vendedor,Garantia de fábrica,Sem garantia"</formula1>
    </dataValidation>
    <dataValidation type="list" sqref="AD480" allowBlank="true" errorStyle="stop" showErrorMessage="true" showInputMessage="true">
      <formula1>"dias,meses,anos"</formula1>
    </dataValidation>
    <dataValidation type="list" sqref="J481" allowBlank="true" errorStyle="stop" showErrorMessage="true" showInputMessage="true">
      <formula1>"R$"</formula1>
    </dataValidation>
    <dataValidation type="list" sqref="U481" allowBlank="true" errorStyle="stop" showErrorMessage="true" showInputMessage="true">
      <formula1>"Usado,Novo,Recondicionado"</formula1>
    </dataValidation>
    <dataValidation type="list" sqref="W481" allowBlank="true" errorStyle="stop" showErrorMessage="true" showInputMessage="true">
      <formula1>"Mercado Envios por conta do comprador,Mercado Envios grátis"</formula1>
    </dataValidation>
    <dataValidation type="list" sqref="X481" allowBlank="true" errorStyle="stop" showErrorMessage="true" showInputMessage="true">
      <formula1>"Aceita,Não aceito"</formula1>
    </dataValidation>
    <dataValidation type="list" sqref="Y481" allowBlank="true" errorStyle="stop" showErrorMessage="true" showInputMessage="true">
      <formula1>"Clássico,Premium"</formula1>
    </dataValidation>
    <dataValidation type="list" sqref="AA481" allowBlank="true" errorStyle="stop" showErrorMessage="true" showInputMessage="true">
      <formula1>"Ativo,Inativo"</formula1>
    </dataValidation>
    <dataValidation type="list" sqref="AB481" allowBlank="true" errorStyle="stop" showErrorMessage="true" showInputMessage="true">
      <formula1>"Garantia do vendedor,Garantia de fábrica,Sem garantia"</formula1>
    </dataValidation>
    <dataValidation type="list" sqref="AD481" allowBlank="true" errorStyle="stop" showErrorMessage="true" showInputMessage="true">
      <formula1>"dias,meses,anos"</formula1>
    </dataValidation>
    <dataValidation type="list" sqref="J482" allowBlank="true" errorStyle="stop" showErrorMessage="true" showInputMessage="true">
      <formula1>"R$"</formula1>
    </dataValidation>
    <dataValidation type="list" sqref="U482" allowBlank="true" errorStyle="stop" showErrorMessage="true" showInputMessage="true">
      <formula1>"Usado,Novo"</formula1>
    </dataValidation>
    <dataValidation type="list" sqref="W482" allowBlank="true" errorStyle="stop" showErrorMessage="true" showInputMessage="true">
      <formula1>"Mercado Envios por conta do comprador,Mercado Envios grátis"</formula1>
    </dataValidation>
    <dataValidation type="list" sqref="X482" allowBlank="true" errorStyle="stop" showErrorMessage="true" showInputMessage="true">
      <formula1>"Aceita,Não aceito"</formula1>
    </dataValidation>
    <dataValidation type="list" sqref="Y482" allowBlank="true" errorStyle="stop" showErrorMessage="true" showInputMessage="true">
      <formula1>"Clássico,Premium"</formula1>
    </dataValidation>
    <dataValidation type="list" sqref="AA482" allowBlank="true" errorStyle="stop" showErrorMessage="true" showInputMessage="true">
      <formula1>"Ativo,Inativo"</formula1>
    </dataValidation>
    <dataValidation type="list" sqref="AB482" allowBlank="true" errorStyle="stop" showErrorMessage="true" showInputMessage="true">
      <formula1>"Garantia do vendedor,Garantia de fábrica,Sem garantia"</formula1>
    </dataValidation>
    <dataValidation type="list" sqref="AD482" allowBlank="true" errorStyle="stop" showErrorMessage="true" showInputMessage="true">
      <formula1>"dias,meses,anos"</formula1>
    </dataValidation>
    <dataValidation type="list" sqref="J483" allowBlank="true" errorStyle="stop" showErrorMessage="true" showInputMessage="true">
      <formula1>"R$"</formula1>
    </dataValidation>
    <dataValidation type="list" sqref="U483" allowBlank="true" errorStyle="stop" showErrorMessage="true" showInputMessage="true">
      <formula1>"Novo,Usado,Recondicionado"</formula1>
    </dataValidation>
    <dataValidation type="list" sqref="W483" allowBlank="true" errorStyle="stop" showErrorMessage="true" showInputMessage="true">
      <formula1>"Mercado Envios por conta do comprador,Mercado Envios grátis"</formula1>
    </dataValidation>
    <dataValidation type="list" sqref="X483" allowBlank="true" errorStyle="stop" showErrorMessage="true" showInputMessage="true">
      <formula1>"Aceita,Não aceito"</formula1>
    </dataValidation>
    <dataValidation type="list" sqref="Y483" allowBlank="true" errorStyle="stop" showErrorMessage="true" showInputMessage="true">
      <formula1>"Clássico,Premium"</formula1>
    </dataValidation>
    <dataValidation type="list" sqref="AA483" allowBlank="true" errorStyle="stop" showErrorMessage="true" showInputMessage="true">
      <formula1>"Ativo,Inativo"</formula1>
    </dataValidation>
    <dataValidation type="list" sqref="AB483" allowBlank="true" errorStyle="stop" showErrorMessage="true" showInputMessage="true">
      <formula1>"Garantia do vendedor,Garantia de fábrica,Sem garantia"</formula1>
    </dataValidation>
    <dataValidation type="list" sqref="AD483" allowBlank="true" errorStyle="stop" showErrorMessage="true" showInputMessage="true">
      <formula1>"dias,meses,anos"</formula1>
    </dataValidation>
    <dataValidation type="list" sqref="J484" allowBlank="true" errorStyle="stop" showErrorMessage="true" showInputMessage="true">
      <formula1>"R$"</formula1>
    </dataValidation>
    <dataValidation type="list" sqref="U484" allowBlank="true" errorStyle="stop" showErrorMessage="true" showInputMessage="true">
      <formula1>"Usado,Novo,Recondicionado"</formula1>
    </dataValidation>
    <dataValidation type="list" sqref="W484" allowBlank="true" errorStyle="stop" showErrorMessage="true" showInputMessage="true">
      <formula1>"Mercado Envios por conta do comprador,Mercado Envios grátis"</formula1>
    </dataValidation>
    <dataValidation type="list" sqref="X484" allowBlank="true" errorStyle="stop" showErrorMessage="true" showInputMessage="true">
      <formula1>"Aceita,Não aceito"</formula1>
    </dataValidation>
    <dataValidation type="list" sqref="Y484" allowBlank="true" errorStyle="stop" showErrorMessage="true" showInputMessage="true">
      <formula1>"Clássico,Premium"</formula1>
    </dataValidation>
    <dataValidation type="list" sqref="AA484" allowBlank="true" errorStyle="stop" showErrorMessage="true" showInputMessage="true">
      <formula1>"Ativo,Inativo"</formula1>
    </dataValidation>
    <dataValidation type="list" sqref="AB484" allowBlank="true" errorStyle="stop" showErrorMessage="true" showInputMessage="true">
      <formula1>"Garantia do vendedor,Garantia de fábrica,Sem garantia"</formula1>
    </dataValidation>
    <dataValidation type="list" sqref="AD484" allowBlank="true" errorStyle="stop" showErrorMessage="true" showInputMessage="true">
      <formula1>"dias,meses,anos"</formula1>
    </dataValidation>
    <dataValidation type="list" sqref="J485" allowBlank="true" errorStyle="stop" showErrorMessage="true" showInputMessage="true">
      <formula1>"R$"</formula1>
    </dataValidation>
    <dataValidation type="list" sqref="U485" allowBlank="true" errorStyle="stop" showErrorMessage="true" showInputMessage="true">
      <formula1>"Usado,Novo,Recondicionado"</formula1>
    </dataValidation>
    <dataValidation type="list" sqref="W485" allowBlank="true" errorStyle="stop" showErrorMessage="true" showInputMessage="true">
      <formula1>"Mercado Envios por conta do comprador,Mercado Envios grátis"</formula1>
    </dataValidation>
    <dataValidation type="list" sqref="X485" allowBlank="true" errorStyle="stop" showErrorMessage="true" showInputMessage="true">
      <formula1>"Aceita,Não aceito"</formula1>
    </dataValidation>
    <dataValidation type="list" sqref="Y485" allowBlank="true" errorStyle="stop" showErrorMessage="true" showInputMessage="true">
      <formula1>"Clássico,Premium"</formula1>
    </dataValidation>
    <dataValidation type="list" sqref="AA485" allowBlank="true" errorStyle="stop" showErrorMessage="true" showInputMessage="true">
      <formula1>"Ativo,Inativo"</formula1>
    </dataValidation>
    <dataValidation type="list" sqref="AB485" allowBlank="true" errorStyle="stop" showErrorMessage="true" showInputMessage="true">
      <formula1>"Garantia do vendedor,Garantia de fábrica,Sem garantia"</formula1>
    </dataValidation>
    <dataValidation type="list" sqref="AD485" allowBlank="true" errorStyle="stop" showErrorMessage="true" showInputMessage="true">
      <formula1>"dias,meses,anos"</formula1>
    </dataValidation>
    <dataValidation type="list" sqref="J486" allowBlank="true" errorStyle="stop" showErrorMessage="true" showInputMessage="true">
      <formula1>"R$"</formula1>
    </dataValidation>
    <dataValidation type="list" sqref="U486" allowBlank="true" errorStyle="stop" showErrorMessage="true" showInputMessage="true">
      <formula1>"Usado,Novo"</formula1>
    </dataValidation>
    <dataValidation type="list" sqref="W486" allowBlank="true" errorStyle="stop" showErrorMessage="true" showInputMessage="true">
      <formula1>"Mercado Envios por conta do comprador,Mercado Envios grátis"</formula1>
    </dataValidation>
    <dataValidation type="list" sqref="X486" allowBlank="true" errorStyle="stop" showErrorMessage="true" showInputMessage="true">
      <formula1>"Aceita,Não aceito"</formula1>
    </dataValidation>
    <dataValidation type="list" sqref="Y486" allowBlank="true" errorStyle="stop" showErrorMessage="true" showInputMessage="true">
      <formula1>"Clássico,Premium"</formula1>
    </dataValidation>
    <dataValidation type="list" sqref="AA486" allowBlank="true" errorStyle="stop" showErrorMessage="true" showInputMessage="true">
      <formula1>"Ativo,Inativo"</formula1>
    </dataValidation>
    <dataValidation type="list" sqref="AB486" allowBlank="true" errorStyle="stop" showErrorMessage="true" showInputMessage="true">
      <formula1>"Garantia do vendedor,Garantia de fábrica,Sem garantia"</formula1>
    </dataValidation>
    <dataValidation type="list" sqref="AD486" allowBlank="true" errorStyle="stop" showErrorMessage="true" showInputMessage="true">
      <formula1>"dias,meses,anos"</formula1>
    </dataValidation>
    <dataValidation type="list" sqref="J487" allowBlank="true" errorStyle="stop" showErrorMessage="true" showInputMessage="true">
      <formula1>"R$"</formula1>
    </dataValidation>
    <dataValidation type="list" sqref="U487" allowBlank="true" errorStyle="stop" showErrorMessage="true" showInputMessage="true">
      <formula1>"Usado,Novo"</formula1>
    </dataValidation>
    <dataValidation type="list" sqref="W487" allowBlank="true" errorStyle="stop" showErrorMessage="true" showInputMessage="true">
      <formula1>"Mercado Envios por conta do comprador,Mercado Envios grátis"</formula1>
    </dataValidation>
    <dataValidation type="list" sqref="X487" allowBlank="true" errorStyle="stop" showErrorMessage="true" showInputMessage="true">
      <formula1>"Aceita,Não aceito"</formula1>
    </dataValidation>
    <dataValidation type="list" sqref="Y487" allowBlank="true" errorStyle="stop" showErrorMessage="true" showInputMessage="true">
      <formula1>"Clássico,Premium"</formula1>
    </dataValidation>
    <dataValidation type="list" sqref="AA487" allowBlank="true" errorStyle="stop" showErrorMessage="true" showInputMessage="true">
      <formula1>"Ativo,Inativo"</formula1>
    </dataValidation>
    <dataValidation type="list" sqref="AB487" allowBlank="true" errorStyle="stop" showErrorMessage="true" showInputMessage="true">
      <formula1>"Garantia do vendedor,Garantia de fábrica,Sem garantia"</formula1>
    </dataValidation>
    <dataValidation type="list" sqref="AD487" allowBlank="true" errorStyle="stop" showErrorMessage="true" showInputMessage="true">
      <formula1>"dias,meses,anos"</formula1>
    </dataValidation>
    <dataValidation type="list" sqref="J488" allowBlank="true" errorStyle="stop" showErrorMessage="true" showInputMessage="true">
      <formula1>"R$"</formula1>
    </dataValidation>
    <dataValidation type="list" sqref="U488" allowBlank="true" errorStyle="stop" showErrorMessage="true" showInputMessage="true">
      <formula1>"Novo,Usado"</formula1>
    </dataValidation>
    <dataValidation type="list" sqref="W488" allowBlank="true" errorStyle="stop" showErrorMessage="true" showInputMessage="true">
      <formula1>"Mercado Envios por conta do comprador,Mercado Envios grátis"</formula1>
    </dataValidation>
    <dataValidation type="list" sqref="X488" allowBlank="true" errorStyle="stop" showErrorMessage="true" showInputMessage="true">
      <formula1>"Aceita,Não aceito"</formula1>
    </dataValidation>
    <dataValidation type="list" sqref="Y488" allowBlank="true" errorStyle="stop" showErrorMessage="true" showInputMessage="true">
      <formula1>"Clássico,Premium"</formula1>
    </dataValidation>
    <dataValidation type="list" sqref="AA488" allowBlank="true" errorStyle="stop" showErrorMessage="true" showInputMessage="true">
      <formula1>"Ativo,Inativo"</formula1>
    </dataValidation>
    <dataValidation type="list" sqref="AB488" allowBlank="true" errorStyle="stop" showErrorMessage="true" showInputMessage="true">
      <formula1>"Garantia do vendedor,Garantia de fábrica,Sem garantia"</formula1>
    </dataValidation>
    <dataValidation type="list" sqref="AD488" allowBlank="true" errorStyle="stop" showErrorMessage="true" showInputMessage="true">
      <formula1>"dias,meses,anos"</formula1>
    </dataValidation>
    <dataValidation type="list" sqref="J489" allowBlank="true" errorStyle="stop" showErrorMessage="true" showInputMessage="true">
      <formula1>"R$"</formula1>
    </dataValidation>
    <dataValidation type="list" sqref="U489" allowBlank="true" errorStyle="stop" showErrorMessage="true" showInputMessage="true">
      <formula1>"Novo,Usado"</formula1>
    </dataValidation>
    <dataValidation type="list" sqref="W489" allowBlank="true" errorStyle="stop" showErrorMessage="true" showInputMessage="true">
      <formula1>"Mercado Envios por conta do comprador,Mercado Envios grátis"</formula1>
    </dataValidation>
    <dataValidation type="list" sqref="X489" allowBlank="true" errorStyle="stop" showErrorMessage="true" showInputMessage="true">
      <formula1>"Aceita,Não aceito"</formula1>
    </dataValidation>
    <dataValidation type="list" sqref="Y489" allowBlank="true" errorStyle="stop" showErrorMessage="true" showInputMessage="true">
      <formula1>"Clássico,Premium"</formula1>
    </dataValidation>
    <dataValidation type="list" sqref="AA489" allowBlank="true" errorStyle="stop" showErrorMessage="true" showInputMessage="true">
      <formula1>"Ativo,Inativo"</formula1>
    </dataValidation>
    <dataValidation type="list" sqref="AB489" allowBlank="true" errorStyle="stop" showErrorMessage="true" showInputMessage="true">
      <formula1>"Garantia do vendedor,Garantia de fábrica,Sem garantia"</formula1>
    </dataValidation>
    <dataValidation type="list" sqref="AD489" allowBlank="true" errorStyle="stop" showErrorMessage="true" showInputMessage="true">
      <formula1>"dias,meses,anos"</formula1>
    </dataValidation>
    <dataValidation type="list" sqref="J490" allowBlank="true" errorStyle="stop" showErrorMessage="true" showInputMessage="true">
      <formula1>"R$"</formula1>
    </dataValidation>
    <dataValidation type="list" sqref="U490" allowBlank="true" errorStyle="stop" showErrorMessage="true" showInputMessage="true">
      <formula1>"Novo,Usado"</formula1>
    </dataValidation>
    <dataValidation type="list" sqref="W490" allowBlank="true" errorStyle="stop" showErrorMessage="true" showInputMessage="true">
      <formula1>"Mercado Envios por conta do comprador,Mercado Envios grátis"</formula1>
    </dataValidation>
    <dataValidation type="list" sqref="X490" allowBlank="true" errorStyle="stop" showErrorMessage="true" showInputMessage="true">
      <formula1>"Aceita,Não aceito"</formula1>
    </dataValidation>
    <dataValidation type="list" sqref="Y490" allowBlank="true" errorStyle="stop" showErrorMessage="true" showInputMessage="true">
      <formula1>"Clássico,Premium"</formula1>
    </dataValidation>
    <dataValidation type="list" sqref="AA490" allowBlank="true" errorStyle="stop" showErrorMessage="true" showInputMessage="true">
      <formula1>"Ativo,Inativo"</formula1>
    </dataValidation>
    <dataValidation type="list" sqref="AB490" allowBlank="true" errorStyle="stop" showErrorMessage="true" showInputMessage="true">
      <formula1>"Garantia do vendedor,Garantia de fábrica,Sem garantia"</formula1>
    </dataValidation>
    <dataValidation type="list" sqref="AD490" allowBlank="true" errorStyle="stop" showErrorMessage="true" showInputMessage="true">
      <formula1>"dias,meses,anos"</formula1>
    </dataValidation>
    <dataValidation type="list" sqref="J491" allowBlank="true" errorStyle="stop" showErrorMessage="true" showInputMessage="true">
      <formula1>"R$"</formula1>
    </dataValidation>
    <dataValidation type="list" sqref="U491" allowBlank="true" errorStyle="stop" showErrorMessage="true" showInputMessage="true">
      <formula1>"Novo,Usado"</formula1>
    </dataValidation>
    <dataValidation type="list" sqref="W491" allowBlank="true" errorStyle="stop" showErrorMessage="true" showInputMessage="true">
      <formula1>"Mercado Envios por conta do comprador,Mercado Envios grátis"</formula1>
    </dataValidation>
    <dataValidation type="list" sqref="X491" allowBlank="true" errorStyle="stop" showErrorMessage="true" showInputMessage="true">
      <formula1>"Aceita,Não aceito"</formula1>
    </dataValidation>
    <dataValidation type="list" sqref="Y491" allowBlank="true" errorStyle="stop" showErrorMessage="true" showInputMessage="true">
      <formula1>"Clássico,Premium"</formula1>
    </dataValidation>
    <dataValidation type="list" sqref="AA491" allowBlank="true" errorStyle="stop" showErrorMessage="true" showInputMessage="true">
      <formula1>"Ativo,Inativo"</formula1>
    </dataValidation>
    <dataValidation type="list" sqref="AB491" allowBlank="true" errorStyle="stop" showErrorMessage="true" showInputMessage="true">
      <formula1>"Garantia do vendedor,Garantia de fábrica,Sem garantia"</formula1>
    </dataValidation>
    <dataValidation type="list" sqref="AD491" allowBlank="true" errorStyle="stop" showErrorMessage="true" showInputMessage="true">
      <formula1>"dias,meses,anos"</formula1>
    </dataValidation>
    <dataValidation type="list" sqref="J492" allowBlank="true" errorStyle="stop" showErrorMessage="true" showInputMessage="true">
      <formula1>"R$"</formula1>
    </dataValidation>
    <dataValidation type="list" sqref="U492" allowBlank="true" errorStyle="stop" showErrorMessage="true" showInputMessage="true">
      <formula1>"Novo,Usado"</formula1>
    </dataValidation>
    <dataValidation type="list" sqref="W492" allowBlank="true" errorStyle="stop" showErrorMessage="true" showInputMessage="true">
      <formula1>"Mercado Envios por conta do comprador,Mercado Envios grátis"</formula1>
    </dataValidation>
    <dataValidation type="list" sqref="X492" allowBlank="true" errorStyle="stop" showErrorMessage="true" showInputMessage="true">
      <formula1>"Aceita,Não aceito"</formula1>
    </dataValidation>
    <dataValidation type="list" sqref="Y492" allowBlank="true" errorStyle="stop" showErrorMessage="true" showInputMessage="true">
      <formula1>"Clássico,Premium"</formula1>
    </dataValidation>
    <dataValidation type="list" sqref="AA492" allowBlank="true" errorStyle="stop" showErrorMessage="true" showInputMessage="true">
      <formula1>"Ativo,Inativo"</formula1>
    </dataValidation>
    <dataValidation type="list" sqref="AB492" allowBlank="true" errorStyle="stop" showErrorMessage="true" showInputMessage="true">
      <formula1>"Garantia do vendedor,Garantia de fábrica,Sem garantia"</formula1>
    </dataValidation>
    <dataValidation type="list" sqref="AD492" allowBlank="true" errorStyle="stop" showErrorMessage="true" showInputMessage="true">
      <formula1>"dias,meses,anos"</formula1>
    </dataValidation>
    <dataValidation type="list" sqref="J493" allowBlank="true" errorStyle="stop" showErrorMessage="true" showInputMessage="true">
      <formula1>"R$"</formula1>
    </dataValidation>
    <dataValidation type="list" sqref="U493" allowBlank="true" errorStyle="stop" showErrorMessage="true" showInputMessage="true">
      <formula1>"Novo,Usado"</formula1>
    </dataValidation>
    <dataValidation type="list" sqref="W493" allowBlank="true" errorStyle="stop" showErrorMessage="true" showInputMessage="true">
      <formula1>"Mercado Envios por conta do comprador,Mercado Envios grátis"</formula1>
    </dataValidation>
    <dataValidation type="list" sqref="X493" allowBlank="true" errorStyle="stop" showErrorMessage="true" showInputMessage="true">
      <formula1>"Aceita,Não aceito"</formula1>
    </dataValidation>
    <dataValidation type="list" sqref="Y493" allowBlank="true" errorStyle="stop" showErrorMessage="true" showInputMessage="true">
      <formula1>"Clássico,Premium"</formula1>
    </dataValidation>
    <dataValidation type="list" sqref="AA493" allowBlank="true" errorStyle="stop" showErrorMessage="true" showInputMessage="true">
      <formula1>"Ativo,Inativo"</formula1>
    </dataValidation>
    <dataValidation type="list" sqref="AB493" allowBlank="true" errorStyle="stop" showErrorMessage="true" showInputMessage="true">
      <formula1>"Garantia do vendedor,Garantia de fábrica,Sem garantia"</formula1>
    </dataValidation>
    <dataValidation type="list" sqref="AD493" allowBlank="true" errorStyle="stop" showErrorMessage="true" showInputMessage="true">
      <formula1>"dias,meses,anos"</formula1>
    </dataValidation>
    <dataValidation type="list" sqref="J494" allowBlank="true" errorStyle="stop" showErrorMessage="true" showInputMessage="true">
      <formula1>"R$"</formula1>
    </dataValidation>
    <dataValidation type="list" sqref="U494" allowBlank="true" errorStyle="stop" showErrorMessage="true" showInputMessage="true">
      <formula1>"Novo,Usado"</formula1>
    </dataValidation>
    <dataValidation type="list" sqref="W494" allowBlank="true" errorStyle="stop" showErrorMessage="true" showInputMessage="true">
      <formula1>"Mercado Envios por conta do comprador,Mercado Envios grátis"</formula1>
    </dataValidation>
    <dataValidation type="list" sqref="X494" allowBlank="true" errorStyle="stop" showErrorMessage="true" showInputMessage="true">
      <formula1>"Aceita,Não aceito"</formula1>
    </dataValidation>
    <dataValidation type="list" sqref="Y494" allowBlank="true" errorStyle="stop" showErrorMessage="true" showInputMessage="true">
      <formula1>"Clássico,Premium"</formula1>
    </dataValidation>
    <dataValidation type="list" sqref="AA494" allowBlank="true" errorStyle="stop" showErrorMessage="true" showInputMessage="true">
      <formula1>"Ativo,Inativo"</formula1>
    </dataValidation>
    <dataValidation type="list" sqref="AB494" allowBlank="true" errorStyle="stop" showErrorMessage="true" showInputMessage="true">
      <formula1>"Garantia do vendedor,Garantia de fábrica,Sem garantia"</formula1>
    </dataValidation>
    <dataValidation type="list" sqref="AD494" allowBlank="true" errorStyle="stop" showErrorMessage="true" showInputMessage="true">
      <formula1>"dias,meses,anos"</formula1>
    </dataValidation>
    <dataValidation type="list" sqref="J495" allowBlank="true" errorStyle="stop" showErrorMessage="true" showInputMessage="true">
      <formula1>"R$"</formula1>
    </dataValidation>
    <dataValidation type="list" sqref="U495" allowBlank="true" errorStyle="stop" showErrorMessage="true" showInputMessage="true">
      <formula1>"Novo,Usado"</formula1>
    </dataValidation>
    <dataValidation type="list" sqref="W495" allowBlank="true" errorStyle="stop" showErrorMessage="true" showInputMessage="true">
      <formula1>"Mercado Envios por conta do comprador,Mercado Envios grátis"</formula1>
    </dataValidation>
    <dataValidation type="list" sqref="X495" allowBlank="true" errorStyle="stop" showErrorMessage="true" showInputMessage="true">
      <formula1>"Aceita,Não aceito"</formula1>
    </dataValidation>
    <dataValidation type="list" sqref="Y495" allowBlank="true" errorStyle="stop" showErrorMessage="true" showInputMessage="true">
      <formula1>"Clássico,Premium"</formula1>
    </dataValidation>
    <dataValidation type="list" sqref="AA495" allowBlank="true" errorStyle="stop" showErrorMessage="true" showInputMessage="true">
      <formula1>"Ativo,Inativo"</formula1>
    </dataValidation>
    <dataValidation type="list" sqref="AB495" allowBlank="true" errorStyle="stop" showErrorMessage="true" showInputMessage="true">
      <formula1>"Garantia do vendedor,Garantia de fábrica,Sem garantia"</formula1>
    </dataValidation>
    <dataValidation type="list" sqref="AD495" allowBlank="true" errorStyle="stop" showErrorMessage="true" showInputMessage="true">
      <formula1>"dias,meses,anos"</formula1>
    </dataValidation>
    <dataValidation type="list" sqref="J496" allowBlank="true" errorStyle="stop" showErrorMessage="true" showInputMessage="true">
      <formula1>"R$"</formula1>
    </dataValidation>
    <dataValidation type="list" sqref="U496" allowBlank="true" errorStyle="stop" showErrorMessage="true" showInputMessage="true">
      <formula1>"Novo,Usado"</formula1>
    </dataValidation>
    <dataValidation type="list" sqref="W496" allowBlank="true" errorStyle="stop" showErrorMessage="true" showInputMessage="true">
      <formula1>"Mercado Envios por conta do comprador,Mercado Envios grátis"</formula1>
    </dataValidation>
    <dataValidation type="list" sqref="X496" allowBlank="true" errorStyle="stop" showErrorMessage="true" showInputMessage="true">
      <formula1>"Aceita,Não aceito"</formula1>
    </dataValidation>
    <dataValidation type="list" sqref="Y496" allowBlank="true" errorStyle="stop" showErrorMessage="true" showInputMessage="true">
      <formula1>"Clássico,Premium"</formula1>
    </dataValidation>
    <dataValidation type="list" sqref="AA496" allowBlank="true" errorStyle="stop" showErrorMessage="true" showInputMessage="true">
      <formula1>"Ativo,Inativo"</formula1>
    </dataValidation>
    <dataValidation type="list" sqref="AB496" allowBlank="true" errorStyle="stop" showErrorMessage="true" showInputMessage="true">
      <formula1>"Garantia do vendedor,Garantia de fábrica,Sem garantia"</formula1>
    </dataValidation>
    <dataValidation type="list" sqref="AD496" allowBlank="true" errorStyle="stop" showErrorMessage="true" showInputMessage="true">
      <formula1>"dias,meses,anos"</formula1>
    </dataValidation>
    <dataValidation type="list" sqref="J497" allowBlank="true" errorStyle="stop" showErrorMessage="true" showInputMessage="true">
      <formula1>"R$"</formula1>
    </dataValidation>
    <dataValidation type="list" sqref="U497" allowBlank="true" errorStyle="stop" showErrorMessage="true" showInputMessage="true">
      <formula1>"Usado,Novo"</formula1>
    </dataValidation>
    <dataValidation type="list" sqref="W497" allowBlank="true" errorStyle="stop" showErrorMessage="true" showInputMessage="true">
      <formula1>"Mercado Envios por conta do comprador,Mercado Envios grátis"</formula1>
    </dataValidation>
    <dataValidation type="list" sqref="X497" allowBlank="true" errorStyle="stop" showErrorMessage="true" showInputMessage="true">
      <formula1>"Aceita,Não aceito"</formula1>
    </dataValidation>
    <dataValidation type="list" sqref="Y497" allowBlank="true" errorStyle="stop" showErrorMessage="true" showInputMessage="true">
      <formula1>"Clássico,Premium"</formula1>
    </dataValidation>
    <dataValidation type="list" sqref="AA497" allowBlank="true" errorStyle="stop" showErrorMessage="true" showInputMessage="true">
      <formula1>"Ativo,Inativo"</formula1>
    </dataValidation>
    <dataValidation type="list" sqref="AB497" allowBlank="true" errorStyle="stop" showErrorMessage="true" showInputMessage="true">
      <formula1>"Garantia do vendedor,Garantia de fábrica,Sem garantia"</formula1>
    </dataValidation>
    <dataValidation type="list" sqref="AD497" allowBlank="true" errorStyle="stop" showErrorMessage="true" showInputMessage="true">
      <formula1>"dias,meses,anos"</formula1>
    </dataValidation>
    <dataValidation type="list" sqref="J498" allowBlank="true" errorStyle="stop" showErrorMessage="true" showInputMessage="true">
      <formula1>"R$"</formula1>
    </dataValidation>
    <dataValidation type="list" sqref="U498" allowBlank="true" errorStyle="stop" showErrorMessage="true" showInputMessage="true">
      <formula1>"Usado,Novo"</formula1>
    </dataValidation>
    <dataValidation type="list" sqref="W498" allowBlank="true" errorStyle="stop" showErrorMessage="true" showInputMessage="true">
      <formula1>"Mercado Envios por conta do comprador,Mercado Envios grátis"</formula1>
    </dataValidation>
    <dataValidation type="list" sqref="X498" allowBlank="true" errorStyle="stop" showErrorMessage="true" showInputMessage="true">
      <formula1>"Aceita,Não aceito"</formula1>
    </dataValidation>
    <dataValidation type="list" sqref="Y498" allowBlank="true" errorStyle="stop" showErrorMessage="true" showInputMessage="true">
      <formula1>"Clássico,Premium"</formula1>
    </dataValidation>
    <dataValidation type="list" sqref="AA498" allowBlank="true" errorStyle="stop" showErrorMessage="true" showInputMessage="true">
      <formula1>"Ativo,Inativo"</formula1>
    </dataValidation>
    <dataValidation type="list" sqref="AB498" allowBlank="true" errorStyle="stop" showErrorMessage="true" showInputMessage="true">
      <formula1>"Garantia do vendedor,Garantia de fábrica,Sem garantia"</formula1>
    </dataValidation>
    <dataValidation type="list" sqref="AD498" allowBlank="true" errorStyle="stop" showErrorMessage="true" showInputMessage="true">
      <formula1>"dias,meses,anos"</formula1>
    </dataValidation>
    <dataValidation type="list" sqref="J499" allowBlank="true" errorStyle="stop" showErrorMessage="true" showInputMessage="true">
      <formula1>"R$"</formula1>
    </dataValidation>
    <dataValidation type="list" sqref="U499" allowBlank="true" errorStyle="stop" showErrorMessage="true" showInputMessage="true">
      <formula1>"Usado,Novo"</formula1>
    </dataValidation>
    <dataValidation type="list" sqref="W499" allowBlank="true" errorStyle="stop" showErrorMessage="true" showInputMessage="true">
      <formula1>"Mercado Envios por conta do comprador,Mercado Envios grátis"</formula1>
    </dataValidation>
    <dataValidation type="list" sqref="X499" allowBlank="true" errorStyle="stop" showErrorMessage="true" showInputMessage="true">
      <formula1>"Aceita,Não aceito"</formula1>
    </dataValidation>
    <dataValidation type="list" sqref="Y499" allowBlank="true" errorStyle="stop" showErrorMessage="true" showInputMessage="true">
      <formula1>"Clássico,Premium"</formula1>
    </dataValidation>
    <dataValidation type="list" sqref="AA499" allowBlank="true" errorStyle="stop" showErrorMessage="true" showInputMessage="true">
      <formula1>"Ativo,Inativo"</formula1>
    </dataValidation>
    <dataValidation type="list" sqref="AB499" allowBlank="true" errorStyle="stop" showErrorMessage="true" showInputMessage="true">
      <formula1>"Garantia do vendedor,Garantia de fábrica,Sem garantia"</formula1>
    </dataValidation>
    <dataValidation type="list" sqref="AD499" allowBlank="true" errorStyle="stop" showErrorMessage="true" showInputMessage="true">
      <formula1>"dias,meses,anos"</formula1>
    </dataValidation>
    <dataValidation type="list" sqref="J500" allowBlank="true" errorStyle="stop" showErrorMessage="true" showInputMessage="true">
      <formula1>"R$"</formula1>
    </dataValidation>
    <dataValidation type="list" sqref="U500" allowBlank="true" errorStyle="stop" showErrorMessage="true" showInputMessage="true">
      <formula1>"Usado,Novo"</formula1>
    </dataValidation>
    <dataValidation type="list" sqref="W500" allowBlank="true" errorStyle="stop" showErrorMessage="true" showInputMessage="true">
      <formula1>"Mercado Envios por conta do comprador,Mercado Envios grátis"</formula1>
    </dataValidation>
    <dataValidation type="list" sqref="X500" allowBlank="true" errorStyle="stop" showErrorMessage="true" showInputMessage="true">
      <formula1>"Aceita,Não aceito"</formula1>
    </dataValidation>
    <dataValidation type="list" sqref="Y500" allowBlank="true" errorStyle="stop" showErrorMessage="true" showInputMessage="true">
      <formula1>"Clássico,Premium"</formula1>
    </dataValidation>
    <dataValidation type="list" sqref="AA500" allowBlank="true" errorStyle="stop" showErrorMessage="true" showInputMessage="true">
      <formula1>"Ativo,Inativo"</formula1>
    </dataValidation>
    <dataValidation type="list" sqref="AB500" allowBlank="true" errorStyle="stop" showErrorMessage="true" showInputMessage="true">
      <formula1>"Garantia do vendedor,Garantia de fábrica,Sem garantia"</formula1>
    </dataValidation>
    <dataValidation type="list" sqref="AD500" allowBlank="true" errorStyle="stop" showErrorMessage="true" showInputMessage="true">
      <formula1>"dias,meses,anos"</formula1>
    </dataValidation>
  </dataValidations>
  <pageMargins bottom="0.75" footer="0.3" header="0.3" left="0.7" right="0.7" top="0.75"/>
  <ignoredErrors>
    <ignoredError sqref="A5:A10001" numberStoredAsText="true"/>
    <ignoredError sqref="B5:B10001" numberStoredAsText="true"/>
    <ignoredError sqref="C5:C10001" numberStoredAsText="true"/>
    <ignoredError sqref="D5:D10001" numberStoredAsText="true"/>
    <ignoredError sqref="E5:E10001" numberStoredAsText="true"/>
    <ignoredError sqref="F5:F10001" numberStoredAsText="true"/>
    <ignoredError sqref="G5:G10001" numberStoredAsText="true"/>
    <ignoredError sqref="H5:H10001" numberStoredAsText="true"/>
    <ignoredError sqref="I5:I10001" numberStoredAsText="true"/>
    <ignoredError sqref="J5:J10001" numberStoredAsText="true"/>
    <ignoredError sqref="K5:K10001" numberStoredAsText="true"/>
    <ignoredError sqref="L5:L10001" numberStoredAsText="true"/>
    <ignoredError sqref="M5:M10001" numberStoredAsText="true"/>
    <ignoredError sqref="N5:N10001" numberStoredAsText="true"/>
    <ignoredError sqref="O5:O10001" numberStoredAsText="true"/>
    <ignoredError sqref="P5:P10001" numberStoredAsText="true"/>
    <ignoredError sqref="Q5:Q10001" numberStoredAsText="true"/>
    <ignoredError sqref="R5:R10001" numberStoredAsText="true"/>
    <ignoredError sqref="S5:S10001" numberStoredAsText="true"/>
    <ignoredError sqref="T5:T10001" numberStoredAsText="true"/>
    <ignoredError sqref="U5:U10001" numberStoredAsText="true"/>
    <ignoredError sqref="V5:V10001" numberStoredAsText="true"/>
    <ignoredError sqref="W5:W10001" numberStoredAsText="true"/>
    <ignoredError sqref="X5:X10001" numberStoredAsText="true"/>
    <ignoredError sqref="Y5:Y10001" numberStoredAsText="true"/>
    <ignoredError sqref="Z5:Z10001" numberStoredAsText="true"/>
    <ignoredError sqref="AA5:AA10001" numberStoredAsText="true"/>
    <ignoredError sqref="AB5:AB10001" numberStoredAsText="true"/>
    <ignoredError sqref="AC5:AC10001" numberStoredAsText="true"/>
    <ignoredError sqref="AD5:AD10001" numberStoredAsText="true"/>
    <ignoredError sqref="AE5:AE10001" numberStoredAsText="true"/>
    <ignoredError sqref="AF5:AF10001" numberStoredAsText="true"/>
    <ignoredError sqref="AG5:AG10001" numberStoredAsText="true"/>
    <ignoredError sqref="AH5:AH10001" numberStoredAsText="true"/>
    <ignoredError sqref="AI5:AI10001" numberStoredAsText="true"/>
    <ignoredError sqref="AJ5:AJ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